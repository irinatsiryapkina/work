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028" codeName="{8C4F1C90-05EB-6A55-5F09-09C24B55AC0B}"/>
  <workbookPr codeName="ThisWorkbook" autoCompressPictures="0"/>
  <bookViews>
    <workbookView xWindow="0" yWindow="0" windowWidth="19200" windowHeight="21060" firstSheet="5" activeTab="8"/>
  </bookViews>
  <sheets>
    <sheet name="TEACAFO" sheetId="10" r:id="rId1"/>
    <sheet name="TEA data" sheetId="1" r:id="rId2"/>
    <sheet name="TEA Op Matrix" sheetId="8" r:id="rId3"/>
    <sheet name="# Oper" sheetId="3" r:id="rId4"/>
    <sheet name="Finance Assumptions" sheetId="4" r:id="rId5"/>
    <sheet name="BSM Input" sheetId="5" r:id="rId6"/>
    <sheet name="DCFROR" sheetId="6" r:id="rId7"/>
    <sheet name="CAPEX CALC" sheetId="7" r:id="rId8"/>
    <sheet name="TEA Op Matrix-OCT.FY17" sheetId="9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1" hidden="1">'TEA data'!$A$2:$AB$66</definedName>
    <definedName name="_xlnm._FilterDatabase" localSheetId="8" hidden="1">'TEA Op Matrix-OCT.FY17'!$A$1:$AF$261</definedName>
    <definedName name="asptkdir" localSheetId="7">'[1]Set-up'!#REF!</definedName>
    <definedName name="asptkdir" localSheetId="2">'[2]Set-up'!#REF!</definedName>
    <definedName name="asptkdir" localSheetId="8">'[2]Set-up'!#REF!</definedName>
    <definedName name="asptkdir">'[2]Set-up'!#REF!</definedName>
    <definedName name="asptkdir2" localSheetId="2">'[3]Set-up'!#REF!</definedName>
    <definedName name="asptkdir2" localSheetId="8">'[3]Set-up'!#REF!</definedName>
    <definedName name="asptkdir2">'[3]Set-up'!#REF!</definedName>
    <definedName name="BASECASE" localSheetId="7">'[1]Set-up'!$C$15</definedName>
    <definedName name="BASECASE">'[2]Set-up'!$C$15</definedName>
    <definedName name="CAPEX" localSheetId="7">#REF!</definedName>
    <definedName name="CAPEX">DCFROR!$N$13</definedName>
    <definedName name="CAPEX100" localSheetId="7">#REF!</definedName>
    <definedName name="CAPEX100">DCFROR!$K$3</definedName>
    <definedName name="CAPEX1002">[3]DCFROR!$K$3</definedName>
    <definedName name="CAPEX200" localSheetId="7">#REF!</definedName>
    <definedName name="CAPEX200" localSheetId="8">DCFROR!#REF!</definedName>
    <definedName name="CAPEX200">DCFROR!#REF!</definedName>
    <definedName name="CAPEX300" localSheetId="7">#REF!</definedName>
    <definedName name="CAPEX300" localSheetId="8">DCFROR!#REF!</definedName>
    <definedName name="CAPEX300">DCFROR!#REF!</definedName>
    <definedName name="CAPEX400" localSheetId="7">#REF!</definedName>
    <definedName name="CAPEX400">DCFROR!$K$7</definedName>
    <definedName name="CAPEX500" localSheetId="7">#REF!</definedName>
    <definedName name="CAPEX500">DCFROR!$K$5</definedName>
    <definedName name="CAPEX600" localSheetId="7">#REF!</definedName>
    <definedName name="CAPEX600">DCFROR!$K$4</definedName>
    <definedName name="CAPEX700" localSheetId="7">#REF!</definedName>
    <definedName name="CAPEX700">DCFROR!$K$6</definedName>
    <definedName name="CAPEX800" localSheetId="7">#REF!</definedName>
    <definedName name="CAPEX800" localSheetId="2">[4]DCFROR!$K$11</definedName>
    <definedName name="CAPEX800" localSheetId="8">[4]DCFROR!$K$11</definedName>
    <definedName name="CAPEX800">DCFROR!$O$8</definedName>
    <definedName name="CAPEX900" localSheetId="7">#REF!</definedName>
    <definedName name="CAPEX900">DCFROR!$K$9</definedName>
    <definedName name="CAPEXnc" localSheetId="7">[1]DCFROR!$K$5</definedName>
    <definedName name="CAPEXnc" localSheetId="8">DCFROR!#REF!</definedName>
    <definedName name="CAPEXnc">DCFROR!#REF!</definedName>
    <definedName name="CAPEXpt" localSheetId="7">#REF!</definedName>
    <definedName name="CAPEXpt" localSheetId="2">[4]DCFROR!#REF!</definedName>
    <definedName name="CAPEXpt" localSheetId="8">[4]DCFROR!#REF!</definedName>
    <definedName name="CAPEXpt">DCFROR!#REF!</definedName>
    <definedName name="CASEID" localSheetId="7">'[1]Set-up'!$B$24</definedName>
    <definedName name="CASEID">'[2]Set-up'!$B$24</definedName>
    <definedName name="cc_per_gal">2.54^3*231</definedName>
    <definedName name="costyear" localSheetId="7">[1]DCFROR!$B$34</definedName>
    <definedName name="costyear">DCFROR!$B$34</definedName>
    <definedName name="E_Co">2824</definedName>
    <definedName name="E_Cu">4000</definedName>
    <definedName name="E_Fe">3125</definedName>
    <definedName name="E_Ni">1720</definedName>
    <definedName name="ETHMMGAL" localSheetId="7">[1]OPEX!$B$3</definedName>
    <definedName name="ETHMMGAL">[2]OPEX!$B$3</definedName>
    <definedName name="ETOHRATE" localSheetId="7">[1]OPEX!$B$2</definedName>
    <definedName name="ETOHRATE">[2]OPEX!$B$2</definedName>
    <definedName name="FCI" localSheetId="2">[4]DCFROR!$B$4</definedName>
    <definedName name="FCI" localSheetId="8">[4]DCFROR!$B$4</definedName>
    <definedName name="FCI">DCFROR!$B$4</definedName>
    <definedName name="FCID">[5]FinancialAnalysis!$E$97</definedName>
    <definedName name="ISBL" localSheetId="7">[1]DCFROR!$M$8</definedName>
    <definedName name="ISBL">DCFROR!$O$10</definedName>
    <definedName name="IX_CAP" localSheetId="7">'[1]Set-up'!$G$34</definedName>
    <definedName name="IX_CAP">'[2]Set-up'!$G$34</definedName>
    <definedName name="IX_CHEM" localSheetId="7">'[1]Set-up'!$G$35</definedName>
    <definedName name="IX_CHEM">'[2]Set-up'!$G$35</definedName>
    <definedName name="IX_LABOR" localSheetId="7">'[1]Set-up'!$G$36</definedName>
    <definedName name="IX_LABOR">'[2]Set-up'!$G$36</definedName>
    <definedName name="k0_Co">272.3</definedName>
    <definedName name="k0_Cu">0</definedName>
    <definedName name="k0_Fe">3576</definedName>
    <definedName name="k0_Ni">59.91</definedName>
    <definedName name="kg_per_lb">0.4535924</definedName>
    <definedName name="LU_HEAT" localSheetId="7">'[1]Set-up'!$G$31</definedName>
    <definedName name="LU_HEAT">'[2]Set-up'!$G$31</definedName>
    <definedName name="LU_MAT" localSheetId="7">'[1]Set-up'!$G$30</definedName>
    <definedName name="LU_MAT">'[2]Set-up'!$G$30</definedName>
    <definedName name="LU_SENS" localSheetId="7">'[5]Set-up'!$J$16</definedName>
    <definedName name="LU_SENS">'[2]Set-up'!$G$29</definedName>
    <definedName name="LU_SENS1">'[6]Set-up'!$J$16</definedName>
    <definedName name="LU_WORK" localSheetId="7">'[1]Set-up'!$G$32</definedName>
    <definedName name="LU_WORK">'[2]Set-up'!$G$32</definedName>
    <definedName name="MFSP">[7]Summary!$D$5</definedName>
    <definedName name="n_Co">0.25</definedName>
    <definedName name="n_Cu">1</definedName>
    <definedName name="n_Fe">0.9</definedName>
    <definedName name="n_Ni">1.3</definedName>
    <definedName name="OPHOURS" localSheetId="7">[1]OPEX!$B$7</definedName>
    <definedName name="OPHOURS">[2]OPEX!$B$7</definedName>
    <definedName name="_xlnm.Print_Area" localSheetId="6">DCFROR!$A$39:$Y$80</definedName>
    <definedName name="_xlnm.Print_Titles" localSheetId="6">DCFROR!$A:$A</definedName>
    <definedName name="qwerweqrqwerqwerwe">'[8]Set-up'!$J$16</definedName>
    <definedName name="solver_adj" localSheetId="7" hidden="1">'CAPEX CALC'!$B$9</definedName>
    <definedName name="solver_adj" localSheetId="6" hidden="1">DCFROR!$B$35</definedName>
    <definedName name="solver_cvg" localSheetId="7" hidden="1">0.0001</definedName>
    <definedName name="solver_drv" localSheetId="7" hidden="1">1</definedName>
    <definedName name="solver_eng" localSheetId="7" hidden="1">1</definedName>
    <definedName name="solver_est" localSheetId="7" hidden="1">1</definedName>
    <definedName name="solver_itr" localSheetId="7" hidden="1">2147483647</definedName>
    <definedName name="solver_lhs1" localSheetId="7" hidden="1">'CAPEX CALC'!$B$9</definedName>
    <definedName name="solver_lhs2" localSheetId="7" hidden="1">'CAPEX CALC'!$B$9</definedName>
    <definedName name="solver_lin" localSheetId="6" hidden="1">0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2</definedName>
    <definedName name="solver_num" localSheetId="6" hidden="1">0</definedName>
    <definedName name="solver_nwt" localSheetId="7" hidden="1">1</definedName>
    <definedName name="solver_opt" localSheetId="7" hidden="1">'CAPEX CALC'!$L$34</definedName>
    <definedName name="solver_opt" localSheetId="6" hidden="1">DCFROR!$B$37</definedName>
    <definedName name="solver_pre" localSheetId="7" hidden="1">0.000001</definedName>
    <definedName name="solver_rbv" localSheetId="7" hidden="1">1</definedName>
    <definedName name="solver_rel1" localSheetId="7" hidden="1">1</definedName>
    <definedName name="solver_rel2" localSheetId="7" hidden="1">3</definedName>
    <definedName name="solver_rhs1" localSheetId="7" hidden="1">35</definedName>
    <definedName name="solver_rhs2" localSheetId="7" hidden="1">7</definedName>
    <definedName name="solver_rlx" localSheetId="7" hidden="1">2</definedName>
    <definedName name="solver_rsd" localSheetId="7" hidden="1">0</definedName>
    <definedName name="solver_scl" localSheetId="7" hidden="1">1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mp" localSheetId="6" hidden="1">DCFROR!$B$40:$Y$40,DCFROR!#REF!,DCFROR!$B$21:$B$22,DCFROR!$B$18:$B$19,DCFROR!$B$24:$B$32,DCFROR!$B$35</definedName>
    <definedName name="solver_tol" localSheetId="7" hidden="1">0.01</definedName>
    <definedName name="solver_typ" localSheetId="7" hidden="1">3</definedName>
    <definedName name="solver_typ" localSheetId="6" hidden="1">3</definedName>
    <definedName name="solver_val" localSheetId="7" hidden="1">0</definedName>
    <definedName name="solver_val" localSheetId="6" hidden="1">0</definedName>
    <definedName name="solver_ver" localSheetId="7" hidden="1">3</definedName>
    <definedName name="TPI">DCFROR!$K$27</definedName>
    <definedName name="werawerwrsef">'[9]Set-up'!$J$16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8" i="10" l="1"/>
  <c r="E38" i="10"/>
  <c r="C38" i="10"/>
  <c r="C41" i="10"/>
  <c r="D41" i="10"/>
  <c r="E41" i="10"/>
  <c r="C42" i="10"/>
  <c r="D42" i="10"/>
  <c r="E42" i="10"/>
  <c r="E40" i="10"/>
  <c r="D40" i="10"/>
  <c r="C40" i="10"/>
  <c r="B41" i="10"/>
  <c r="B42" i="10"/>
  <c r="B40" i="10"/>
  <c r="A41" i="10"/>
  <c r="A42" i="10"/>
  <c r="A40" i="10"/>
  <c r="K22" i="1"/>
  <c r="K24" i="1"/>
  <c r="H274" i="9"/>
  <c r="P102" i="9"/>
  <c r="AE256" i="9"/>
  <c r="AE251" i="9"/>
  <c r="AE261" i="9"/>
  <c r="H165" i="9"/>
  <c r="E289" i="9"/>
  <c r="Y281" i="9"/>
  <c r="W281" i="9"/>
  <c r="H281" i="9"/>
  <c r="Q256" i="9"/>
  <c r="U281" i="9"/>
  <c r="I281" i="9"/>
  <c r="F281" i="9"/>
  <c r="G281" i="9"/>
  <c r="Q281" i="9"/>
  <c r="Y280" i="9"/>
  <c r="W280" i="9"/>
  <c r="I280" i="9"/>
  <c r="H280" i="9"/>
  <c r="F280" i="9"/>
  <c r="G280" i="9"/>
  <c r="Q280" i="9"/>
  <c r="Y279" i="9"/>
  <c r="W279" i="9"/>
  <c r="H279" i="9"/>
  <c r="Q234" i="9"/>
  <c r="U279" i="9"/>
  <c r="I279" i="9"/>
  <c r="F279" i="9"/>
  <c r="G279" i="9"/>
  <c r="L279" i="9"/>
  <c r="Q279" i="9"/>
  <c r="S279" i="9"/>
  <c r="Y278" i="9"/>
  <c r="W278" i="9"/>
  <c r="F278" i="9"/>
  <c r="G278" i="9"/>
  <c r="Q278" i="9"/>
  <c r="I278" i="9"/>
  <c r="H278" i="9"/>
  <c r="L278" i="9"/>
  <c r="Y277" i="9"/>
  <c r="W277" i="9"/>
  <c r="H277" i="9"/>
  <c r="Q212" i="9"/>
  <c r="U277" i="9"/>
  <c r="I277" i="9"/>
  <c r="F277" i="9"/>
  <c r="G277" i="9"/>
  <c r="Q277" i="9"/>
  <c r="Y276" i="9"/>
  <c r="W276" i="9"/>
  <c r="I276" i="9"/>
  <c r="H276" i="9"/>
  <c r="F276" i="9"/>
  <c r="G276" i="9"/>
  <c r="Y275" i="9"/>
  <c r="W275" i="9"/>
  <c r="H275" i="9"/>
  <c r="Q190" i="9"/>
  <c r="U275" i="9"/>
  <c r="I275" i="9"/>
  <c r="F275" i="9"/>
  <c r="G275" i="9"/>
  <c r="L275" i="9"/>
  <c r="Q275" i="9"/>
  <c r="S275" i="9"/>
  <c r="Y274" i="9"/>
  <c r="W274" i="9"/>
  <c r="F274" i="9"/>
  <c r="G274" i="9"/>
  <c r="Q274" i="9"/>
  <c r="I274" i="9"/>
  <c r="L274" i="9"/>
  <c r="G271" i="9"/>
  <c r="F271" i="9"/>
  <c r="G270" i="9"/>
  <c r="F270" i="9"/>
  <c r="G269" i="9"/>
  <c r="F269" i="9"/>
  <c r="G268" i="9"/>
  <c r="F268" i="9"/>
  <c r="G267" i="9"/>
  <c r="F267" i="9"/>
  <c r="G266" i="9"/>
  <c r="F266" i="9"/>
  <c r="G265" i="9"/>
  <c r="F265" i="9"/>
  <c r="Q260" i="9"/>
  <c r="Y260" i="9"/>
  <c r="N260" i="9"/>
  <c r="P260" i="9"/>
  <c r="L260" i="9"/>
  <c r="I260" i="9"/>
  <c r="J260" i="9"/>
  <c r="W259" i="9"/>
  <c r="Q259" i="9"/>
  <c r="Y259" i="9"/>
  <c r="N259" i="9"/>
  <c r="P259" i="9"/>
  <c r="L259" i="9"/>
  <c r="I259" i="9"/>
  <c r="J259" i="9"/>
  <c r="Q258" i="9"/>
  <c r="Y258" i="9"/>
  <c r="N258" i="9"/>
  <c r="P258" i="9"/>
  <c r="L258" i="9"/>
  <c r="I258" i="9"/>
  <c r="J258" i="9"/>
  <c r="Q257" i="9"/>
  <c r="Y257" i="9"/>
  <c r="N257" i="9"/>
  <c r="P257" i="9"/>
  <c r="L257" i="9"/>
  <c r="I257" i="9"/>
  <c r="J257" i="9"/>
  <c r="Y256" i="9"/>
  <c r="N256" i="9"/>
  <c r="P256" i="9"/>
  <c r="L256" i="9"/>
  <c r="I256" i="9"/>
  <c r="J256" i="9"/>
  <c r="AE255" i="9"/>
  <c r="Y255" i="9"/>
  <c r="N255" i="9"/>
  <c r="P255" i="9"/>
  <c r="I255" i="9"/>
  <c r="J255" i="9"/>
  <c r="AE254" i="9"/>
  <c r="W254" i="9"/>
  <c r="Y254" i="9"/>
  <c r="N254" i="9"/>
  <c r="P254" i="9"/>
  <c r="I254" i="9"/>
  <c r="J254" i="9"/>
  <c r="Y253" i="9"/>
  <c r="P253" i="9"/>
  <c r="I253" i="9"/>
  <c r="J253" i="9"/>
  <c r="AC253" i="9"/>
  <c r="AE253" i="9"/>
  <c r="AE252" i="9"/>
  <c r="Y252" i="9"/>
  <c r="P252" i="9"/>
  <c r="I252" i="9"/>
  <c r="J252" i="9"/>
  <c r="Y251" i="9"/>
  <c r="P251" i="9"/>
  <c r="I251" i="9"/>
  <c r="J251" i="9"/>
  <c r="P250" i="9"/>
  <c r="I250" i="9"/>
  <c r="J250" i="9"/>
  <c r="Z249" i="9"/>
  <c r="AE249" i="9"/>
  <c r="Q249" i="9"/>
  <c r="Y249" i="9"/>
  <c r="N249" i="9"/>
  <c r="P249" i="9"/>
  <c r="L249" i="9"/>
  <c r="I249" i="9"/>
  <c r="J249" i="9"/>
  <c r="Z248" i="9"/>
  <c r="AE248" i="9"/>
  <c r="W248" i="9"/>
  <c r="Q248" i="9"/>
  <c r="Y248" i="9"/>
  <c r="N248" i="9"/>
  <c r="P248" i="9"/>
  <c r="L248" i="9"/>
  <c r="I248" i="9"/>
  <c r="J248" i="9"/>
  <c r="Z247" i="9"/>
  <c r="I247" i="9"/>
  <c r="AC247" i="9"/>
  <c r="AE247" i="9"/>
  <c r="Q247" i="9"/>
  <c r="Y247" i="9"/>
  <c r="N247" i="9"/>
  <c r="P247" i="9"/>
  <c r="L247" i="9"/>
  <c r="J247" i="9"/>
  <c r="Z246" i="9"/>
  <c r="AE246" i="9"/>
  <c r="Q246" i="9"/>
  <c r="Y246" i="9"/>
  <c r="N246" i="9"/>
  <c r="P246" i="9"/>
  <c r="L246" i="9"/>
  <c r="I246" i="9"/>
  <c r="J246" i="9"/>
  <c r="Z245" i="9"/>
  <c r="AE245" i="9"/>
  <c r="Q245" i="9"/>
  <c r="N245" i="9"/>
  <c r="P245" i="9"/>
  <c r="L245" i="9"/>
  <c r="I245" i="9"/>
  <c r="J245" i="9"/>
  <c r="AE244" i="9"/>
  <c r="Y244" i="9"/>
  <c r="N244" i="9"/>
  <c r="P244" i="9"/>
  <c r="I244" i="9"/>
  <c r="J244" i="9"/>
  <c r="AE243" i="9"/>
  <c r="W243" i="9"/>
  <c r="Y243" i="9"/>
  <c r="N243" i="9"/>
  <c r="P243" i="9"/>
  <c r="I243" i="9"/>
  <c r="J243" i="9"/>
  <c r="I242" i="9"/>
  <c r="AC242" i="9"/>
  <c r="AE242" i="9"/>
  <c r="Y242" i="9"/>
  <c r="P242" i="9"/>
  <c r="J242" i="9"/>
  <c r="AE241" i="9"/>
  <c r="Y241" i="9"/>
  <c r="P241" i="9"/>
  <c r="I241" i="9"/>
  <c r="J241" i="9"/>
  <c r="AE240" i="9"/>
  <c r="Y240" i="9"/>
  <c r="P240" i="9"/>
  <c r="I240" i="9"/>
  <c r="J240" i="9"/>
  <c r="P239" i="9"/>
  <c r="I239" i="9"/>
  <c r="J239" i="9"/>
  <c r="Q238" i="9"/>
  <c r="Y238" i="9"/>
  <c r="N238" i="9"/>
  <c r="P238" i="9"/>
  <c r="L238" i="9"/>
  <c r="I238" i="9"/>
  <c r="J238" i="9"/>
  <c r="Z237" i="9"/>
  <c r="AE237" i="9"/>
  <c r="W237" i="9"/>
  <c r="Q237" i="9"/>
  <c r="Y237" i="9"/>
  <c r="N237" i="9"/>
  <c r="P237" i="9"/>
  <c r="L237" i="9"/>
  <c r="I237" i="9"/>
  <c r="J237" i="9"/>
  <c r="Q236" i="9"/>
  <c r="Y236" i="9"/>
  <c r="N236" i="9"/>
  <c r="P236" i="9"/>
  <c r="L236" i="9"/>
  <c r="I236" i="9"/>
  <c r="J236" i="9"/>
  <c r="Z235" i="9"/>
  <c r="AE235" i="9"/>
  <c r="Q235" i="9"/>
  <c r="Y235" i="9"/>
  <c r="N235" i="9"/>
  <c r="P235" i="9"/>
  <c r="L235" i="9"/>
  <c r="I235" i="9"/>
  <c r="J235" i="9"/>
  <c r="Y234" i="9"/>
  <c r="N234" i="9"/>
  <c r="P234" i="9"/>
  <c r="L234" i="9"/>
  <c r="I234" i="9"/>
  <c r="J234" i="9"/>
  <c r="AE233" i="9"/>
  <c r="Y233" i="9"/>
  <c r="N233" i="9"/>
  <c r="P233" i="9"/>
  <c r="I233" i="9"/>
  <c r="J233" i="9"/>
  <c r="AE232" i="9"/>
  <c r="W232" i="9"/>
  <c r="Y232" i="9"/>
  <c r="N232" i="9"/>
  <c r="P232" i="9"/>
  <c r="I232" i="9"/>
  <c r="J232" i="9"/>
  <c r="Y231" i="9"/>
  <c r="P231" i="9"/>
  <c r="I231" i="9"/>
  <c r="J231" i="9"/>
  <c r="AC231" i="9"/>
  <c r="AE231" i="9"/>
  <c r="AE230" i="9"/>
  <c r="Y230" i="9"/>
  <c r="P230" i="9"/>
  <c r="I230" i="9"/>
  <c r="J230" i="9"/>
  <c r="AE229" i="9"/>
  <c r="Y229" i="9"/>
  <c r="P229" i="9"/>
  <c r="I229" i="9"/>
  <c r="J229" i="9"/>
  <c r="P228" i="9"/>
  <c r="I228" i="9"/>
  <c r="J228" i="9"/>
  <c r="Z227" i="9"/>
  <c r="AE227" i="9"/>
  <c r="Q227" i="9"/>
  <c r="Y227" i="9"/>
  <c r="N227" i="9"/>
  <c r="P227" i="9"/>
  <c r="L227" i="9"/>
  <c r="I227" i="9"/>
  <c r="J227" i="9"/>
  <c r="Z226" i="9"/>
  <c r="AE226" i="9"/>
  <c r="Q226" i="9"/>
  <c r="W226" i="9"/>
  <c r="Y226" i="9"/>
  <c r="N226" i="9"/>
  <c r="P226" i="9"/>
  <c r="L226" i="9"/>
  <c r="I226" i="9"/>
  <c r="J226" i="9"/>
  <c r="Z225" i="9"/>
  <c r="I225" i="9"/>
  <c r="AC225" i="9"/>
  <c r="AE225" i="9"/>
  <c r="Q225" i="9"/>
  <c r="Y225" i="9"/>
  <c r="N225" i="9"/>
  <c r="P225" i="9"/>
  <c r="L225" i="9"/>
  <c r="J225" i="9"/>
  <c r="Z224" i="9"/>
  <c r="AE224" i="9"/>
  <c r="Q224" i="9"/>
  <c r="Y224" i="9"/>
  <c r="N224" i="9"/>
  <c r="P224" i="9"/>
  <c r="L224" i="9"/>
  <c r="I224" i="9"/>
  <c r="J224" i="9"/>
  <c r="Z223" i="9"/>
  <c r="AE223" i="9"/>
  <c r="Q223" i="9"/>
  <c r="Y223" i="9"/>
  <c r="N223" i="9"/>
  <c r="P223" i="9"/>
  <c r="L223" i="9"/>
  <c r="I223" i="9"/>
  <c r="J223" i="9"/>
  <c r="AE222" i="9"/>
  <c r="Y222" i="9"/>
  <c r="N222" i="9"/>
  <c r="P222" i="9"/>
  <c r="I222" i="9"/>
  <c r="J222" i="9"/>
  <c r="AE221" i="9"/>
  <c r="W221" i="9"/>
  <c r="Y221" i="9"/>
  <c r="N221" i="9"/>
  <c r="P221" i="9"/>
  <c r="I221" i="9"/>
  <c r="J221" i="9"/>
  <c r="Y220" i="9"/>
  <c r="P220" i="9"/>
  <c r="I220" i="9"/>
  <c r="J220" i="9"/>
  <c r="AE219" i="9"/>
  <c r="Y219" i="9"/>
  <c r="P219" i="9"/>
  <c r="I219" i="9"/>
  <c r="J219" i="9"/>
  <c r="AE218" i="9"/>
  <c r="Y218" i="9"/>
  <c r="P218" i="9"/>
  <c r="I218" i="9"/>
  <c r="J218" i="9"/>
  <c r="P217" i="9"/>
  <c r="I217" i="9"/>
  <c r="J217" i="9"/>
  <c r="Q216" i="9"/>
  <c r="Y216" i="9"/>
  <c r="N216" i="9"/>
  <c r="P216" i="9"/>
  <c r="L216" i="9"/>
  <c r="I216" i="9"/>
  <c r="J216" i="9"/>
  <c r="W215" i="9"/>
  <c r="Q215" i="9"/>
  <c r="N215" i="9"/>
  <c r="P215" i="9"/>
  <c r="L215" i="9"/>
  <c r="I215" i="9"/>
  <c r="J215" i="9"/>
  <c r="Q214" i="9"/>
  <c r="Y214" i="9"/>
  <c r="N214" i="9"/>
  <c r="P214" i="9"/>
  <c r="L214" i="9"/>
  <c r="I214" i="9"/>
  <c r="J214" i="9"/>
  <c r="AD214" i="9"/>
  <c r="AC214" i="9"/>
  <c r="Q213" i="9"/>
  <c r="Y213" i="9"/>
  <c r="N213" i="9"/>
  <c r="P213" i="9"/>
  <c r="L213" i="9"/>
  <c r="I213" i="9"/>
  <c r="J213" i="9"/>
  <c r="Z212" i="9"/>
  <c r="AE212" i="9"/>
  <c r="Y212" i="9"/>
  <c r="N212" i="9"/>
  <c r="P212" i="9"/>
  <c r="L212" i="9"/>
  <c r="I212" i="9"/>
  <c r="J212" i="9"/>
  <c r="AE211" i="9"/>
  <c r="Y211" i="9"/>
  <c r="N211" i="9"/>
  <c r="P211" i="9"/>
  <c r="I211" i="9"/>
  <c r="J211" i="9"/>
  <c r="AE210" i="9"/>
  <c r="W210" i="9"/>
  <c r="Y210" i="9"/>
  <c r="N210" i="9"/>
  <c r="P210" i="9"/>
  <c r="I210" i="9"/>
  <c r="J210" i="9"/>
  <c r="Y209" i="9"/>
  <c r="P209" i="9"/>
  <c r="I209" i="9"/>
  <c r="J209" i="9"/>
  <c r="AD209" i="9"/>
  <c r="AC209" i="9"/>
  <c r="AE208" i="9"/>
  <c r="Y208" i="9"/>
  <c r="P208" i="9"/>
  <c r="I208" i="9"/>
  <c r="J208" i="9"/>
  <c r="AE207" i="9"/>
  <c r="Y207" i="9"/>
  <c r="P207" i="9"/>
  <c r="I207" i="9"/>
  <c r="J207" i="9"/>
  <c r="P206" i="9"/>
  <c r="I206" i="9"/>
  <c r="J206" i="9"/>
  <c r="Z205" i="9"/>
  <c r="AE205" i="9"/>
  <c r="Q205" i="9"/>
  <c r="Y205" i="9"/>
  <c r="N205" i="9"/>
  <c r="P205" i="9"/>
  <c r="L205" i="9"/>
  <c r="I205" i="9"/>
  <c r="J205" i="9"/>
  <c r="Z204" i="9"/>
  <c r="AE204" i="9"/>
  <c r="Q204" i="9"/>
  <c r="W204" i="9"/>
  <c r="Y204" i="9"/>
  <c r="N204" i="9"/>
  <c r="P204" i="9"/>
  <c r="L204" i="9"/>
  <c r="I204" i="9"/>
  <c r="J204" i="9"/>
  <c r="Z203" i="9"/>
  <c r="Q203" i="9"/>
  <c r="Y203" i="9"/>
  <c r="N203" i="9"/>
  <c r="P203" i="9"/>
  <c r="L203" i="9"/>
  <c r="I203" i="9"/>
  <c r="J203" i="9"/>
  <c r="AD203" i="9"/>
  <c r="Z202" i="9"/>
  <c r="AE202" i="9"/>
  <c r="Q202" i="9"/>
  <c r="Y202" i="9"/>
  <c r="N202" i="9"/>
  <c r="P202" i="9"/>
  <c r="L202" i="9"/>
  <c r="I202" i="9"/>
  <c r="J202" i="9"/>
  <c r="Z201" i="9"/>
  <c r="AE201" i="9"/>
  <c r="Q201" i="9"/>
  <c r="Y201" i="9"/>
  <c r="U276" i="9"/>
  <c r="N201" i="9"/>
  <c r="P201" i="9"/>
  <c r="L201" i="9"/>
  <c r="I201" i="9"/>
  <c r="J201" i="9"/>
  <c r="AE200" i="9"/>
  <c r="Y200" i="9"/>
  <c r="N200" i="9"/>
  <c r="P200" i="9"/>
  <c r="I200" i="9"/>
  <c r="J200" i="9"/>
  <c r="AE199" i="9"/>
  <c r="W199" i="9"/>
  <c r="Y199" i="9"/>
  <c r="N199" i="9"/>
  <c r="P199" i="9"/>
  <c r="I199" i="9"/>
  <c r="J199" i="9"/>
  <c r="I198" i="9"/>
  <c r="AC198" i="9"/>
  <c r="J198" i="9"/>
  <c r="AD198" i="9"/>
  <c r="AE198" i="9"/>
  <c r="Y198" i="9"/>
  <c r="P198" i="9"/>
  <c r="AE197" i="9"/>
  <c r="Y197" i="9"/>
  <c r="P197" i="9"/>
  <c r="I197" i="9"/>
  <c r="J197" i="9"/>
  <c r="AE196" i="9"/>
  <c r="Y196" i="9"/>
  <c r="P196" i="9"/>
  <c r="I196" i="9"/>
  <c r="J196" i="9"/>
  <c r="P195" i="9"/>
  <c r="I195" i="9"/>
  <c r="J195" i="9"/>
  <c r="Q194" i="9"/>
  <c r="Y194" i="9"/>
  <c r="N194" i="9"/>
  <c r="P194" i="9"/>
  <c r="L194" i="9"/>
  <c r="I194" i="9"/>
  <c r="J194" i="9"/>
  <c r="Z193" i="9"/>
  <c r="AE193" i="9"/>
  <c r="W193" i="9"/>
  <c r="Q193" i="9"/>
  <c r="Y193" i="9"/>
  <c r="N193" i="9"/>
  <c r="P193" i="9"/>
  <c r="L193" i="9"/>
  <c r="I193" i="9"/>
  <c r="J193" i="9"/>
  <c r="I192" i="9"/>
  <c r="J192" i="9"/>
  <c r="AD192" i="9"/>
  <c r="Z192" i="9"/>
  <c r="Q192" i="9"/>
  <c r="Y192" i="9"/>
  <c r="N192" i="9"/>
  <c r="P192" i="9"/>
  <c r="L192" i="9"/>
  <c r="AC192" i="9"/>
  <c r="Q191" i="9"/>
  <c r="Y191" i="9"/>
  <c r="N191" i="9"/>
  <c r="P191" i="9"/>
  <c r="L191" i="9"/>
  <c r="I191" i="9"/>
  <c r="J191" i="9"/>
  <c r="Z190" i="9"/>
  <c r="AE190" i="9"/>
  <c r="Y190" i="9"/>
  <c r="N190" i="9"/>
  <c r="P190" i="9"/>
  <c r="L190" i="9"/>
  <c r="I190" i="9"/>
  <c r="J190" i="9"/>
  <c r="AE189" i="9"/>
  <c r="Y189" i="9"/>
  <c r="N189" i="9"/>
  <c r="P189" i="9"/>
  <c r="I189" i="9"/>
  <c r="J189" i="9"/>
  <c r="AE188" i="9"/>
  <c r="W188" i="9"/>
  <c r="Y188" i="9"/>
  <c r="N188" i="9"/>
  <c r="P188" i="9"/>
  <c r="I188" i="9"/>
  <c r="J188" i="9"/>
  <c r="Y187" i="9"/>
  <c r="P187" i="9"/>
  <c r="I187" i="9"/>
  <c r="AE186" i="9"/>
  <c r="Y186" i="9"/>
  <c r="P186" i="9"/>
  <c r="I186" i="9"/>
  <c r="J186" i="9"/>
  <c r="AE185" i="9"/>
  <c r="Y185" i="9"/>
  <c r="P185" i="9"/>
  <c r="I185" i="9"/>
  <c r="J185" i="9"/>
  <c r="P184" i="9"/>
  <c r="I184" i="9"/>
  <c r="J184" i="9"/>
  <c r="Z183" i="9"/>
  <c r="AE183" i="9"/>
  <c r="Q183" i="9"/>
  <c r="Y183" i="9"/>
  <c r="N183" i="9"/>
  <c r="P183" i="9"/>
  <c r="L183" i="9"/>
  <c r="I183" i="9"/>
  <c r="J183" i="9"/>
  <c r="Z182" i="9"/>
  <c r="AE182" i="9"/>
  <c r="Q182" i="9"/>
  <c r="W182" i="9"/>
  <c r="Y182" i="9"/>
  <c r="N182" i="9"/>
  <c r="P182" i="9"/>
  <c r="L182" i="9"/>
  <c r="I182" i="9"/>
  <c r="J182" i="9"/>
  <c r="I181" i="9"/>
  <c r="AC181" i="9"/>
  <c r="Z181" i="9"/>
  <c r="J181" i="9"/>
  <c r="AD181" i="9"/>
  <c r="AE181" i="9"/>
  <c r="Q181" i="9"/>
  <c r="Y181" i="9"/>
  <c r="N181" i="9"/>
  <c r="P181" i="9"/>
  <c r="L181" i="9"/>
  <c r="Z180" i="9"/>
  <c r="AE180" i="9"/>
  <c r="Q180" i="9"/>
  <c r="Y180" i="9"/>
  <c r="N180" i="9"/>
  <c r="P180" i="9"/>
  <c r="L180" i="9"/>
  <c r="I180" i="9"/>
  <c r="J180" i="9"/>
  <c r="Z179" i="9"/>
  <c r="AE179" i="9"/>
  <c r="Q179" i="9"/>
  <c r="U274" i="9"/>
  <c r="N179" i="9"/>
  <c r="P179" i="9"/>
  <c r="L179" i="9"/>
  <c r="I179" i="9"/>
  <c r="J179" i="9"/>
  <c r="AE178" i="9"/>
  <c r="Y178" i="9"/>
  <c r="N178" i="9"/>
  <c r="P178" i="9"/>
  <c r="I178" i="9"/>
  <c r="J178" i="9"/>
  <c r="AE177" i="9"/>
  <c r="W177" i="9"/>
  <c r="Y177" i="9"/>
  <c r="N177" i="9"/>
  <c r="P177" i="9"/>
  <c r="I177" i="9"/>
  <c r="J177" i="9"/>
  <c r="Y176" i="9"/>
  <c r="P176" i="9"/>
  <c r="I176" i="9"/>
  <c r="J176" i="9"/>
  <c r="AD176" i="9"/>
  <c r="AE175" i="9"/>
  <c r="Y175" i="9"/>
  <c r="P175" i="9"/>
  <c r="I175" i="9"/>
  <c r="J175" i="9"/>
  <c r="AE174" i="9"/>
  <c r="Y174" i="9"/>
  <c r="P174" i="9"/>
  <c r="I174" i="9"/>
  <c r="J174" i="9"/>
  <c r="P173" i="9"/>
  <c r="I173" i="9"/>
  <c r="J173" i="9"/>
  <c r="J172" i="9"/>
  <c r="H172" i="9"/>
  <c r="J171" i="9"/>
  <c r="H171" i="9"/>
  <c r="J170" i="9"/>
  <c r="H170" i="9"/>
  <c r="J169" i="9"/>
  <c r="H169" i="9"/>
  <c r="J168" i="9"/>
  <c r="H168" i="9"/>
  <c r="J167" i="9"/>
  <c r="H167" i="9"/>
  <c r="J166" i="9"/>
  <c r="H166" i="9"/>
  <c r="J165" i="9"/>
  <c r="AE164" i="9"/>
  <c r="Y164" i="9"/>
  <c r="AE163" i="9"/>
  <c r="W163" i="9"/>
  <c r="Y163" i="9"/>
  <c r="AE162" i="9"/>
  <c r="Y162" i="9"/>
  <c r="AE161" i="9"/>
  <c r="Y161" i="9"/>
  <c r="I161" i="9"/>
  <c r="I162" i="9"/>
  <c r="AE160" i="9"/>
  <c r="Y160" i="9"/>
  <c r="J160" i="9"/>
  <c r="AE159" i="9"/>
  <c r="Y159" i="9"/>
  <c r="AE158" i="9"/>
  <c r="W158" i="9"/>
  <c r="Y158" i="9"/>
  <c r="AE157" i="9"/>
  <c r="Y157" i="9"/>
  <c r="AE156" i="9"/>
  <c r="Y156" i="9"/>
  <c r="I156" i="9"/>
  <c r="I157" i="9"/>
  <c r="AE155" i="9"/>
  <c r="Y155" i="9"/>
  <c r="J155" i="9"/>
  <c r="AE154" i="9"/>
  <c r="Y154" i="9"/>
  <c r="AE153" i="9"/>
  <c r="W153" i="9"/>
  <c r="Y153" i="9"/>
  <c r="AE152" i="9"/>
  <c r="Y152" i="9"/>
  <c r="AE151" i="9"/>
  <c r="Y151" i="9"/>
  <c r="I151" i="9"/>
  <c r="I152" i="9"/>
  <c r="AE150" i="9"/>
  <c r="Y150" i="9"/>
  <c r="J150" i="9"/>
  <c r="AE149" i="9"/>
  <c r="Y149" i="9"/>
  <c r="AE148" i="9"/>
  <c r="W148" i="9"/>
  <c r="Y148" i="9"/>
  <c r="AE147" i="9"/>
  <c r="Y147" i="9"/>
  <c r="AE146" i="9"/>
  <c r="Y146" i="9"/>
  <c r="I146" i="9"/>
  <c r="I147" i="9"/>
  <c r="AE145" i="9"/>
  <c r="Y145" i="9"/>
  <c r="J145" i="9"/>
  <c r="AE144" i="9"/>
  <c r="Y144" i="9"/>
  <c r="AE143" i="9"/>
  <c r="W143" i="9"/>
  <c r="Y143" i="9"/>
  <c r="AE142" i="9"/>
  <c r="Y142" i="9"/>
  <c r="AE141" i="9"/>
  <c r="Y141" i="9"/>
  <c r="I141" i="9"/>
  <c r="I142" i="9"/>
  <c r="AE140" i="9"/>
  <c r="Y140" i="9"/>
  <c r="J140" i="9"/>
  <c r="AE139" i="9"/>
  <c r="Y139" i="9"/>
  <c r="AE138" i="9"/>
  <c r="W138" i="9"/>
  <c r="Y138" i="9"/>
  <c r="AE137" i="9"/>
  <c r="Y137" i="9"/>
  <c r="AE136" i="9"/>
  <c r="Y136" i="9"/>
  <c r="I136" i="9"/>
  <c r="J136" i="9"/>
  <c r="I137" i="9"/>
  <c r="AE135" i="9"/>
  <c r="Y135" i="9"/>
  <c r="J135" i="9"/>
  <c r="AE134" i="9"/>
  <c r="AE133" i="9"/>
  <c r="W133" i="9"/>
  <c r="I131" i="9"/>
  <c r="I132" i="9"/>
  <c r="I133" i="9"/>
  <c r="AE132" i="9"/>
  <c r="J132" i="9"/>
  <c r="AE131" i="9"/>
  <c r="S131" i="9"/>
  <c r="J131" i="9"/>
  <c r="AE130" i="9"/>
  <c r="Y130" i="9"/>
  <c r="J130" i="9"/>
  <c r="AE129" i="9"/>
  <c r="AE128" i="9"/>
  <c r="W128" i="9"/>
  <c r="I126" i="9"/>
  <c r="I127" i="9"/>
  <c r="I128" i="9"/>
  <c r="AE127" i="9"/>
  <c r="J127" i="9"/>
  <c r="AE126" i="9"/>
  <c r="S126" i="9"/>
  <c r="J126" i="9"/>
  <c r="AE125" i="9"/>
  <c r="Y125" i="9"/>
  <c r="J125" i="9"/>
  <c r="J124" i="9"/>
  <c r="J123" i="9"/>
  <c r="J122" i="9"/>
  <c r="J121" i="9"/>
  <c r="J120" i="9"/>
  <c r="J119" i="9"/>
  <c r="J118" i="9"/>
  <c r="J117" i="9"/>
  <c r="Z113" i="9"/>
  <c r="Z114" i="9"/>
  <c r="Z115" i="9"/>
  <c r="Z116" i="9"/>
  <c r="W115" i="9"/>
  <c r="AB114" i="9"/>
  <c r="U114" i="9"/>
  <c r="L113" i="9"/>
  <c r="L114" i="9"/>
  <c r="L115" i="9"/>
  <c r="L116" i="9"/>
  <c r="AA113" i="9"/>
  <c r="S113" i="9"/>
  <c r="S114" i="9"/>
  <c r="S115" i="9"/>
  <c r="S116" i="9"/>
  <c r="Q113" i="9"/>
  <c r="O113" i="9"/>
  <c r="O114" i="9"/>
  <c r="O115" i="9"/>
  <c r="O116" i="9"/>
  <c r="N113" i="9"/>
  <c r="N114" i="9"/>
  <c r="I113" i="9"/>
  <c r="J113" i="9"/>
  <c r="I114" i="9"/>
  <c r="AE112" i="9"/>
  <c r="Y112" i="9"/>
  <c r="P112" i="9"/>
  <c r="J112" i="9"/>
  <c r="L108" i="9"/>
  <c r="L109" i="9"/>
  <c r="L110" i="9"/>
  <c r="L111" i="9"/>
  <c r="W110" i="9"/>
  <c r="N108" i="9"/>
  <c r="N109" i="9"/>
  <c r="N110" i="9"/>
  <c r="AB109" i="9"/>
  <c r="AA108" i="9"/>
  <c r="AA109" i="9"/>
  <c r="AA110" i="9"/>
  <c r="AA111" i="9"/>
  <c r="Z108" i="9"/>
  <c r="Z109" i="9"/>
  <c r="Z110" i="9"/>
  <c r="U109" i="9"/>
  <c r="O108" i="9"/>
  <c r="O109" i="9"/>
  <c r="P109" i="9"/>
  <c r="AE108" i="9"/>
  <c r="S108" i="9"/>
  <c r="Q108" i="9"/>
  <c r="Y108" i="9"/>
  <c r="Q109" i="9"/>
  <c r="O110" i="9"/>
  <c r="O111" i="9"/>
  <c r="P108" i="9"/>
  <c r="I108" i="9"/>
  <c r="J108" i="9"/>
  <c r="AE107" i="9"/>
  <c r="Y107" i="9"/>
  <c r="P107" i="9"/>
  <c r="J107" i="9"/>
  <c r="W105" i="9"/>
  <c r="AB104" i="9"/>
  <c r="AA103" i="9"/>
  <c r="AA104" i="9"/>
  <c r="AA105" i="9"/>
  <c r="AA106" i="9"/>
  <c r="U104" i="9"/>
  <c r="O103" i="9"/>
  <c r="O104" i="9"/>
  <c r="O105" i="9"/>
  <c r="O106" i="9"/>
  <c r="I103" i="9"/>
  <c r="I104" i="9"/>
  <c r="Z103" i="9"/>
  <c r="Z104" i="9"/>
  <c r="Q103" i="9"/>
  <c r="S103" i="9"/>
  <c r="Y103" i="9"/>
  <c r="S104" i="9"/>
  <c r="S105" i="9"/>
  <c r="S106" i="9"/>
  <c r="Q104" i="9"/>
  <c r="N103" i="9"/>
  <c r="P103" i="9"/>
  <c r="N104" i="9"/>
  <c r="L103" i="9"/>
  <c r="L104" i="9"/>
  <c r="L105" i="9"/>
  <c r="L106" i="9"/>
  <c r="J103" i="9"/>
  <c r="AE102" i="9"/>
  <c r="Y102" i="9"/>
  <c r="J102" i="9"/>
  <c r="W100" i="9"/>
  <c r="AB99" i="9"/>
  <c r="Q98" i="9"/>
  <c r="Q99" i="9"/>
  <c r="S98" i="9"/>
  <c r="S99" i="9"/>
  <c r="U99" i="9"/>
  <c r="Y99" i="9"/>
  <c r="AA98" i="9"/>
  <c r="AA99" i="9"/>
  <c r="AA100" i="9"/>
  <c r="AA101" i="9"/>
  <c r="Z98" i="9"/>
  <c r="S100" i="9"/>
  <c r="S101" i="9"/>
  <c r="Q100" i="9"/>
  <c r="Q101" i="9"/>
  <c r="Y101" i="9"/>
  <c r="N98" i="9"/>
  <c r="O98" i="9"/>
  <c r="P98" i="9"/>
  <c r="O99" i="9"/>
  <c r="O100" i="9"/>
  <c r="N99" i="9"/>
  <c r="N100" i="9"/>
  <c r="N101" i="9"/>
  <c r="L98" i="9"/>
  <c r="L99" i="9"/>
  <c r="L100" i="9"/>
  <c r="L101" i="9"/>
  <c r="I98" i="9"/>
  <c r="J98" i="9"/>
  <c r="I99" i="9"/>
  <c r="AE97" i="9"/>
  <c r="Y97" i="9"/>
  <c r="P97" i="9"/>
  <c r="J97" i="9"/>
  <c r="W95" i="9"/>
  <c r="AB94" i="9"/>
  <c r="U94" i="9"/>
  <c r="Q93" i="9"/>
  <c r="Q94" i="9"/>
  <c r="AA93" i="9"/>
  <c r="Z93" i="9"/>
  <c r="Z94" i="9"/>
  <c r="Z95" i="9"/>
  <c r="S93" i="9"/>
  <c r="S94" i="9"/>
  <c r="S95" i="9"/>
  <c r="S96" i="9"/>
  <c r="Y93" i="9"/>
  <c r="N93" i="9"/>
  <c r="O93" i="9"/>
  <c r="P93" i="9"/>
  <c r="O94" i="9"/>
  <c r="O95" i="9"/>
  <c r="O96" i="9"/>
  <c r="N94" i="9"/>
  <c r="L93" i="9"/>
  <c r="L94" i="9"/>
  <c r="L95" i="9"/>
  <c r="L96" i="9"/>
  <c r="I93" i="9"/>
  <c r="J93" i="9"/>
  <c r="I94" i="9"/>
  <c r="I95" i="9"/>
  <c r="AE92" i="9"/>
  <c r="Y92" i="9"/>
  <c r="P92" i="9"/>
  <c r="J92" i="9"/>
  <c r="W90" i="9"/>
  <c r="AB89" i="9"/>
  <c r="U89" i="9"/>
  <c r="I88" i="9"/>
  <c r="I89" i="9"/>
  <c r="J89" i="9"/>
  <c r="AD89" i="9"/>
  <c r="AA88" i="9"/>
  <c r="AA89" i="9"/>
  <c r="AA90" i="9"/>
  <c r="AA91" i="9"/>
  <c r="Z88" i="9"/>
  <c r="AE88" i="9"/>
  <c r="Q88" i="9"/>
  <c r="S88" i="9"/>
  <c r="Y88" i="9"/>
  <c r="S89" i="9"/>
  <c r="S90" i="9"/>
  <c r="S91" i="9"/>
  <c r="Q89" i="9"/>
  <c r="O88" i="9"/>
  <c r="N88" i="9"/>
  <c r="P88" i="9"/>
  <c r="N89" i="9"/>
  <c r="L88" i="9"/>
  <c r="L89" i="9"/>
  <c r="L90" i="9"/>
  <c r="L91" i="9"/>
  <c r="J88" i="9"/>
  <c r="AE87" i="9"/>
  <c r="Y87" i="9"/>
  <c r="P87" i="9"/>
  <c r="J87" i="9"/>
  <c r="W85" i="9"/>
  <c r="AB84" i="9"/>
  <c r="U84" i="9"/>
  <c r="AA83" i="9"/>
  <c r="AA84" i="9"/>
  <c r="AA85" i="9"/>
  <c r="AA86" i="9"/>
  <c r="Z83" i="9"/>
  <c r="S83" i="9"/>
  <c r="S84" i="9"/>
  <c r="S85" i="9"/>
  <c r="S86" i="9"/>
  <c r="Q83" i="9"/>
  <c r="Y83" i="9"/>
  <c r="N83" i="9"/>
  <c r="O83" i="9"/>
  <c r="P83" i="9"/>
  <c r="O84" i="9"/>
  <c r="O85" i="9"/>
  <c r="O86" i="9"/>
  <c r="N84" i="9"/>
  <c r="N85" i="9"/>
  <c r="N86" i="9"/>
  <c r="L83" i="9"/>
  <c r="L84" i="9"/>
  <c r="L85" i="9"/>
  <c r="L86" i="9"/>
  <c r="I83" i="9"/>
  <c r="J83" i="9"/>
  <c r="I84" i="9"/>
  <c r="AE82" i="9"/>
  <c r="Y82" i="9"/>
  <c r="P82" i="9"/>
  <c r="J82" i="9"/>
  <c r="Z78" i="9"/>
  <c r="Z79" i="9"/>
  <c r="Z80" i="9"/>
  <c r="W80" i="9"/>
  <c r="AB79" i="9"/>
  <c r="U79" i="9"/>
  <c r="Q78" i="9"/>
  <c r="Q79" i="9"/>
  <c r="AA78" i="9"/>
  <c r="S78" i="9"/>
  <c r="S79" i="9"/>
  <c r="S80" i="9"/>
  <c r="S81" i="9"/>
  <c r="Y78" i="9"/>
  <c r="O78" i="9"/>
  <c r="O79" i="9"/>
  <c r="O80" i="9"/>
  <c r="O81" i="9"/>
  <c r="N78" i="9"/>
  <c r="P78" i="9"/>
  <c r="L78" i="9"/>
  <c r="L79" i="9"/>
  <c r="L80" i="9"/>
  <c r="L81" i="9"/>
  <c r="I78" i="9"/>
  <c r="J78" i="9"/>
  <c r="AE77" i="9"/>
  <c r="Y77" i="9"/>
  <c r="P77" i="9"/>
  <c r="J77" i="9"/>
  <c r="AA73" i="9"/>
  <c r="AA74" i="9"/>
  <c r="AA75" i="9"/>
  <c r="AA76" i="9"/>
  <c r="L73" i="9"/>
  <c r="L74" i="9"/>
  <c r="L75" i="9"/>
  <c r="L76" i="9"/>
  <c r="W75" i="9"/>
  <c r="N73" i="9"/>
  <c r="N74" i="9"/>
  <c r="N75" i="9"/>
  <c r="AB74" i="9"/>
  <c r="U74" i="9"/>
  <c r="Z73" i="9"/>
  <c r="AE73" i="9"/>
  <c r="Z74" i="9"/>
  <c r="Z75" i="9"/>
  <c r="S73" i="9"/>
  <c r="S74" i="9"/>
  <c r="S75" i="9"/>
  <c r="S76" i="9"/>
  <c r="Q73" i="9"/>
  <c r="Q74" i="9"/>
  <c r="O73" i="9"/>
  <c r="O74" i="9"/>
  <c r="O75" i="9"/>
  <c r="O76" i="9"/>
  <c r="P73" i="9"/>
  <c r="I73" i="9"/>
  <c r="J73" i="9"/>
  <c r="I74" i="9"/>
  <c r="AE72" i="9"/>
  <c r="Y72" i="9"/>
  <c r="P72" i="9"/>
  <c r="J72" i="9"/>
  <c r="S68" i="9"/>
  <c r="S69" i="9"/>
  <c r="S70" i="9"/>
  <c r="S71" i="9"/>
  <c r="W70" i="9"/>
  <c r="AB69" i="9"/>
  <c r="U69" i="9"/>
  <c r="O68" i="9"/>
  <c r="O69" i="9"/>
  <c r="O70" i="9"/>
  <c r="O71" i="9"/>
  <c r="AA68" i="9"/>
  <c r="AA69" i="9"/>
  <c r="AA70" i="9"/>
  <c r="AA71" i="9"/>
  <c r="Z68" i="9"/>
  <c r="Z69" i="9"/>
  <c r="Q68" i="9"/>
  <c r="Y68" i="9"/>
  <c r="Q69" i="9"/>
  <c r="N68" i="9"/>
  <c r="N69" i="9"/>
  <c r="L68" i="9"/>
  <c r="L69" i="9"/>
  <c r="L70" i="9"/>
  <c r="L71" i="9"/>
  <c r="I68" i="9"/>
  <c r="AE67" i="9"/>
  <c r="Y67" i="9"/>
  <c r="P67" i="9"/>
  <c r="J67" i="9"/>
  <c r="W65" i="9"/>
  <c r="AB64" i="9"/>
  <c r="AA63" i="9"/>
  <c r="AA64" i="9"/>
  <c r="AA65" i="9"/>
  <c r="AA66" i="9"/>
  <c r="U64" i="9"/>
  <c r="Z63" i="9"/>
  <c r="S63" i="9"/>
  <c r="Q63" i="9"/>
  <c r="Y63" i="9"/>
  <c r="Q64" i="9"/>
  <c r="Q65" i="9"/>
  <c r="Q66" i="9"/>
  <c r="N63" i="9"/>
  <c r="O63" i="9"/>
  <c r="P63" i="9"/>
  <c r="O64" i="9"/>
  <c r="O65" i="9"/>
  <c r="N64" i="9"/>
  <c r="N65" i="9"/>
  <c r="N66" i="9"/>
  <c r="L63" i="9"/>
  <c r="L64" i="9"/>
  <c r="L65" i="9"/>
  <c r="L66" i="9"/>
  <c r="I63" i="9"/>
  <c r="J63" i="9"/>
  <c r="I64" i="9"/>
  <c r="AE62" i="9"/>
  <c r="Y62" i="9"/>
  <c r="P62" i="9"/>
  <c r="J62" i="9"/>
  <c r="W60" i="9"/>
  <c r="Q58" i="9"/>
  <c r="Q59" i="9"/>
  <c r="Q60" i="9"/>
  <c r="AB59" i="9"/>
  <c r="U59" i="9"/>
  <c r="L58" i="9"/>
  <c r="L59" i="9"/>
  <c r="L60" i="9"/>
  <c r="L61" i="9"/>
  <c r="I58" i="9"/>
  <c r="I59" i="9"/>
  <c r="I60" i="9"/>
  <c r="AA58" i="9"/>
  <c r="AA59" i="9"/>
  <c r="AA60" i="9"/>
  <c r="AA61" i="9"/>
  <c r="Z58" i="9"/>
  <c r="S58" i="9"/>
  <c r="Y58" i="9"/>
  <c r="S59" i="9"/>
  <c r="S60" i="9"/>
  <c r="S61" i="9"/>
  <c r="N58" i="9"/>
  <c r="O58" i="9"/>
  <c r="P58" i="9"/>
  <c r="O59" i="9"/>
  <c r="O60" i="9"/>
  <c r="O61" i="9"/>
  <c r="N59" i="9"/>
  <c r="N60" i="9"/>
  <c r="J58" i="9"/>
  <c r="AE57" i="9"/>
  <c r="Y57" i="9"/>
  <c r="P57" i="9"/>
  <c r="J57" i="9"/>
  <c r="W55" i="9"/>
  <c r="Q53" i="9"/>
  <c r="Q54" i="9"/>
  <c r="Q55" i="9"/>
  <c r="AB54" i="9"/>
  <c r="Z53" i="9"/>
  <c r="Z54" i="9"/>
  <c r="U54" i="9"/>
  <c r="AA53" i="9"/>
  <c r="AA54" i="9"/>
  <c r="AA55" i="9"/>
  <c r="AA56" i="9"/>
  <c r="S53" i="9"/>
  <c r="S54" i="9"/>
  <c r="S55" i="9"/>
  <c r="S56" i="9"/>
  <c r="Y53" i="9"/>
  <c r="O53" i="9"/>
  <c r="O54" i="9"/>
  <c r="O55" i="9"/>
  <c r="O56" i="9"/>
  <c r="N53" i="9"/>
  <c r="N54" i="9"/>
  <c r="L53" i="9"/>
  <c r="L54" i="9"/>
  <c r="L55" i="9"/>
  <c r="L56" i="9"/>
  <c r="I53" i="9"/>
  <c r="I54" i="9"/>
  <c r="AE52" i="9"/>
  <c r="Y52" i="9"/>
  <c r="P52" i="9"/>
  <c r="J52" i="9"/>
  <c r="L48" i="9"/>
  <c r="L49" i="9"/>
  <c r="L50" i="9"/>
  <c r="L51" i="9"/>
  <c r="W50" i="9"/>
  <c r="AB49" i="9"/>
  <c r="AA48" i="9"/>
  <c r="AA49" i="9"/>
  <c r="AA50" i="9"/>
  <c r="AA51" i="9"/>
  <c r="U49" i="9"/>
  <c r="Z48" i="9"/>
  <c r="Z49" i="9"/>
  <c r="Z50" i="9"/>
  <c r="S48" i="9"/>
  <c r="S49" i="9"/>
  <c r="S50" i="9"/>
  <c r="S51" i="9"/>
  <c r="Q48" i="9"/>
  <c r="N48" i="9"/>
  <c r="O48" i="9"/>
  <c r="P48" i="9"/>
  <c r="O49" i="9"/>
  <c r="O50" i="9"/>
  <c r="O51" i="9"/>
  <c r="N49" i="9"/>
  <c r="I48" i="9"/>
  <c r="J48" i="9"/>
  <c r="I49" i="9"/>
  <c r="I50" i="9"/>
  <c r="AE47" i="9"/>
  <c r="Y47" i="9"/>
  <c r="P47" i="9"/>
  <c r="J47" i="9"/>
  <c r="S43" i="9"/>
  <c r="S44" i="9"/>
  <c r="S45" i="9"/>
  <c r="S46" i="9"/>
  <c r="W45" i="9"/>
  <c r="AB44" i="9"/>
  <c r="Z43" i="9"/>
  <c r="Z44" i="9"/>
  <c r="U44" i="9"/>
  <c r="I43" i="9"/>
  <c r="I44" i="9"/>
  <c r="J44" i="9"/>
  <c r="AD44" i="9"/>
  <c r="AA43" i="9"/>
  <c r="Q43" i="9"/>
  <c r="Y43" i="9"/>
  <c r="Q44" i="9"/>
  <c r="O43" i="9"/>
  <c r="O44" i="9"/>
  <c r="O45" i="9"/>
  <c r="O46" i="9"/>
  <c r="N43" i="9"/>
  <c r="L43" i="9"/>
  <c r="L44" i="9"/>
  <c r="L45" i="9"/>
  <c r="L46" i="9"/>
  <c r="J43" i="9"/>
  <c r="AE42" i="9"/>
  <c r="Y42" i="9"/>
  <c r="P42" i="9"/>
  <c r="J42" i="9"/>
  <c r="Q38" i="9"/>
  <c r="Q39" i="9"/>
  <c r="Q40" i="9"/>
  <c r="Q41" i="9"/>
  <c r="L38" i="9"/>
  <c r="L39" i="9"/>
  <c r="L40" i="9"/>
  <c r="L41" i="9"/>
  <c r="W40" i="9"/>
  <c r="I38" i="9"/>
  <c r="I39" i="9"/>
  <c r="I40" i="9"/>
  <c r="J40" i="9"/>
  <c r="AB39" i="9"/>
  <c r="AA38" i="9"/>
  <c r="AA39" i="9"/>
  <c r="AA40" i="9"/>
  <c r="AA41" i="9"/>
  <c r="U39" i="9"/>
  <c r="Z38" i="9"/>
  <c r="Z39" i="9"/>
  <c r="Z40" i="9"/>
  <c r="S38" i="9"/>
  <c r="Y38" i="9"/>
  <c r="N38" i="9"/>
  <c r="O38" i="9"/>
  <c r="P38" i="9"/>
  <c r="O39" i="9"/>
  <c r="O40" i="9"/>
  <c r="O41" i="9"/>
  <c r="N39" i="9"/>
  <c r="J38" i="9"/>
  <c r="I41" i="9"/>
  <c r="J41" i="9"/>
  <c r="AE37" i="9"/>
  <c r="Y37" i="9"/>
  <c r="P37" i="9"/>
  <c r="J37" i="9"/>
  <c r="W35" i="9"/>
  <c r="AB34" i="9"/>
  <c r="Z33" i="9"/>
  <c r="Z34" i="9"/>
  <c r="U34" i="9"/>
  <c r="O33" i="9"/>
  <c r="O34" i="9"/>
  <c r="O35" i="9"/>
  <c r="O36" i="9"/>
  <c r="I33" i="9"/>
  <c r="I34" i="9"/>
  <c r="I35" i="9"/>
  <c r="AA33" i="9"/>
  <c r="AA34" i="9"/>
  <c r="AA35" i="9"/>
  <c r="AA36" i="9"/>
  <c r="S33" i="9"/>
  <c r="S34" i="9"/>
  <c r="S35" i="9"/>
  <c r="S36" i="9"/>
  <c r="Q33" i="9"/>
  <c r="Q34" i="9"/>
  <c r="N33" i="9"/>
  <c r="P33" i="9"/>
  <c r="N34" i="9"/>
  <c r="N35" i="9"/>
  <c r="N36" i="9"/>
  <c r="P36" i="9"/>
  <c r="L33" i="9"/>
  <c r="L34" i="9"/>
  <c r="L35" i="9"/>
  <c r="L36" i="9"/>
  <c r="J33" i="9"/>
  <c r="AE32" i="9"/>
  <c r="Y32" i="9"/>
  <c r="P32" i="9"/>
  <c r="J32" i="9"/>
  <c r="W30" i="9"/>
  <c r="AC29" i="9"/>
  <c r="AC34" i="9"/>
  <c r="AC39" i="9"/>
  <c r="AC44" i="9"/>
  <c r="AC49" i="9"/>
  <c r="AC54" i="9"/>
  <c r="AC59" i="9"/>
  <c r="AC64" i="9"/>
  <c r="AC69" i="9"/>
  <c r="AC74" i="9"/>
  <c r="AC79" i="9"/>
  <c r="AC84" i="9"/>
  <c r="AC89" i="9"/>
  <c r="AC94" i="9"/>
  <c r="AC99" i="9"/>
  <c r="AC104" i="9"/>
  <c r="AC109" i="9"/>
  <c r="AC114" i="9"/>
  <c r="AB29" i="9"/>
  <c r="U29" i="9"/>
  <c r="Q28" i="9"/>
  <c r="Q29" i="9"/>
  <c r="AA28" i="9"/>
  <c r="AA29" i="9"/>
  <c r="AA30" i="9"/>
  <c r="AA31" i="9"/>
  <c r="Z28" i="9"/>
  <c r="AE28" i="9"/>
  <c r="S28" i="9"/>
  <c r="Y28" i="9"/>
  <c r="N28" i="9"/>
  <c r="O28" i="9"/>
  <c r="P28" i="9"/>
  <c r="O29" i="9"/>
  <c r="O30" i="9"/>
  <c r="O31" i="9"/>
  <c r="N29" i="9"/>
  <c r="L28" i="9"/>
  <c r="L29" i="9"/>
  <c r="L30" i="9"/>
  <c r="L31" i="9"/>
  <c r="I28" i="9"/>
  <c r="J28" i="9"/>
  <c r="I29" i="9"/>
  <c r="AE27" i="9"/>
  <c r="Y27" i="9"/>
  <c r="P27" i="9"/>
  <c r="J27" i="9"/>
  <c r="W25" i="9"/>
  <c r="AC24" i="9"/>
  <c r="AB24" i="9"/>
  <c r="Z23" i="9"/>
  <c r="Z24" i="9"/>
  <c r="Z25" i="9"/>
  <c r="U24" i="9"/>
  <c r="AA23" i="9"/>
  <c r="AA24" i="9"/>
  <c r="AA25" i="9"/>
  <c r="AA26" i="9"/>
  <c r="AE23" i="9"/>
  <c r="S23" i="9"/>
  <c r="S24" i="9"/>
  <c r="S25" i="9"/>
  <c r="S26" i="9"/>
  <c r="Q23" i="9"/>
  <c r="Q24" i="9"/>
  <c r="N23" i="9"/>
  <c r="O23" i="9"/>
  <c r="P23" i="9"/>
  <c r="O24" i="9"/>
  <c r="O25" i="9"/>
  <c r="O26" i="9"/>
  <c r="N24" i="9"/>
  <c r="L23" i="9"/>
  <c r="L24" i="9"/>
  <c r="L25" i="9"/>
  <c r="L26" i="9"/>
  <c r="I23" i="9"/>
  <c r="J23" i="9"/>
  <c r="I24" i="9"/>
  <c r="AE22" i="9"/>
  <c r="Y22" i="9"/>
  <c r="P22" i="9"/>
  <c r="J22" i="9"/>
  <c r="X21" i="9"/>
  <c r="W20" i="9"/>
  <c r="L18" i="9"/>
  <c r="L19" i="9"/>
  <c r="L20" i="9"/>
  <c r="L21" i="9"/>
  <c r="AC19" i="9"/>
  <c r="AB19" i="9"/>
  <c r="Z18" i="9"/>
  <c r="Z19" i="9"/>
  <c r="Z20" i="9"/>
  <c r="V19" i="9"/>
  <c r="U19" i="9"/>
  <c r="S18" i="9"/>
  <c r="S19" i="9"/>
  <c r="S20" i="9"/>
  <c r="S21" i="9"/>
  <c r="N18" i="9"/>
  <c r="N19" i="9"/>
  <c r="N20" i="9"/>
  <c r="I18" i="9"/>
  <c r="I19" i="9"/>
  <c r="I20" i="9"/>
  <c r="AA18" i="9"/>
  <c r="AE18" i="9"/>
  <c r="AA19" i="9"/>
  <c r="AA20" i="9"/>
  <c r="AA21" i="9"/>
  <c r="Q18" i="9"/>
  <c r="Y18" i="9"/>
  <c r="Q19" i="9"/>
  <c r="O18" i="9"/>
  <c r="O19" i="9"/>
  <c r="O20" i="9"/>
  <c r="O21" i="9"/>
  <c r="P18" i="9"/>
  <c r="M18" i="9"/>
  <c r="M19" i="9"/>
  <c r="M20" i="9"/>
  <c r="M21" i="9"/>
  <c r="J18" i="9"/>
  <c r="AE17" i="9"/>
  <c r="Y17" i="9"/>
  <c r="P17" i="9"/>
  <c r="J17" i="9"/>
  <c r="X16" i="9"/>
  <c r="W15" i="9"/>
  <c r="O13" i="9"/>
  <c r="O14" i="9"/>
  <c r="O15" i="9"/>
  <c r="O16" i="9"/>
  <c r="AC14" i="9"/>
  <c r="AB14" i="9"/>
  <c r="V14" i="9"/>
  <c r="U14" i="9"/>
  <c r="Q13" i="9"/>
  <c r="Q14" i="9"/>
  <c r="M14" i="9"/>
  <c r="M16" i="9"/>
  <c r="Z13" i="9"/>
  <c r="AA13" i="9"/>
  <c r="AE13" i="9"/>
  <c r="AA14" i="9"/>
  <c r="AA15" i="9"/>
  <c r="AA16" i="9"/>
  <c r="Z14" i="9"/>
  <c r="S13" i="9"/>
  <c r="S14" i="9"/>
  <c r="S15" i="9"/>
  <c r="S16" i="9"/>
  <c r="Y13" i="9"/>
  <c r="N13" i="9"/>
  <c r="P13" i="9"/>
  <c r="M13" i="9"/>
  <c r="L13" i="9"/>
  <c r="L14" i="9"/>
  <c r="L15" i="9"/>
  <c r="L16" i="9"/>
  <c r="I13" i="9"/>
  <c r="I14" i="9"/>
  <c r="AE12" i="9"/>
  <c r="Y12" i="9"/>
  <c r="P12" i="9"/>
  <c r="J12" i="9"/>
  <c r="J11" i="9"/>
  <c r="J10" i="9"/>
  <c r="J9" i="9"/>
  <c r="J8" i="9"/>
  <c r="J7" i="9"/>
  <c r="J6" i="9"/>
  <c r="J5" i="9"/>
  <c r="J4" i="9"/>
  <c r="J3" i="9"/>
  <c r="N40" i="9"/>
  <c r="P39" i="9"/>
  <c r="N50" i="9"/>
  <c r="P49" i="9"/>
  <c r="Y19" i="9"/>
  <c r="Q20" i="9"/>
  <c r="N21" i="9"/>
  <c r="P21" i="9"/>
  <c r="P20" i="9"/>
  <c r="Z21" i="9"/>
  <c r="AE21" i="9"/>
  <c r="AE20" i="9"/>
  <c r="Y24" i="9"/>
  <c r="Q25" i="9"/>
  <c r="P29" i="9"/>
  <c r="N30" i="9"/>
  <c r="P24" i="9"/>
  <c r="N25" i="9"/>
  <c r="Z26" i="9"/>
  <c r="AE26" i="9"/>
  <c r="AE25" i="9"/>
  <c r="Y44" i="9"/>
  <c r="Q45" i="9"/>
  <c r="I15" i="9"/>
  <c r="J14" i="9"/>
  <c r="AD14" i="9"/>
  <c r="Y14" i="9"/>
  <c r="J20" i="9"/>
  <c r="I21" i="9"/>
  <c r="J21" i="9"/>
  <c r="J24" i="9"/>
  <c r="AD24" i="9"/>
  <c r="I25" i="9"/>
  <c r="Y34" i="9"/>
  <c r="Q35" i="9"/>
  <c r="I36" i="9"/>
  <c r="J36" i="9"/>
  <c r="J35" i="9"/>
  <c r="Z15" i="9"/>
  <c r="AE14" i="9"/>
  <c r="I30" i="9"/>
  <c r="J29" i="9"/>
  <c r="AD29" i="9"/>
  <c r="P34" i="9"/>
  <c r="P35" i="9"/>
  <c r="J54" i="9"/>
  <c r="AD54" i="9"/>
  <c r="AE54" i="9"/>
  <c r="P75" i="9"/>
  <c r="N76" i="9"/>
  <c r="P76" i="9"/>
  <c r="AE83" i="9"/>
  <c r="Z84" i="9"/>
  <c r="Y94" i="9"/>
  <c r="Q95" i="9"/>
  <c r="J13" i="9"/>
  <c r="N14" i="9"/>
  <c r="J19" i="9"/>
  <c r="AD19" i="9"/>
  <c r="AE19" i="9"/>
  <c r="AE24" i="9"/>
  <c r="S29" i="9"/>
  <c r="S30" i="9"/>
  <c r="S31" i="9"/>
  <c r="Y33" i="9"/>
  <c r="J34" i="9"/>
  <c r="AD34" i="9"/>
  <c r="AE38" i="9"/>
  <c r="S39" i="9"/>
  <c r="AA44" i="9"/>
  <c r="AA45" i="9"/>
  <c r="AA46" i="9"/>
  <c r="AE43" i="9"/>
  <c r="Y48" i="9"/>
  <c r="AE48" i="9"/>
  <c r="I55" i="9"/>
  <c r="I61" i="9"/>
  <c r="J61" i="9"/>
  <c r="J60" i="9"/>
  <c r="Y79" i="9"/>
  <c r="Q80" i="9"/>
  <c r="Z29" i="9"/>
  <c r="AE34" i="9"/>
  <c r="Z35" i="9"/>
  <c r="Q56" i="9"/>
  <c r="Y56" i="9"/>
  <c r="Y55" i="9"/>
  <c r="I85" i="9"/>
  <c r="J84" i="9"/>
  <c r="AD84" i="9"/>
  <c r="M15" i="9"/>
  <c r="Q15" i="9"/>
  <c r="P19" i="9"/>
  <c r="Y23" i="9"/>
  <c r="Q30" i="9"/>
  <c r="AE33" i="9"/>
  <c r="J39" i="9"/>
  <c r="AD39" i="9"/>
  <c r="I45" i="9"/>
  <c r="J49" i="9"/>
  <c r="AD49" i="9"/>
  <c r="AE49" i="9"/>
  <c r="Y54" i="9"/>
  <c r="Z55" i="9"/>
  <c r="J74" i="9"/>
  <c r="AD74" i="9"/>
  <c r="AE74" i="9"/>
  <c r="I75" i="9"/>
  <c r="Z96" i="9"/>
  <c r="I153" i="9"/>
  <c r="J152" i="9"/>
  <c r="Z41" i="9"/>
  <c r="AE41" i="9"/>
  <c r="AE40" i="9"/>
  <c r="AE39" i="9"/>
  <c r="P43" i="9"/>
  <c r="AE44" i="9"/>
  <c r="Z45" i="9"/>
  <c r="I51" i="9"/>
  <c r="J51" i="9"/>
  <c r="J50" i="9"/>
  <c r="AE50" i="9"/>
  <c r="Z51" i="9"/>
  <c r="AE51" i="9"/>
  <c r="N55" i="9"/>
  <c r="P54" i="9"/>
  <c r="AE53" i="9"/>
  <c r="AE58" i="9"/>
  <c r="Z59" i="9"/>
  <c r="Y59" i="9"/>
  <c r="I65" i="9"/>
  <c r="J64" i="9"/>
  <c r="AD64" i="9"/>
  <c r="O66" i="9"/>
  <c r="P65" i="9"/>
  <c r="AE63" i="9"/>
  <c r="Z64" i="9"/>
  <c r="J68" i="9"/>
  <c r="I69" i="9"/>
  <c r="Q70" i="9"/>
  <c r="Y69" i="9"/>
  <c r="AA79" i="9"/>
  <c r="AA80" i="9"/>
  <c r="AE80" i="9"/>
  <c r="Z81" i="9"/>
  <c r="AA81" i="9"/>
  <c r="AE81" i="9"/>
  <c r="I90" i="9"/>
  <c r="P110" i="9"/>
  <c r="N111" i="9"/>
  <c r="P111" i="9"/>
  <c r="Y113" i="9"/>
  <c r="Q114" i="9"/>
  <c r="N44" i="9"/>
  <c r="Q49" i="9"/>
  <c r="J53" i="9"/>
  <c r="P53" i="9"/>
  <c r="J59" i="9"/>
  <c r="AD59" i="9"/>
  <c r="P66" i="9"/>
  <c r="P64" i="9"/>
  <c r="Z70" i="9"/>
  <c r="Z76" i="9"/>
  <c r="AE76" i="9"/>
  <c r="AE75" i="9"/>
  <c r="P86" i="9"/>
  <c r="P84" i="9"/>
  <c r="Y89" i="9"/>
  <c r="AA94" i="9"/>
  <c r="AA95" i="9"/>
  <c r="AA96" i="9"/>
  <c r="AE93" i="9"/>
  <c r="J104" i="9"/>
  <c r="AD104" i="9"/>
  <c r="I105" i="9"/>
  <c r="J187" i="9"/>
  <c r="AD187" i="9"/>
  <c r="AC187" i="9"/>
  <c r="AE187" i="9"/>
  <c r="S64" i="9"/>
  <c r="Y64" i="9"/>
  <c r="Q75" i="9"/>
  <c r="Y74" i="9"/>
  <c r="P85" i="9"/>
  <c r="N90" i="9"/>
  <c r="O89" i="9"/>
  <c r="P89" i="9"/>
  <c r="O90" i="9"/>
  <c r="O91" i="9"/>
  <c r="Q90" i="9"/>
  <c r="AE110" i="9"/>
  <c r="Z111" i="9"/>
  <c r="AE111" i="9"/>
  <c r="P60" i="9"/>
  <c r="N61" i="9"/>
  <c r="P61" i="9"/>
  <c r="P59" i="9"/>
  <c r="Y60" i="9"/>
  <c r="Q61" i="9"/>
  <c r="Y61" i="9"/>
  <c r="N70" i="9"/>
  <c r="P69" i="9"/>
  <c r="P74" i="9"/>
  <c r="AE78" i="9"/>
  <c r="J94" i="9"/>
  <c r="AD94" i="9"/>
  <c r="AE94" i="9"/>
  <c r="I100" i="9"/>
  <c r="J99" i="9"/>
  <c r="AD99" i="9"/>
  <c r="O101" i="9"/>
  <c r="P100" i="9"/>
  <c r="AE98" i="9"/>
  <c r="Z99" i="9"/>
  <c r="S109" i="9"/>
  <c r="Y109" i="9"/>
  <c r="Q110" i="9"/>
  <c r="I138" i="9"/>
  <c r="J137" i="9"/>
  <c r="P68" i="9"/>
  <c r="Y73" i="9"/>
  <c r="N79" i="9"/>
  <c r="Q84" i="9"/>
  <c r="P104" i="9"/>
  <c r="N105" i="9"/>
  <c r="I158" i="9"/>
  <c r="J157" i="9"/>
  <c r="S65" i="9"/>
  <c r="I79" i="9"/>
  <c r="Z89" i="9"/>
  <c r="N95" i="9"/>
  <c r="P94" i="9"/>
  <c r="Z105" i="9"/>
  <c r="AE104" i="9"/>
  <c r="S110" i="9"/>
  <c r="S111" i="9"/>
  <c r="N115" i="9"/>
  <c r="P114" i="9"/>
  <c r="S127" i="9"/>
  <c r="Y126" i="9"/>
  <c r="S132" i="9"/>
  <c r="Y131" i="9"/>
  <c r="I143" i="9"/>
  <c r="J142" i="9"/>
  <c r="I163" i="9"/>
  <c r="J162" i="9"/>
  <c r="Z216" i="9"/>
  <c r="AE216" i="9"/>
  <c r="Z215" i="9"/>
  <c r="AE215" i="9"/>
  <c r="Z214" i="9"/>
  <c r="AE214" i="9"/>
  <c r="Z213" i="9"/>
  <c r="AE213" i="9"/>
  <c r="AE68" i="9"/>
  <c r="I96" i="9"/>
  <c r="J96" i="9"/>
  <c r="J95" i="9"/>
  <c r="P101" i="9"/>
  <c r="P99" i="9"/>
  <c r="Y100" i="9"/>
  <c r="Q105" i="9"/>
  <c r="Y104" i="9"/>
  <c r="I115" i="9"/>
  <c r="J114" i="9"/>
  <c r="AD114" i="9"/>
  <c r="AA114" i="9"/>
  <c r="AA115" i="9"/>
  <c r="AA116" i="9"/>
  <c r="AE116" i="9"/>
  <c r="AE113" i="9"/>
  <c r="I129" i="9"/>
  <c r="J129" i="9"/>
  <c r="J128" i="9"/>
  <c r="I134" i="9"/>
  <c r="J134" i="9"/>
  <c r="J133" i="9"/>
  <c r="I148" i="9"/>
  <c r="J147" i="9"/>
  <c r="L276" i="9"/>
  <c r="Q276" i="9"/>
  <c r="S276" i="9"/>
  <c r="Y98" i="9"/>
  <c r="AE103" i="9"/>
  <c r="P113" i="9"/>
  <c r="J141" i="9"/>
  <c r="J146" i="9"/>
  <c r="J151" i="9"/>
  <c r="J156" i="9"/>
  <c r="J161" i="9"/>
  <c r="U280" i="9"/>
  <c r="Y245" i="9"/>
  <c r="S274" i="9"/>
  <c r="Z191" i="9"/>
  <c r="AE191" i="9"/>
  <c r="Z194" i="9"/>
  <c r="AE194" i="9"/>
  <c r="L277" i="9"/>
  <c r="S277" i="9"/>
  <c r="L280" i="9"/>
  <c r="S280" i="9"/>
  <c r="I109" i="9"/>
  <c r="AC176" i="9"/>
  <c r="AE176" i="9"/>
  <c r="AE192" i="9"/>
  <c r="AE209" i="9"/>
  <c r="Y215" i="9"/>
  <c r="AC258" i="9"/>
  <c r="Z234" i="9"/>
  <c r="AE234" i="9"/>
  <c r="Z238" i="9"/>
  <c r="AE238" i="9"/>
  <c r="Z236" i="9"/>
  <c r="L281" i="9"/>
  <c r="S281" i="9"/>
  <c r="Y179" i="9"/>
  <c r="S278" i="9"/>
  <c r="Z260" i="9"/>
  <c r="AE260" i="9"/>
  <c r="Z258" i="9"/>
  <c r="AE258" i="9"/>
  <c r="Z259" i="9"/>
  <c r="AE259" i="9"/>
  <c r="Z257" i="9"/>
  <c r="AE257" i="9"/>
  <c r="Z256" i="9"/>
  <c r="AC203" i="9"/>
  <c r="AE203" i="9"/>
  <c r="AC220" i="9"/>
  <c r="AE220" i="9"/>
  <c r="AC236" i="9"/>
  <c r="U278" i="9"/>
  <c r="F277" i="8"/>
  <c r="I214" i="8"/>
  <c r="E289" i="8"/>
  <c r="J214" i="8"/>
  <c r="AD214" i="8"/>
  <c r="I209" i="8"/>
  <c r="J209" i="8"/>
  <c r="AD209" i="8"/>
  <c r="F276" i="8"/>
  <c r="I203" i="8"/>
  <c r="J203" i="8"/>
  <c r="AD203" i="8"/>
  <c r="I198" i="8"/>
  <c r="J198" i="8"/>
  <c r="AD198" i="8"/>
  <c r="F275" i="8"/>
  <c r="I192" i="8"/>
  <c r="J192" i="8"/>
  <c r="AD192" i="8"/>
  <c r="I187" i="8"/>
  <c r="J187" i="8"/>
  <c r="AD187" i="8"/>
  <c r="F274" i="8"/>
  <c r="I181" i="8"/>
  <c r="J181" i="8"/>
  <c r="AD181" i="8"/>
  <c r="I176" i="8"/>
  <c r="J176" i="8"/>
  <c r="AD176" i="8"/>
  <c r="I113" i="8"/>
  <c r="I114" i="8"/>
  <c r="J114" i="8"/>
  <c r="AD114" i="8"/>
  <c r="I108" i="8"/>
  <c r="I109" i="8"/>
  <c r="J109" i="8"/>
  <c r="AD109" i="8"/>
  <c r="I103" i="8"/>
  <c r="I104" i="8"/>
  <c r="J104" i="8"/>
  <c r="AD104" i="8"/>
  <c r="I98" i="8"/>
  <c r="I99" i="8"/>
  <c r="J99" i="8"/>
  <c r="AD99" i="8"/>
  <c r="I93" i="8"/>
  <c r="I94" i="8"/>
  <c r="J94" i="8"/>
  <c r="AD94" i="8"/>
  <c r="I88" i="8"/>
  <c r="I89" i="8"/>
  <c r="J89" i="8"/>
  <c r="AD89" i="8"/>
  <c r="I83" i="8"/>
  <c r="I84" i="8"/>
  <c r="J84" i="8"/>
  <c r="AD84" i="8"/>
  <c r="I78" i="8"/>
  <c r="I79" i="8"/>
  <c r="J79" i="8"/>
  <c r="AD79" i="8"/>
  <c r="I73" i="8"/>
  <c r="I74" i="8"/>
  <c r="J74" i="8"/>
  <c r="AD74" i="8"/>
  <c r="I68" i="8"/>
  <c r="I69" i="8"/>
  <c r="J69" i="8"/>
  <c r="AD69" i="8"/>
  <c r="I63" i="8"/>
  <c r="I64" i="8"/>
  <c r="J64" i="8"/>
  <c r="AD64" i="8"/>
  <c r="I58" i="8"/>
  <c r="I59" i="8"/>
  <c r="J59" i="8"/>
  <c r="AD59" i="8"/>
  <c r="I53" i="8"/>
  <c r="I54" i="8"/>
  <c r="J54" i="8"/>
  <c r="AD54" i="8"/>
  <c r="I48" i="8"/>
  <c r="I49" i="8"/>
  <c r="J49" i="8"/>
  <c r="AD49" i="8"/>
  <c r="I43" i="8"/>
  <c r="I44" i="8"/>
  <c r="J44" i="8"/>
  <c r="AD44" i="8"/>
  <c r="I38" i="8"/>
  <c r="I39" i="8"/>
  <c r="J39" i="8"/>
  <c r="AD39" i="8"/>
  <c r="I33" i="8"/>
  <c r="I34" i="8"/>
  <c r="J34" i="8"/>
  <c r="AD34" i="8"/>
  <c r="I28" i="8"/>
  <c r="I29" i="8"/>
  <c r="J29" i="8"/>
  <c r="AD29" i="8"/>
  <c r="I23" i="8"/>
  <c r="I24" i="8"/>
  <c r="J24" i="8"/>
  <c r="AD24" i="8"/>
  <c r="I18" i="8"/>
  <c r="I19" i="8"/>
  <c r="J19" i="8"/>
  <c r="AD19" i="8"/>
  <c r="I13" i="8"/>
  <c r="I14" i="8"/>
  <c r="J14" i="8"/>
  <c r="AD14" i="8"/>
  <c r="X21" i="8"/>
  <c r="V19" i="8"/>
  <c r="M18" i="8"/>
  <c r="M19" i="8"/>
  <c r="M20" i="8"/>
  <c r="M21" i="8"/>
  <c r="H2" i="6"/>
  <c r="V14" i="8"/>
  <c r="AE134" i="8"/>
  <c r="P17" i="8"/>
  <c r="X16" i="8"/>
  <c r="Y75" i="9"/>
  <c r="Q76" i="9"/>
  <c r="Y76" i="9"/>
  <c r="I106" i="9"/>
  <c r="J106" i="9"/>
  <c r="J105" i="9"/>
  <c r="J69" i="9"/>
  <c r="AD69" i="9"/>
  <c r="AE69" i="9"/>
  <c r="I70" i="9"/>
  <c r="Y80" i="9"/>
  <c r="Q81" i="9"/>
  <c r="Y81" i="9"/>
  <c r="AE84" i="9"/>
  <c r="Z85" i="9"/>
  <c r="I31" i="9"/>
  <c r="J31" i="9"/>
  <c r="J30" i="9"/>
  <c r="I26" i="9"/>
  <c r="J26" i="9"/>
  <c r="J25" i="9"/>
  <c r="Z106" i="9"/>
  <c r="AE106" i="9"/>
  <c r="AE105" i="9"/>
  <c r="Z90" i="9"/>
  <c r="AE89" i="9"/>
  <c r="I159" i="9"/>
  <c r="J159" i="9"/>
  <c r="J158" i="9"/>
  <c r="Q85" i="9"/>
  <c r="Y84" i="9"/>
  <c r="P90" i="9"/>
  <c r="N91" i="9"/>
  <c r="P91" i="9"/>
  <c r="Y49" i="9"/>
  <c r="Q50" i="9"/>
  <c r="AE59" i="9"/>
  <c r="Z60" i="9"/>
  <c r="N56" i="9"/>
  <c r="P56" i="9"/>
  <c r="P55" i="9"/>
  <c r="I154" i="9"/>
  <c r="J154" i="9"/>
  <c r="J153" i="9"/>
  <c r="I46" i="9"/>
  <c r="J46" i="9"/>
  <c r="J45" i="9"/>
  <c r="Z36" i="9"/>
  <c r="AE36" i="9"/>
  <c r="AE35" i="9"/>
  <c r="N31" i="9"/>
  <c r="P31" i="9"/>
  <c r="P30" i="9"/>
  <c r="Q21" i="9"/>
  <c r="Y21" i="9"/>
  <c r="Y20" i="9"/>
  <c r="I144" i="9"/>
  <c r="J144" i="9"/>
  <c r="J143" i="9"/>
  <c r="S40" i="9"/>
  <c r="Y39" i="9"/>
  <c r="I149" i="9"/>
  <c r="J149" i="9"/>
  <c r="J148" i="9"/>
  <c r="Y105" i="9"/>
  <c r="Q106" i="9"/>
  <c r="Y106" i="9"/>
  <c r="I164" i="9"/>
  <c r="J164" i="9"/>
  <c r="J163" i="9"/>
  <c r="S133" i="9"/>
  <c r="Y132" i="9"/>
  <c r="N116" i="9"/>
  <c r="P116" i="9"/>
  <c r="P115" i="9"/>
  <c r="J79" i="9"/>
  <c r="AD79" i="9"/>
  <c r="AE79" i="9"/>
  <c r="I80" i="9"/>
  <c r="AE115" i="9"/>
  <c r="P79" i="9"/>
  <c r="N80" i="9"/>
  <c r="I139" i="9"/>
  <c r="J139" i="9"/>
  <c r="J138" i="9"/>
  <c r="AE99" i="9"/>
  <c r="Z100" i="9"/>
  <c r="P70" i="9"/>
  <c r="N71" i="9"/>
  <c r="P71" i="9"/>
  <c r="Y90" i="9"/>
  <c r="Q91" i="9"/>
  <c r="Y91" i="9"/>
  <c r="Z71" i="9"/>
  <c r="AE71" i="9"/>
  <c r="AE70" i="9"/>
  <c r="P44" i="9"/>
  <c r="N45" i="9"/>
  <c r="AE64" i="9"/>
  <c r="Z65" i="9"/>
  <c r="Z46" i="9"/>
  <c r="AE46" i="9"/>
  <c r="AE45" i="9"/>
  <c r="AE96" i="9"/>
  <c r="AE55" i="9"/>
  <c r="Z56" i="9"/>
  <c r="AE56" i="9"/>
  <c r="I86" i="9"/>
  <c r="J86" i="9"/>
  <c r="J85" i="9"/>
  <c r="I56" i="9"/>
  <c r="J56" i="9"/>
  <c r="J55" i="9"/>
  <c r="Q96" i="9"/>
  <c r="Y96" i="9"/>
  <c r="Y95" i="9"/>
  <c r="Z16" i="9"/>
  <c r="AE16" i="9"/>
  <c r="AE15" i="9"/>
  <c r="Q36" i="9"/>
  <c r="Y36" i="9"/>
  <c r="Y35" i="9"/>
  <c r="J15" i="9"/>
  <c r="I16" i="9"/>
  <c r="J16" i="9"/>
  <c r="N41" i="9"/>
  <c r="P41" i="9"/>
  <c r="P40" i="9"/>
  <c r="S128" i="9"/>
  <c r="Y127" i="9"/>
  <c r="N96" i="9"/>
  <c r="P96" i="9"/>
  <c r="P95" i="9"/>
  <c r="Y110" i="9"/>
  <c r="Q111" i="9"/>
  <c r="Y111" i="9"/>
  <c r="I76" i="9"/>
  <c r="J76" i="9"/>
  <c r="J75" i="9"/>
  <c r="Q31" i="9"/>
  <c r="Y31" i="9"/>
  <c r="Y30" i="9"/>
  <c r="N15" i="9"/>
  <c r="P14" i="9"/>
  <c r="P50" i="9"/>
  <c r="N51" i="9"/>
  <c r="P51" i="9"/>
  <c r="AE236" i="9"/>
  <c r="J109" i="9"/>
  <c r="AD109" i="9"/>
  <c r="AE109" i="9"/>
  <c r="I110" i="9"/>
  <c r="AE114" i="9"/>
  <c r="I116" i="9"/>
  <c r="J116" i="9"/>
  <c r="J115" i="9"/>
  <c r="S66" i="9"/>
  <c r="Y66" i="9"/>
  <c r="Y65" i="9"/>
  <c r="P105" i="9"/>
  <c r="N106" i="9"/>
  <c r="P106" i="9"/>
  <c r="I101" i="9"/>
  <c r="J101" i="9"/>
  <c r="J100" i="9"/>
  <c r="Y114" i="9"/>
  <c r="Q115" i="9"/>
  <c r="I91" i="9"/>
  <c r="J91" i="9"/>
  <c r="J90" i="9"/>
  <c r="Q71" i="9"/>
  <c r="Y71" i="9"/>
  <c r="Y70" i="9"/>
  <c r="I66" i="9"/>
  <c r="J66" i="9"/>
  <c r="J65" i="9"/>
  <c r="AE95" i="9"/>
  <c r="Y15" i="9"/>
  <c r="Q16" i="9"/>
  <c r="Y16" i="9"/>
  <c r="Z30" i="9"/>
  <c r="AE29" i="9"/>
  <c r="Y45" i="9"/>
  <c r="Q46" i="9"/>
  <c r="Y46" i="9"/>
  <c r="P25" i="9"/>
  <c r="N26" i="9"/>
  <c r="P26" i="9"/>
  <c r="Y25" i="9"/>
  <c r="Q26" i="9"/>
  <c r="Y26" i="9"/>
  <c r="Y29" i="9"/>
  <c r="M14" i="8"/>
  <c r="M15" i="8"/>
  <c r="M13" i="8"/>
  <c r="H9" i="6"/>
  <c r="G12" i="1"/>
  <c r="F12" i="1"/>
  <c r="H12" i="1"/>
  <c r="J12" i="1"/>
  <c r="H6" i="7"/>
  <c r="E18" i="7"/>
  <c r="F18" i="7"/>
  <c r="N6" i="6"/>
  <c r="O6" i="6"/>
  <c r="E17" i="7"/>
  <c r="F17" i="7"/>
  <c r="N5" i="6"/>
  <c r="P80" i="9"/>
  <c r="N81" i="9"/>
  <c r="P81" i="9"/>
  <c r="Q116" i="9"/>
  <c r="Y116" i="9"/>
  <c r="Y115" i="9"/>
  <c r="I81" i="9"/>
  <c r="J81" i="9"/>
  <c r="J80" i="9"/>
  <c r="AE60" i="9"/>
  <c r="Z61" i="9"/>
  <c r="AE61" i="9"/>
  <c r="N16" i="9"/>
  <c r="P16" i="9"/>
  <c r="P15" i="9"/>
  <c r="S134" i="9"/>
  <c r="Y134" i="9"/>
  <c r="Y133" i="9"/>
  <c r="S41" i="9"/>
  <c r="Y41" i="9"/>
  <c r="Y40" i="9"/>
  <c r="AE30" i="9"/>
  <c r="Z31" i="9"/>
  <c r="AE31" i="9"/>
  <c r="Y50" i="9"/>
  <c r="Q51" i="9"/>
  <c r="Y51" i="9"/>
  <c r="AE85" i="9"/>
  <c r="Z86" i="9"/>
  <c r="AE86" i="9"/>
  <c r="I71" i="9"/>
  <c r="J71" i="9"/>
  <c r="J70" i="9"/>
  <c r="P45" i="9"/>
  <c r="N46" i="9"/>
  <c r="P46" i="9"/>
  <c r="Z101" i="9"/>
  <c r="AE101" i="9"/>
  <c r="AE100" i="9"/>
  <c r="I111" i="9"/>
  <c r="J111" i="9"/>
  <c r="J110" i="9"/>
  <c r="S129" i="9"/>
  <c r="Y129" i="9"/>
  <c r="Y128" i="9"/>
  <c r="AE65" i="9"/>
  <c r="Z66" i="9"/>
  <c r="AE66" i="9"/>
  <c r="Q86" i="9"/>
  <c r="Y86" i="9"/>
  <c r="Y85" i="9"/>
  <c r="AE90" i="9"/>
  <c r="Z91" i="9"/>
  <c r="AE91" i="9"/>
  <c r="M16" i="8"/>
  <c r="H3" i="6"/>
  <c r="Y281" i="8"/>
  <c r="W281" i="8"/>
  <c r="I281" i="8"/>
  <c r="H281" i="8"/>
  <c r="Q260" i="8"/>
  <c r="Y260" i="8"/>
  <c r="F281" i="8"/>
  <c r="I259" i="8"/>
  <c r="Y280" i="8"/>
  <c r="W280" i="8"/>
  <c r="I280" i="8"/>
  <c r="Z247" i="8"/>
  <c r="H280" i="8"/>
  <c r="F280" i="8"/>
  <c r="G280" i="8"/>
  <c r="Y279" i="8"/>
  <c r="W279" i="8"/>
  <c r="I279" i="8"/>
  <c r="Z238" i="8"/>
  <c r="AE238" i="8"/>
  <c r="H279" i="8"/>
  <c r="Q235" i="8"/>
  <c r="Y235" i="8"/>
  <c r="F279" i="8"/>
  <c r="I230" i="8"/>
  <c r="Y278" i="8"/>
  <c r="W278" i="8"/>
  <c r="I278" i="8"/>
  <c r="Z227" i="8"/>
  <c r="AE227" i="8"/>
  <c r="H278" i="8"/>
  <c r="F278" i="8"/>
  <c r="G278" i="8"/>
  <c r="Y277" i="8"/>
  <c r="W277" i="8"/>
  <c r="I277" i="8"/>
  <c r="Z213" i="8"/>
  <c r="AE213" i="8"/>
  <c r="H277" i="8"/>
  <c r="I213" i="8"/>
  <c r="Y276" i="8"/>
  <c r="W276" i="8"/>
  <c r="I276" i="8"/>
  <c r="Z201" i="8"/>
  <c r="AE201" i="8"/>
  <c r="H276" i="8"/>
  <c r="Q205" i="8"/>
  <c r="Y205" i="8"/>
  <c r="G276" i="8"/>
  <c r="Y275" i="8"/>
  <c r="W275" i="8"/>
  <c r="I275" i="8"/>
  <c r="Z192" i="8"/>
  <c r="H275" i="8"/>
  <c r="Q192" i="8"/>
  <c r="Y192" i="8"/>
  <c r="Y274" i="8"/>
  <c r="W274" i="8"/>
  <c r="I274" i="8"/>
  <c r="Z182" i="8"/>
  <c r="H274" i="8"/>
  <c r="Q180" i="8"/>
  <c r="Y180" i="8"/>
  <c r="G271" i="8"/>
  <c r="F271" i="8"/>
  <c r="G270" i="8"/>
  <c r="F270" i="8"/>
  <c r="G269" i="8"/>
  <c r="F269" i="8"/>
  <c r="G268" i="8"/>
  <c r="F268" i="8"/>
  <c r="G267" i="8"/>
  <c r="F267" i="8"/>
  <c r="G266" i="8"/>
  <c r="F266" i="8"/>
  <c r="G265" i="8"/>
  <c r="F265" i="8"/>
  <c r="Z260" i="8"/>
  <c r="AE260" i="8"/>
  <c r="N260" i="8"/>
  <c r="P260" i="8"/>
  <c r="L260" i="8"/>
  <c r="Z259" i="8"/>
  <c r="N259" i="8"/>
  <c r="P259" i="8"/>
  <c r="W259" i="8"/>
  <c r="L259" i="8"/>
  <c r="Z258" i="8"/>
  <c r="N258" i="8"/>
  <c r="P258" i="8"/>
  <c r="L258" i="8"/>
  <c r="Z257" i="8"/>
  <c r="AE257" i="8"/>
  <c r="N257" i="8"/>
  <c r="P257" i="8"/>
  <c r="L257" i="8"/>
  <c r="Z256" i="8"/>
  <c r="AE256" i="8"/>
  <c r="N256" i="8"/>
  <c r="P256" i="8"/>
  <c r="L256" i="8"/>
  <c r="AE255" i="8"/>
  <c r="N255" i="8"/>
  <c r="P255" i="8"/>
  <c r="Y255" i="8"/>
  <c r="AE254" i="8"/>
  <c r="N254" i="8"/>
  <c r="P254" i="8"/>
  <c r="W254" i="8"/>
  <c r="Y254" i="8"/>
  <c r="P253" i="8"/>
  <c r="Y253" i="8"/>
  <c r="AE252" i="8"/>
  <c r="P252" i="8"/>
  <c r="Y252" i="8"/>
  <c r="AE251" i="8"/>
  <c r="P251" i="8"/>
  <c r="Y251" i="8"/>
  <c r="P250" i="8"/>
  <c r="N249" i="8"/>
  <c r="P249" i="8"/>
  <c r="L249" i="8"/>
  <c r="N248" i="8"/>
  <c r="P248" i="8"/>
  <c r="W248" i="8"/>
  <c r="L248" i="8"/>
  <c r="N247" i="8"/>
  <c r="P247" i="8"/>
  <c r="L247" i="8"/>
  <c r="N246" i="8"/>
  <c r="P246" i="8"/>
  <c r="L246" i="8"/>
  <c r="N245" i="8"/>
  <c r="P245" i="8"/>
  <c r="L245" i="8"/>
  <c r="I245" i="8"/>
  <c r="J245" i="8"/>
  <c r="AE244" i="8"/>
  <c r="N244" i="8"/>
  <c r="P244" i="8"/>
  <c r="Y244" i="8"/>
  <c r="I244" i="8"/>
  <c r="J244" i="8"/>
  <c r="AE243" i="8"/>
  <c r="N243" i="8"/>
  <c r="P243" i="8"/>
  <c r="W243" i="8"/>
  <c r="Y243" i="8"/>
  <c r="I243" i="8"/>
  <c r="J243" i="8"/>
  <c r="P242" i="8"/>
  <c r="Y242" i="8"/>
  <c r="AE241" i="8"/>
  <c r="P241" i="8"/>
  <c r="Y241" i="8"/>
  <c r="AE240" i="8"/>
  <c r="P240" i="8"/>
  <c r="Y240" i="8"/>
  <c r="P239" i="8"/>
  <c r="N238" i="8"/>
  <c r="P238" i="8"/>
  <c r="L238" i="8"/>
  <c r="N237" i="8"/>
  <c r="P237" i="8"/>
  <c r="W237" i="8"/>
  <c r="L237" i="8"/>
  <c r="N236" i="8"/>
  <c r="P236" i="8"/>
  <c r="L236" i="8"/>
  <c r="N235" i="8"/>
  <c r="P235" i="8"/>
  <c r="L235" i="8"/>
  <c r="N234" i="8"/>
  <c r="P234" i="8"/>
  <c r="L234" i="8"/>
  <c r="AE233" i="8"/>
  <c r="N233" i="8"/>
  <c r="P233" i="8"/>
  <c r="Y233" i="8"/>
  <c r="AE232" i="8"/>
  <c r="N232" i="8"/>
  <c r="P232" i="8"/>
  <c r="W232" i="8"/>
  <c r="Y232" i="8"/>
  <c r="P231" i="8"/>
  <c r="Y231" i="8"/>
  <c r="AE230" i="8"/>
  <c r="P230" i="8"/>
  <c r="Y230" i="8"/>
  <c r="AE229" i="8"/>
  <c r="P229" i="8"/>
  <c r="Y229" i="8"/>
  <c r="P228" i="8"/>
  <c r="N227" i="8"/>
  <c r="P227" i="8"/>
  <c r="L227" i="8"/>
  <c r="I227" i="8"/>
  <c r="J227" i="8"/>
  <c r="N226" i="8"/>
  <c r="P226" i="8"/>
  <c r="W226" i="8"/>
  <c r="L226" i="8"/>
  <c r="I226" i="8"/>
  <c r="J226" i="8"/>
  <c r="N225" i="8"/>
  <c r="P225" i="8"/>
  <c r="L225" i="8"/>
  <c r="I225" i="8"/>
  <c r="N224" i="8"/>
  <c r="P224" i="8"/>
  <c r="L224" i="8"/>
  <c r="I224" i="8"/>
  <c r="J224" i="8"/>
  <c r="N223" i="8"/>
  <c r="P223" i="8"/>
  <c r="L223" i="8"/>
  <c r="AE222" i="8"/>
  <c r="N222" i="8"/>
  <c r="P222" i="8"/>
  <c r="Y222" i="8"/>
  <c r="AE221" i="8"/>
  <c r="N221" i="8"/>
  <c r="P221" i="8"/>
  <c r="W221" i="8"/>
  <c r="Y221" i="8"/>
  <c r="I221" i="8"/>
  <c r="J221" i="8"/>
  <c r="P220" i="8"/>
  <c r="Y220" i="8"/>
  <c r="I220" i="8"/>
  <c r="AC220" i="8"/>
  <c r="AE220" i="8"/>
  <c r="AE219" i="8"/>
  <c r="P219" i="8"/>
  <c r="Y219" i="8"/>
  <c r="I219" i="8"/>
  <c r="J219" i="8"/>
  <c r="AE218" i="8"/>
  <c r="P218" i="8"/>
  <c r="Y218" i="8"/>
  <c r="I218" i="8"/>
  <c r="J218" i="8"/>
  <c r="P217" i="8"/>
  <c r="Z216" i="8"/>
  <c r="AE216" i="8"/>
  <c r="N216" i="8"/>
  <c r="P216" i="8"/>
  <c r="L216" i="8"/>
  <c r="Z215" i="8"/>
  <c r="N215" i="8"/>
  <c r="P215" i="8"/>
  <c r="W215" i="8"/>
  <c r="L215" i="8"/>
  <c r="Z214" i="8"/>
  <c r="N214" i="8"/>
  <c r="P214" i="8"/>
  <c r="L214" i="8"/>
  <c r="N213" i="8"/>
  <c r="P213" i="8"/>
  <c r="L213" i="8"/>
  <c r="Z212" i="8"/>
  <c r="AE212" i="8"/>
  <c r="N212" i="8"/>
  <c r="P212" i="8"/>
  <c r="L212" i="8"/>
  <c r="AE211" i="8"/>
  <c r="N211" i="8"/>
  <c r="P211" i="8"/>
  <c r="Y211" i="8"/>
  <c r="AE210" i="8"/>
  <c r="N210" i="8"/>
  <c r="P210" i="8"/>
  <c r="W210" i="8"/>
  <c r="Y210" i="8"/>
  <c r="P209" i="8"/>
  <c r="Y209" i="8"/>
  <c r="AE208" i="8"/>
  <c r="P208" i="8"/>
  <c r="Y208" i="8"/>
  <c r="AE207" i="8"/>
  <c r="P207" i="8"/>
  <c r="Y207" i="8"/>
  <c r="P206" i="8"/>
  <c r="N205" i="8"/>
  <c r="P205" i="8"/>
  <c r="L205" i="8"/>
  <c r="N204" i="8"/>
  <c r="P204" i="8"/>
  <c r="W204" i="8"/>
  <c r="L204" i="8"/>
  <c r="N203" i="8"/>
  <c r="P203" i="8"/>
  <c r="L203" i="8"/>
  <c r="N202" i="8"/>
  <c r="P202" i="8"/>
  <c r="L202" i="8"/>
  <c r="N201" i="8"/>
  <c r="P201" i="8"/>
  <c r="L201" i="8"/>
  <c r="AE200" i="8"/>
  <c r="N200" i="8"/>
  <c r="P200" i="8"/>
  <c r="Y200" i="8"/>
  <c r="AE199" i="8"/>
  <c r="N199" i="8"/>
  <c r="P199" i="8"/>
  <c r="W199" i="8"/>
  <c r="Y199" i="8"/>
  <c r="P198" i="8"/>
  <c r="Y198" i="8"/>
  <c r="AE197" i="8"/>
  <c r="P197" i="8"/>
  <c r="Y197" i="8"/>
  <c r="AE196" i="8"/>
  <c r="P196" i="8"/>
  <c r="Y196" i="8"/>
  <c r="P195" i="8"/>
  <c r="N194" i="8"/>
  <c r="P194" i="8"/>
  <c r="L194" i="8"/>
  <c r="N193" i="8"/>
  <c r="P193" i="8"/>
  <c r="W193" i="8"/>
  <c r="L193" i="8"/>
  <c r="N192" i="8"/>
  <c r="P192" i="8"/>
  <c r="L192" i="8"/>
  <c r="N191" i="8"/>
  <c r="P191" i="8"/>
  <c r="L191" i="8"/>
  <c r="N190" i="8"/>
  <c r="P190" i="8"/>
  <c r="L190" i="8"/>
  <c r="AE189" i="8"/>
  <c r="N189" i="8"/>
  <c r="P189" i="8"/>
  <c r="Y189" i="8"/>
  <c r="AE188" i="8"/>
  <c r="N188" i="8"/>
  <c r="P188" i="8"/>
  <c r="W188" i="8"/>
  <c r="Y188" i="8"/>
  <c r="P187" i="8"/>
  <c r="Y187" i="8"/>
  <c r="AE186" i="8"/>
  <c r="P186" i="8"/>
  <c r="Y186" i="8"/>
  <c r="AE185" i="8"/>
  <c r="P185" i="8"/>
  <c r="Y185" i="8"/>
  <c r="P184" i="8"/>
  <c r="N183" i="8"/>
  <c r="P183" i="8"/>
  <c r="L183" i="8"/>
  <c r="N182" i="8"/>
  <c r="P182" i="8"/>
  <c r="W182" i="8"/>
  <c r="L182" i="8"/>
  <c r="N181" i="8"/>
  <c r="P181" i="8"/>
  <c r="L181" i="8"/>
  <c r="N180" i="8"/>
  <c r="P180" i="8"/>
  <c r="L180" i="8"/>
  <c r="N179" i="8"/>
  <c r="P179" i="8"/>
  <c r="L179" i="8"/>
  <c r="I179" i="8"/>
  <c r="J179" i="8"/>
  <c r="AE178" i="8"/>
  <c r="N178" i="8"/>
  <c r="P178" i="8"/>
  <c r="Y178" i="8"/>
  <c r="AE177" i="8"/>
  <c r="N177" i="8"/>
  <c r="P177" i="8"/>
  <c r="W177" i="8"/>
  <c r="Y177" i="8"/>
  <c r="P176" i="8"/>
  <c r="Y176" i="8"/>
  <c r="AE175" i="8"/>
  <c r="P175" i="8"/>
  <c r="Y175" i="8"/>
  <c r="AE174" i="8"/>
  <c r="P174" i="8"/>
  <c r="Y174" i="8"/>
  <c r="P173" i="8"/>
  <c r="I173" i="8"/>
  <c r="J173" i="8"/>
  <c r="J172" i="8"/>
  <c r="H172" i="8"/>
  <c r="J171" i="8"/>
  <c r="H171" i="8"/>
  <c r="J170" i="8"/>
  <c r="H170" i="8"/>
  <c r="J169" i="8"/>
  <c r="H169" i="8"/>
  <c r="J168" i="8"/>
  <c r="H168" i="8"/>
  <c r="J167" i="8"/>
  <c r="H167" i="8"/>
  <c r="J166" i="8"/>
  <c r="H166" i="8"/>
  <c r="J165" i="8"/>
  <c r="H165" i="8"/>
  <c r="AE164" i="8"/>
  <c r="Y164" i="8"/>
  <c r="AE163" i="8"/>
  <c r="W163" i="8"/>
  <c r="Y163" i="8"/>
  <c r="AE162" i="8"/>
  <c r="Y162" i="8"/>
  <c r="AE161" i="8"/>
  <c r="Y161" i="8"/>
  <c r="I161" i="8"/>
  <c r="I162" i="8"/>
  <c r="I163" i="8"/>
  <c r="AE160" i="8"/>
  <c r="Y160" i="8"/>
  <c r="J160" i="8"/>
  <c r="AE159" i="8"/>
  <c r="Y159" i="8"/>
  <c r="AE158" i="8"/>
  <c r="W158" i="8"/>
  <c r="Y158" i="8"/>
  <c r="AE157" i="8"/>
  <c r="Y157" i="8"/>
  <c r="AE156" i="8"/>
  <c r="Y156" i="8"/>
  <c r="I156" i="8"/>
  <c r="J156" i="8"/>
  <c r="AE155" i="8"/>
  <c r="Y155" i="8"/>
  <c r="J155" i="8"/>
  <c r="AE154" i="8"/>
  <c r="Y154" i="8"/>
  <c r="AE153" i="8"/>
  <c r="W153" i="8"/>
  <c r="Y153" i="8"/>
  <c r="AE152" i="8"/>
  <c r="Y152" i="8"/>
  <c r="AE151" i="8"/>
  <c r="Y151" i="8"/>
  <c r="I151" i="8"/>
  <c r="AE150" i="8"/>
  <c r="Y150" i="8"/>
  <c r="J150" i="8"/>
  <c r="AE149" i="8"/>
  <c r="Y149" i="8"/>
  <c r="AE148" i="8"/>
  <c r="W148" i="8"/>
  <c r="Y148" i="8"/>
  <c r="AE147" i="8"/>
  <c r="Y147" i="8"/>
  <c r="AE146" i="8"/>
  <c r="Y146" i="8"/>
  <c r="I146" i="8"/>
  <c r="J146" i="8"/>
  <c r="AE145" i="8"/>
  <c r="Y145" i="8"/>
  <c r="J145" i="8"/>
  <c r="AE144" i="8"/>
  <c r="Y144" i="8"/>
  <c r="AE143" i="8"/>
  <c r="W143" i="8"/>
  <c r="Y143" i="8"/>
  <c r="AE142" i="8"/>
  <c r="Y142" i="8"/>
  <c r="AE141" i="8"/>
  <c r="Y141" i="8"/>
  <c r="I141" i="8"/>
  <c r="I142" i="8"/>
  <c r="AE140" i="8"/>
  <c r="Y140" i="8"/>
  <c r="J140" i="8"/>
  <c r="AE139" i="8"/>
  <c r="Y139" i="8"/>
  <c r="AE138" i="8"/>
  <c r="W138" i="8"/>
  <c r="Y138" i="8"/>
  <c r="AE137" i="8"/>
  <c r="Y137" i="8"/>
  <c r="AE136" i="8"/>
  <c r="Y136" i="8"/>
  <c r="I136" i="8"/>
  <c r="I137" i="8"/>
  <c r="AE135" i="8"/>
  <c r="Y135" i="8"/>
  <c r="J135" i="8"/>
  <c r="AE133" i="8"/>
  <c r="W133" i="8"/>
  <c r="AE132" i="8"/>
  <c r="AE131" i="8"/>
  <c r="S131" i="8"/>
  <c r="S132" i="8"/>
  <c r="S133" i="8"/>
  <c r="I131" i="8"/>
  <c r="I132" i="8"/>
  <c r="I133" i="8"/>
  <c r="I134" i="8"/>
  <c r="J134" i="8"/>
  <c r="AE130" i="8"/>
  <c r="Y130" i="8"/>
  <c r="J130" i="8"/>
  <c r="AE129" i="8"/>
  <c r="AE128" i="8"/>
  <c r="W128" i="8"/>
  <c r="AE127" i="8"/>
  <c r="AE126" i="8"/>
  <c r="S126" i="8"/>
  <c r="S127" i="8"/>
  <c r="S128" i="8"/>
  <c r="I126" i="8"/>
  <c r="AE125" i="8"/>
  <c r="Y125" i="8"/>
  <c r="J125" i="8"/>
  <c r="J124" i="8"/>
  <c r="J123" i="8"/>
  <c r="J122" i="8"/>
  <c r="J121" i="8"/>
  <c r="J120" i="8"/>
  <c r="J119" i="8"/>
  <c r="J118" i="8"/>
  <c r="J117" i="8"/>
  <c r="W115" i="8"/>
  <c r="AB114" i="8"/>
  <c r="U114" i="8"/>
  <c r="AA113" i="8"/>
  <c r="AA114" i="8"/>
  <c r="Z113" i="8"/>
  <c r="O113" i="8"/>
  <c r="O114" i="8"/>
  <c r="O115" i="8"/>
  <c r="O116" i="8"/>
  <c r="N113" i="8"/>
  <c r="N114" i="8"/>
  <c r="S113" i="8"/>
  <c r="S114" i="8"/>
  <c r="S115" i="8"/>
  <c r="S116" i="8"/>
  <c r="Q113" i="8"/>
  <c r="Q114" i="8"/>
  <c r="L113" i="8"/>
  <c r="AE112" i="8"/>
  <c r="P112" i="8"/>
  <c r="Y112" i="8"/>
  <c r="J112" i="8"/>
  <c r="W110" i="8"/>
  <c r="AB109" i="8"/>
  <c r="U109" i="8"/>
  <c r="AA108" i="8"/>
  <c r="AA109" i="8"/>
  <c r="AA110" i="8"/>
  <c r="AA111" i="8"/>
  <c r="Z108" i="8"/>
  <c r="O108" i="8"/>
  <c r="O109" i="8"/>
  <c r="O110" i="8"/>
  <c r="O111" i="8"/>
  <c r="N108" i="8"/>
  <c r="S108" i="8"/>
  <c r="S109" i="8"/>
  <c r="S110" i="8"/>
  <c r="S111" i="8"/>
  <c r="Q108" i="8"/>
  <c r="L108" i="8"/>
  <c r="I110" i="8"/>
  <c r="AE107" i="8"/>
  <c r="P107" i="8"/>
  <c r="Y107" i="8"/>
  <c r="J107" i="8"/>
  <c r="W105" i="8"/>
  <c r="AB104" i="8"/>
  <c r="U104" i="8"/>
  <c r="AA103" i="8"/>
  <c r="AA104" i="8"/>
  <c r="AA105" i="8"/>
  <c r="AA106" i="8"/>
  <c r="Z103" i="8"/>
  <c r="O103" i="8"/>
  <c r="O104" i="8"/>
  <c r="O105" i="8"/>
  <c r="O106" i="8"/>
  <c r="N103" i="8"/>
  <c r="S103" i="8"/>
  <c r="S104" i="8"/>
  <c r="S105" i="8"/>
  <c r="S106" i="8"/>
  <c r="Q103" i="8"/>
  <c r="L103" i="8"/>
  <c r="L104" i="8"/>
  <c r="L105" i="8"/>
  <c r="L106" i="8"/>
  <c r="AE102" i="8"/>
  <c r="P102" i="8"/>
  <c r="Y102" i="8"/>
  <c r="J102" i="8"/>
  <c r="W100" i="8"/>
  <c r="AB99" i="8"/>
  <c r="U99" i="8"/>
  <c r="AA98" i="8"/>
  <c r="Z98" i="8"/>
  <c r="Z99" i="8"/>
  <c r="O98" i="8"/>
  <c r="O99" i="8"/>
  <c r="O100" i="8"/>
  <c r="O101" i="8"/>
  <c r="N98" i="8"/>
  <c r="S98" i="8"/>
  <c r="S99" i="8"/>
  <c r="S100" i="8"/>
  <c r="S101" i="8"/>
  <c r="Q98" i="8"/>
  <c r="L98" i="8"/>
  <c r="AE97" i="8"/>
  <c r="P97" i="8"/>
  <c r="Y97" i="8"/>
  <c r="J97" i="8"/>
  <c r="W95" i="8"/>
  <c r="AB94" i="8"/>
  <c r="U94" i="8"/>
  <c r="AA93" i="8"/>
  <c r="Z93" i="8"/>
  <c r="Z94" i="8"/>
  <c r="Z95" i="8"/>
  <c r="O93" i="8"/>
  <c r="N93" i="8"/>
  <c r="N94" i="8"/>
  <c r="S93" i="8"/>
  <c r="Q93" i="8"/>
  <c r="Q94" i="8"/>
  <c r="L93" i="8"/>
  <c r="L94" i="8"/>
  <c r="I95" i="8"/>
  <c r="J95" i="8"/>
  <c r="AE92" i="8"/>
  <c r="P92" i="8"/>
  <c r="Y92" i="8"/>
  <c r="J92" i="8"/>
  <c r="W90" i="8"/>
  <c r="AB89" i="8"/>
  <c r="U89" i="8"/>
  <c r="AA88" i="8"/>
  <c r="AA89" i="8"/>
  <c r="AA90" i="8"/>
  <c r="AA91" i="8"/>
  <c r="Z88" i="8"/>
  <c r="Z89" i="8"/>
  <c r="O88" i="8"/>
  <c r="O89" i="8"/>
  <c r="O90" i="8"/>
  <c r="O91" i="8"/>
  <c r="N88" i="8"/>
  <c r="N89" i="8"/>
  <c r="S88" i="8"/>
  <c r="S89" i="8"/>
  <c r="S90" i="8"/>
  <c r="S91" i="8"/>
  <c r="Q88" i="8"/>
  <c r="Q89" i="8"/>
  <c r="L88" i="8"/>
  <c r="AE87" i="8"/>
  <c r="P87" i="8"/>
  <c r="Y87" i="8"/>
  <c r="J87" i="8"/>
  <c r="W85" i="8"/>
  <c r="AB84" i="8"/>
  <c r="U84" i="8"/>
  <c r="AA83" i="8"/>
  <c r="AA84" i="8"/>
  <c r="AA85" i="8"/>
  <c r="AA86" i="8"/>
  <c r="Z83" i="8"/>
  <c r="O83" i="8"/>
  <c r="O84" i="8"/>
  <c r="O85" i="8"/>
  <c r="O86" i="8"/>
  <c r="N83" i="8"/>
  <c r="N84" i="8"/>
  <c r="N85" i="8"/>
  <c r="S83" i="8"/>
  <c r="S84" i="8"/>
  <c r="S85" i="8"/>
  <c r="S86" i="8"/>
  <c r="Q83" i="8"/>
  <c r="Q84" i="8"/>
  <c r="L83" i="8"/>
  <c r="AE82" i="8"/>
  <c r="P82" i="8"/>
  <c r="Y82" i="8"/>
  <c r="J82" i="8"/>
  <c r="W80" i="8"/>
  <c r="AB79" i="8"/>
  <c r="U79" i="8"/>
  <c r="AA78" i="8"/>
  <c r="AA79" i="8"/>
  <c r="AA80" i="8"/>
  <c r="AA81" i="8"/>
  <c r="Z78" i="8"/>
  <c r="O78" i="8"/>
  <c r="O79" i="8"/>
  <c r="O80" i="8"/>
  <c r="O81" i="8"/>
  <c r="N78" i="8"/>
  <c r="S78" i="8"/>
  <c r="S79" i="8"/>
  <c r="S80" i="8"/>
  <c r="S81" i="8"/>
  <c r="Q78" i="8"/>
  <c r="L78" i="8"/>
  <c r="L79" i="8"/>
  <c r="L80" i="8"/>
  <c r="L81" i="8"/>
  <c r="AE77" i="8"/>
  <c r="P77" i="8"/>
  <c r="Y77" i="8"/>
  <c r="J77" i="8"/>
  <c r="W75" i="8"/>
  <c r="AB74" i="8"/>
  <c r="U74" i="8"/>
  <c r="AA73" i="8"/>
  <c r="AA74" i="8"/>
  <c r="AA75" i="8"/>
  <c r="AA76" i="8"/>
  <c r="Z73" i="8"/>
  <c r="O73" i="8"/>
  <c r="O74" i="8"/>
  <c r="O75" i="8"/>
  <c r="O76" i="8"/>
  <c r="N73" i="8"/>
  <c r="S73" i="8"/>
  <c r="S74" i="8"/>
  <c r="S75" i="8"/>
  <c r="S76" i="8"/>
  <c r="Q73" i="8"/>
  <c r="L73" i="8"/>
  <c r="L74" i="8"/>
  <c r="L75" i="8"/>
  <c r="J73" i="8"/>
  <c r="AE72" i="8"/>
  <c r="P72" i="8"/>
  <c r="Y72" i="8"/>
  <c r="J72" i="8"/>
  <c r="W70" i="8"/>
  <c r="AB69" i="8"/>
  <c r="U69" i="8"/>
  <c r="AA68" i="8"/>
  <c r="AA69" i="8"/>
  <c r="AA70" i="8"/>
  <c r="AA71" i="8"/>
  <c r="Z68" i="8"/>
  <c r="O68" i="8"/>
  <c r="O69" i="8"/>
  <c r="O70" i="8"/>
  <c r="O71" i="8"/>
  <c r="N68" i="8"/>
  <c r="N69" i="8"/>
  <c r="S68" i="8"/>
  <c r="S69" i="8"/>
  <c r="S70" i="8"/>
  <c r="S71" i="8"/>
  <c r="Q68" i="8"/>
  <c r="Q69" i="8"/>
  <c r="L68" i="8"/>
  <c r="L69" i="8"/>
  <c r="I70" i="8"/>
  <c r="I71" i="8"/>
  <c r="J71" i="8"/>
  <c r="AE67" i="8"/>
  <c r="P67" i="8"/>
  <c r="Y67" i="8"/>
  <c r="J67" i="8"/>
  <c r="W65" i="8"/>
  <c r="AB64" i="8"/>
  <c r="U64" i="8"/>
  <c r="AA63" i="8"/>
  <c r="AA64" i="8"/>
  <c r="AA65" i="8"/>
  <c r="AA66" i="8"/>
  <c r="Z63" i="8"/>
  <c r="O63" i="8"/>
  <c r="O64" i="8"/>
  <c r="O65" i="8"/>
  <c r="O66" i="8"/>
  <c r="N63" i="8"/>
  <c r="S63" i="8"/>
  <c r="S64" i="8"/>
  <c r="S65" i="8"/>
  <c r="S66" i="8"/>
  <c r="Q63" i="8"/>
  <c r="Q64" i="8"/>
  <c r="L63" i="8"/>
  <c r="AE62" i="8"/>
  <c r="P62" i="8"/>
  <c r="Y62" i="8"/>
  <c r="J62" i="8"/>
  <c r="W60" i="8"/>
  <c r="AB59" i="8"/>
  <c r="U59" i="8"/>
  <c r="AA58" i="8"/>
  <c r="AA59" i="8"/>
  <c r="AA60" i="8"/>
  <c r="AA61" i="8"/>
  <c r="Z58" i="8"/>
  <c r="O58" i="8"/>
  <c r="O59" i="8"/>
  <c r="O60" i="8"/>
  <c r="O61" i="8"/>
  <c r="N58" i="8"/>
  <c r="S58" i="8"/>
  <c r="S59" i="8"/>
  <c r="S60" i="8"/>
  <c r="S61" i="8"/>
  <c r="Q58" i="8"/>
  <c r="L58" i="8"/>
  <c r="L59" i="8"/>
  <c r="L60" i="8"/>
  <c r="L61" i="8"/>
  <c r="AE57" i="8"/>
  <c r="P57" i="8"/>
  <c r="Y57" i="8"/>
  <c r="J57" i="8"/>
  <c r="W55" i="8"/>
  <c r="AB54" i="8"/>
  <c r="U54" i="8"/>
  <c r="AA53" i="8"/>
  <c r="AA54" i="8"/>
  <c r="AA55" i="8"/>
  <c r="AA56" i="8"/>
  <c r="Z53" i="8"/>
  <c r="O53" i="8"/>
  <c r="O54" i="8"/>
  <c r="O55" i="8"/>
  <c r="O56" i="8"/>
  <c r="N53" i="8"/>
  <c r="S53" i="8"/>
  <c r="S54" i="8"/>
  <c r="S55" i="8"/>
  <c r="S56" i="8"/>
  <c r="Q53" i="8"/>
  <c r="L53" i="8"/>
  <c r="L54" i="8"/>
  <c r="L55" i="8"/>
  <c r="AE52" i="8"/>
  <c r="P52" i="8"/>
  <c r="Y52" i="8"/>
  <c r="J52" i="8"/>
  <c r="W50" i="8"/>
  <c r="AB49" i="8"/>
  <c r="U49" i="8"/>
  <c r="AA48" i="8"/>
  <c r="AA49" i="8"/>
  <c r="AA50" i="8"/>
  <c r="AA51" i="8"/>
  <c r="Z48" i="8"/>
  <c r="Z49" i="8"/>
  <c r="O48" i="8"/>
  <c r="O49" i="8"/>
  <c r="N48" i="8"/>
  <c r="N49" i="8"/>
  <c r="N50" i="8"/>
  <c r="N51" i="8"/>
  <c r="S48" i="8"/>
  <c r="S49" i="8"/>
  <c r="S50" i="8"/>
  <c r="S51" i="8"/>
  <c r="Q48" i="8"/>
  <c r="Q49" i="8"/>
  <c r="Q50" i="8"/>
  <c r="L48" i="8"/>
  <c r="J48" i="8"/>
  <c r="AE47" i="8"/>
  <c r="P47" i="8"/>
  <c r="Y47" i="8"/>
  <c r="J47" i="8"/>
  <c r="W45" i="8"/>
  <c r="AB44" i="8"/>
  <c r="U44" i="8"/>
  <c r="AA43" i="8"/>
  <c r="Z43" i="8"/>
  <c r="Z44" i="8"/>
  <c r="Z45" i="8"/>
  <c r="O43" i="8"/>
  <c r="N43" i="8"/>
  <c r="N44" i="8"/>
  <c r="N45" i="8"/>
  <c r="N46" i="8"/>
  <c r="S43" i="8"/>
  <c r="Q43" i="8"/>
  <c r="Q44" i="8"/>
  <c r="L43" i="8"/>
  <c r="L44" i="8"/>
  <c r="I45" i="8"/>
  <c r="J45" i="8"/>
  <c r="AE42" i="8"/>
  <c r="P42" i="8"/>
  <c r="Y42" i="8"/>
  <c r="J42" i="8"/>
  <c r="W40" i="8"/>
  <c r="AB39" i="8"/>
  <c r="U39" i="8"/>
  <c r="AA38" i="8"/>
  <c r="AA39" i="8"/>
  <c r="AA40" i="8"/>
  <c r="AA41" i="8"/>
  <c r="Z38" i="8"/>
  <c r="Z39" i="8"/>
  <c r="O38" i="8"/>
  <c r="O39" i="8"/>
  <c r="O40" i="8"/>
  <c r="O41" i="8"/>
  <c r="N38" i="8"/>
  <c r="N39" i="8"/>
  <c r="S38" i="8"/>
  <c r="S39" i="8"/>
  <c r="S40" i="8"/>
  <c r="S41" i="8"/>
  <c r="Q38" i="8"/>
  <c r="L38" i="8"/>
  <c r="J38" i="8"/>
  <c r="AE37" i="8"/>
  <c r="P37" i="8"/>
  <c r="Y37" i="8"/>
  <c r="J37" i="8"/>
  <c r="W35" i="8"/>
  <c r="AB34" i="8"/>
  <c r="U34" i="8"/>
  <c r="AA33" i="8"/>
  <c r="AA34" i="8"/>
  <c r="AA35" i="8"/>
  <c r="AA36" i="8"/>
  <c r="Z33" i="8"/>
  <c r="Z34" i="8"/>
  <c r="Z35" i="8"/>
  <c r="O33" i="8"/>
  <c r="O34" i="8"/>
  <c r="O35" i="8"/>
  <c r="O36" i="8"/>
  <c r="N33" i="8"/>
  <c r="N34" i="8"/>
  <c r="S33" i="8"/>
  <c r="S34" i="8"/>
  <c r="S35" i="8"/>
  <c r="S36" i="8"/>
  <c r="Q33" i="8"/>
  <c r="L33" i="8"/>
  <c r="I35" i="8"/>
  <c r="I36" i="8"/>
  <c r="J36" i="8"/>
  <c r="AE32" i="8"/>
  <c r="P32" i="8"/>
  <c r="Y32" i="8"/>
  <c r="J32" i="8"/>
  <c r="W30" i="8"/>
  <c r="AC29" i="8"/>
  <c r="AC34" i="8"/>
  <c r="AC39" i="8"/>
  <c r="AC44" i="8"/>
  <c r="AC49" i="8"/>
  <c r="AC54" i="8"/>
  <c r="AC59" i="8"/>
  <c r="AC64" i="8"/>
  <c r="AC69" i="8"/>
  <c r="AC74" i="8"/>
  <c r="AC79" i="8"/>
  <c r="AC84" i="8"/>
  <c r="AC89" i="8"/>
  <c r="AC94" i="8"/>
  <c r="AC99" i="8"/>
  <c r="AC104" i="8"/>
  <c r="AC109" i="8"/>
  <c r="AC114" i="8"/>
  <c r="AB29" i="8"/>
  <c r="U29" i="8"/>
  <c r="AA28" i="8"/>
  <c r="AA29" i="8"/>
  <c r="AA30" i="8"/>
  <c r="AA31" i="8"/>
  <c r="Z28" i="8"/>
  <c r="AE28" i="8"/>
  <c r="O28" i="8"/>
  <c r="O29" i="8"/>
  <c r="O30" i="8"/>
  <c r="O31" i="8"/>
  <c r="N28" i="8"/>
  <c r="S28" i="8"/>
  <c r="S29" i="8"/>
  <c r="S30" i="8"/>
  <c r="S31" i="8"/>
  <c r="Q28" i="8"/>
  <c r="Q29" i="8"/>
  <c r="L28" i="8"/>
  <c r="L29" i="8"/>
  <c r="AE27" i="8"/>
  <c r="P27" i="8"/>
  <c r="Y27" i="8"/>
  <c r="J27" i="8"/>
  <c r="W25" i="8"/>
  <c r="AC24" i="8"/>
  <c r="AB24" i="8"/>
  <c r="U24" i="8"/>
  <c r="AA23" i="8"/>
  <c r="AA24" i="8"/>
  <c r="AA25" i="8"/>
  <c r="AA26" i="8"/>
  <c r="Z23" i="8"/>
  <c r="AE23" i="8"/>
  <c r="O23" i="8"/>
  <c r="O24" i="8"/>
  <c r="O25" i="8"/>
  <c r="O26" i="8"/>
  <c r="N23" i="8"/>
  <c r="N24" i="8"/>
  <c r="S23" i="8"/>
  <c r="S24" i="8"/>
  <c r="S25" i="8"/>
  <c r="S26" i="8"/>
  <c r="Q23" i="8"/>
  <c r="Q24" i="8"/>
  <c r="L23" i="8"/>
  <c r="AE22" i="8"/>
  <c r="P22" i="8"/>
  <c r="Y22" i="8"/>
  <c r="J22" i="8"/>
  <c r="W20" i="8"/>
  <c r="AC19" i="8"/>
  <c r="AB19" i="8"/>
  <c r="U19" i="8"/>
  <c r="AA18" i="8"/>
  <c r="AA19" i="8"/>
  <c r="AA20" i="8"/>
  <c r="AA21" i="8"/>
  <c r="Z18" i="8"/>
  <c r="Z19" i="8"/>
  <c r="O18" i="8"/>
  <c r="O19" i="8"/>
  <c r="O20" i="8"/>
  <c r="O21" i="8"/>
  <c r="N18" i="8"/>
  <c r="N19" i="8"/>
  <c r="S18" i="8"/>
  <c r="S19" i="8"/>
  <c r="S20" i="8"/>
  <c r="S21" i="8"/>
  <c r="Q18" i="8"/>
  <c r="Q19" i="8"/>
  <c r="L18" i="8"/>
  <c r="J18" i="8"/>
  <c r="AE17" i="8"/>
  <c r="Y17" i="8"/>
  <c r="J17" i="8"/>
  <c r="W15" i="8"/>
  <c r="AC14" i="8"/>
  <c r="AB14" i="8"/>
  <c r="U14" i="8"/>
  <c r="AA13" i="8"/>
  <c r="AA14" i="8"/>
  <c r="AA15" i="8"/>
  <c r="AA16" i="8"/>
  <c r="Z13" i="8"/>
  <c r="O13" i="8"/>
  <c r="O14" i="8"/>
  <c r="O15" i="8"/>
  <c r="O16" i="8"/>
  <c r="N13" i="8"/>
  <c r="N14" i="8"/>
  <c r="N15" i="8"/>
  <c r="S13" i="8"/>
  <c r="S14" i="8"/>
  <c r="S15" i="8"/>
  <c r="S16" i="8"/>
  <c r="Q13" i="8"/>
  <c r="L13" i="8"/>
  <c r="L14" i="8"/>
  <c r="AE12" i="8"/>
  <c r="P12" i="8"/>
  <c r="Y12" i="8"/>
  <c r="J12" i="8"/>
  <c r="J11" i="8"/>
  <c r="J10" i="8"/>
  <c r="J9" i="8"/>
  <c r="J8" i="8"/>
  <c r="J7" i="8"/>
  <c r="J6" i="8"/>
  <c r="J5" i="8"/>
  <c r="J4" i="8"/>
  <c r="J3" i="8"/>
  <c r="J213" i="8"/>
  <c r="I204" i="8"/>
  <c r="J204" i="8"/>
  <c r="G275" i="8"/>
  <c r="L275" i="8"/>
  <c r="I241" i="8"/>
  <c r="J241" i="8"/>
  <c r="I242" i="8"/>
  <c r="AC242" i="8"/>
  <c r="AE242" i="8"/>
  <c r="I248" i="8"/>
  <c r="J248" i="8"/>
  <c r="Z191" i="8"/>
  <c r="AE191" i="8"/>
  <c r="I195" i="8"/>
  <c r="J195" i="8"/>
  <c r="AC198" i="8"/>
  <c r="AE198" i="8"/>
  <c r="Z234" i="8"/>
  <c r="AE234" i="8"/>
  <c r="Z237" i="8"/>
  <c r="AE237" i="8"/>
  <c r="I239" i="8"/>
  <c r="J239" i="8"/>
  <c r="I246" i="8"/>
  <c r="J246" i="8"/>
  <c r="I240" i="8"/>
  <c r="J240" i="8"/>
  <c r="I249" i="8"/>
  <c r="J249" i="8"/>
  <c r="I202" i="8"/>
  <c r="J202" i="8"/>
  <c r="I247" i="8"/>
  <c r="J247" i="8"/>
  <c r="J230" i="8"/>
  <c r="I191" i="8"/>
  <c r="J191" i="8"/>
  <c r="J259" i="8"/>
  <c r="I184" i="8"/>
  <c r="J184" i="8"/>
  <c r="Q201" i="8"/>
  <c r="U276" i="8"/>
  <c r="Q202" i="8"/>
  <c r="Y202" i="8"/>
  <c r="Q203" i="8"/>
  <c r="Y203" i="8"/>
  <c r="Q204" i="8"/>
  <c r="Y204" i="8"/>
  <c r="Z225" i="8"/>
  <c r="AE259" i="8"/>
  <c r="Q182" i="8"/>
  <c r="Y182" i="8"/>
  <c r="Y132" i="8"/>
  <c r="Q181" i="8"/>
  <c r="Y181" i="8"/>
  <c r="Q183" i="8"/>
  <c r="Y183" i="8"/>
  <c r="P49" i="8"/>
  <c r="Q179" i="8"/>
  <c r="Y179" i="8"/>
  <c r="P48" i="8"/>
  <c r="Z180" i="8"/>
  <c r="AE180" i="8"/>
  <c r="Z181" i="8"/>
  <c r="I190" i="8"/>
  <c r="J190" i="8"/>
  <c r="Y38" i="8"/>
  <c r="J68" i="8"/>
  <c r="Z183" i="8"/>
  <c r="AE183" i="8"/>
  <c r="I194" i="8"/>
  <c r="J194" i="8"/>
  <c r="Q236" i="8"/>
  <c r="Y236" i="8"/>
  <c r="O50" i="8"/>
  <c r="O51" i="8"/>
  <c r="P51" i="8"/>
  <c r="AE98" i="8"/>
  <c r="Z179" i="8"/>
  <c r="AE179" i="8"/>
  <c r="I188" i="8"/>
  <c r="J188" i="8"/>
  <c r="I189" i="8"/>
  <c r="J189" i="8"/>
  <c r="I193" i="8"/>
  <c r="J193" i="8"/>
  <c r="I185" i="8"/>
  <c r="J185" i="8"/>
  <c r="I186" i="8"/>
  <c r="J186" i="8"/>
  <c r="AC187" i="8"/>
  <c r="AE187" i="8"/>
  <c r="Q237" i="8"/>
  <c r="Y237" i="8"/>
  <c r="I46" i="8"/>
  <c r="J46" i="8"/>
  <c r="J13" i="8"/>
  <c r="J136" i="8"/>
  <c r="Z226" i="8"/>
  <c r="AE226" i="8"/>
  <c r="I254" i="8"/>
  <c r="J254" i="8"/>
  <c r="AE13" i="8"/>
  <c r="J23" i="8"/>
  <c r="AE38" i="8"/>
  <c r="AE48" i="8"/>
  <c r="J53" i="8"/>
  <c r="J88" i="8"/>
  <c r="AE88" i="8"/>
  <c r="Y126" i="8"/>
  <c r="J141" i="8"/>
  <c r="I196" i="8"/>
  <c r="J196" i="8"/>
  <c r="I197" i="8"/>
  <c r="J197" i="8"/>
  <c r="I199" i="8"/>
  <c r="J199" i="8"/>
  <c r="I200" i="8"/>
  <c r="J200" i="8"/>
  <c r="I201" i="8"/>
  <c r="J201" i="8"/>
  <c r="I205" i="8"/>
  <c r="J205" i="8"/>
  <c r="I217" i="8"/>
  <c r="J217" i="8"/>
  <c r="I222" i="8"/>
  <c r="J222" i="8"/>
  <c r="I223" i="8"/>
  <c r="J223" i="8"/>
  <c r="Z223" i="8"/>
  <c r="AE223" i="8"/>
  <c r="Z224" i="8"/>
  <c r="AE224" i="8"/>
  <c r="Q238" i="8"/>
  <c r="Y238" i="8"/>
  <c r="I255" i="8"/>
  <c r="J255" i="8"/>
  <c r="I256" i="8"/>
  <c r="J256" i="8"/>
  <c r="P113" i="8"/>
  <c r="AE215" i="8"/>
  <c r="J220" i="8"/>
  <c r="Q234" i="8"/>
  <c r="Y234" i="8"/>
  <c r="I252" i="8"/>
  <c r="J252" i="8"/>
  <c r="I253" i="8"/>
  <c r="AC253" i="8"/>
  <c r="AE253" i="8"/>
  <c r="I258" i="8"/>
  <c r="J258" i="8"/>
  <c r="Z29" i="8"/>
  <c r="AE29" i="8"/>
  <c r="S129" i="8"/>
  <c r="Y129" i="8"/>
  <c r="Y128" i="8"/>
  <c r="J163" i="8"/>
  <c r="I164" i="8"/>
  <c r="J164" i="8"/>
  <c r="G277" i="8"/>
  <c r="Q277" i="8"/>
  <c r="I207" i="8"/>
  <c r="J207" i="8"/>
  <c r="I216" i="8"/>
  <c r="J216" i="8"/>
  <c r="I210" i="8"/>
  <c r="J210" i="8"/>
  <c r="I211" i="8"/>
  <c r="J211" i="8"/>
  <c r="I215" i="8"/>
  <c r="J215" i="8"/>
  <c r="I206" i="8"/>
  <c r="J206" i="8"/>
  <c r="I212" i="8"/>
  <c r="J212" i="8"/>
  <c r="L278" i="8"/>
  <c r="Q224" i="8"/>
  <c r="Y224" i="8"/>
  <c r="Q225" i="8"/>
  <c r="Y225" i="8"/>
  <c r="Q223" i="8"/>
  <c r="Q227" i="8"/>
  <c r="Y227" i="8"/>
  <c r="Q226" i="8"/>
  <c r="Y226" i="8"/>
  <c r="Q249" i="8"/>
  <c r="Y249" i="8"/>
  <c r="Q247" i="8"/>
  <c r="Y247" i="8"/>
  <c r="Q245" i="8"/>
  <c r="Y245" i="8"/>
  <c r="Q248" i="8"/>
  <c r="Y248" i="8"/>
  <c r="J63" i="8"/>
  <c r="Z69" i="8"/>
  <c r="Z70" i="8"/>
  <c r="Z71" i="8"/>
  <c r="AE71" i="8"/>
  <c r="AE68" i="8"/>
  <c r="N29" i="8"/>
  <c r="N30" i="8"/>
  <c r="P28" i="8"/>
  <c r="I85" i="8"/>
  <c r="J83" i="8"/>
  <c r="AA99" i="8"/>
  <c r="AA100" i="8"/>
  <c r="AA101" i="8"/>
  <c r="I143" i="8"/>
  <c r="J142" i="8"/>
  <c r="I208" i="8"/>
  <c r="J208" i="8"/>
  <c r="J43" i="8"/>
  <c r="P68" i="8"/>
  <c r="J98" i="8"/>
  <c r="I100" i="8"/>
  <c r="N99" i="8"/>
  <c r="P99" i="8"/>
  <c r="P98" i="8"/>
  <c r="I127" i="8"/>
  <c r="J126" i="8"/>
  <c r="I147" i="8"/>
  <c r="J147" i="8"/>
  <c r="J162" i="8"/>
  <c r="Q246" i="8"/>
  <c r="Y246" i="8"/>
  <c r="I174" i="8"/>
  <c r="J174" i="8"/>
  <c r="I180" i="8"/>
  <c r="J180" i="8"/>
  <c r="I177" i="8"/>
  <c r="J177" i="8"/>
  <c r="Q194" i="8"/>
  <c r="Y194" i="8"/>
  <c r="Q193" i="8"/>
  <c r="Y193" i="8"/>
  <c r="Q190" i="8"/>
  <c r="Q191" i="8"/>
  <c r="Y191" i="8"/>
  <c r="Q215" i="8"/>
  <c r="Y215" i="8"/>
  <c r="Q214" i="8"/>
  <c r="Y214" i="8"/>
  <c r="Q213" i="8"/>
  <c r="Y213" i="8"/>
  <c r="G281" i="8"/>
  <c r="Q281" i="8"/>
  <c r="I260" i="8"/>
  <c r="J260" i="8"/>
  <c r="I257" i="8"/>
  <c r="J257" i="8"/>
  <c r="I250" i="8"/>
  <c r="J250" i="8"/>
  <c r="AE93" i="8"/>
  <c r="AA94" i="8"/>
  <c r="AA95" i="8"/>
  <c r="AA96" i="8"/>
  <c r="I96" i="8"/>
  <c r="J96" i="8"/>
  <c r="AE113" i="8"/>
  <c r="Z114" i="8"/>
  <c r="Z115" i="8"/>
  <c r="I152" i="8"/>
  <c r="J151" i="8"/>
  <c r="G274" i="8"/>
  <c r="Q274" i="8"/>
  <c r="Z193" i="8"/>
  <c r="AE193" i="8"/>
  <c r="Z194" i="8"/>
  <c r="AE194" i="8"/>
  <c r="Z190" i="8"/>
  <c r="AE190" i="8"/>
  <c r="Z14" i="8"/>
  <c r="AE14" i="8"/>
  <c r="J33" i="8"/>
  <c r="P34" i="8"/>
  <c r="P84" i="8"/>
  <c r="J93" i="8"/>
  <c r="J103" i="8"/>
  <c r="J113" i="8"/>
  <c r="Y131" i="8"/>
  <c r="I175" i="8"/>
  <c r="J175" i="8"/>
  <c r="I178" i="8"/>
  <c r="J178" i="8"/>
  <c r="I182" i="8"/>
  <c r="J182" i="8"/>
  <c r="I183" i="8"/>
  <c r="J183" i="8"/>
  <c r="Q212" i="8"/>
  <c r="Q216" i="8"/>
  <c r="Y216" i="8"/>
  <c r="I251" i="8"/>
  <c r="J251" i="8"/>
  <c r="Q278" i="8"/>
  <c r="Z236" i="8"/>
  <c r="Z235" i="8"/>
  <c r="AE235" i="8"/>
  <c r="I157" i="8"/>
  <c r="J157" i="8"/>
  <c r="AE182" i="8"/>
  <c r="J131" i="8"/>
  <c r="J161" i="8"/>
  <c r="H5" i="7"/>
  <c r="H4" i="6"/>
  <c r="E19" i="7"/>
  <c r="L19" i="8"/>
  <c r="L20" i="8"/>
  <c r="Q39" i="8"/>
  <c r="Y39" i="8"/>
  <c r="Y63" i="8"/>
  <c r="Y88" i="8"/>
  <c r="Y23" i="8"/>
  <c r="Y68" i="8"/>
  <c r="Y48" i="8"/>
  <c r="Y78" i="8"/>
  <c r="Y113" i="8"/>
  <c r="Y83" i="8"/>
  <c r="Y28" i="8"/>
  <c r="Z20" i="8"/>
  <c r="AE19" i="8"/>
  <c r="Y24" i="8"/>
  <c r="Q25" i="8"/>
  <c r="Q20" i="8"/>
  <c r="Y19" i="8"/>
  <c r="Y114" i="8"/>
  <c r="Y49" i="8"/>
  <c r="I25" i="8"/>
  <c r="L30" i="8"/>
  <c r="P15" i="8"/>
  <c r="N16" i="8"/>
  <c r="P16" i="8"/>
  <c r="N20" i="8"/>
  <c r="P19" i="8"/>
  <c r="N25" i="8"/>
  <c r="P24" i="8"/>
  <c r="L24" i="8"/>
  <c r="P39" i="8"/>
  <c r="N40" i="8"/>
  <c r="Z40" i="8"/>
  <c r="AE39" i="8"/>
  <c r="Y13" i="8"/>
  <c r="Q14" i="8"/>
  <c r="I15" i="8"/>
  <c r="J35" i="8"/>
  <c r="Z36" i="8"/>
  <c r="AE36" i="8"/>
  <c r="AE35" i="8"/>
  <c r="L56" i="8"/>
  <c r="S44" i="8"/>
  <c r="S45" i="8"/>
  <c r="S46" i="8"/>
  <c r="Y43" i="8"/>
  <c r="AA44" i="8"/>
  <c r="AA45" i="8"/>
  <c r="AA46" i="8"/>
  <c r="AE43" i="8"/>
  <c r="L49" i="8"/>
  <c r="Y58" i="8"/>
  <c r="Q59" i="8"/>
  <c r="Q65" i="8"/>
  <c r="I90" i="8"/>
  <c r="AE18" i="8"/>
  <c r="Z24" i="8"/>
  <c r="L45" i="8"/>
  <c r="Z46" i="8"/>
  <c r="Z50" i="8"/>
  <c r="AE49" i="8"/>
  <c r="Y50" i="8"/>
  <c r="Q51" i="8"/>
  <c r="Y51" i="8"/>
  <c r="I55" i="8"/>
  <c r="P73" i="8"/>
  <c r="N74" i="8"/>
  <c r="Z84" i="8"/>
  <c r="AE83" i="8"/>
  <c r="P14" i="8"/>
  <c r="L15" i="8"/>
  <c r="Y18" i="8"/>
  <c r="P18" i="8"/>
  <c r="Q30" i="8"/>
  <c r="Y29" i="8"/>
  <c r="P13" i="8"/>
  <c r="P23" i="8"/>
  <c r="J28" i="8"/>
  <c r="Y33" i="8"/>
  <c r="AE34" i="8"/>
  <c r="N35" i="8"/>
  <c r="P43" i="8"/>
  <c r="O44" i="8"/>
  <c r="O45" i="8"/>
  <c r="Q34" i="8"/>
  <c r="L39" i="8"/>
  <c r="Q45" i="8"/>
  <c r="Y53" i="8"/>
  <c r="Q54" i="8"/>
  <c r="N59" i="8"/>
  <c r="P58" i="8"/>
  <c r="L64" i="8"/>
  <c r="N64" i="8"/>
  <c r="P63" i="8"/>
  <c r="Q85" i="8"/>
  <c r="Z90" i="8"/>
  <c r="L95" i="8"/>
  <c r="Z96" i="8"/>
  <c r="Z100" i="8"/>
  <c r="P33" i="8"/>
  <c r="AE33" i="8"/>
  <c r="L34" i="8"/>
  <c r="P38" i="8"/>
  <c r="Z54" i="8"/>
  <c r="AE53" i="8"/>
  <c r="J58" i="8"/>
  <c r="Z59" i="8"/>
  <c r="AE58" i="8"/>
  <c r="Z64" i="8"/>
  <c r="AE63" i="8"/>
  <c r="I80" i="8"/>
  <c r="N90" i="8"/>
  <c r="P89" i="8"/>
  <c r="Y93" i="8"/>
  <c r="S94" i="8"/>
  <c r="S95" i="8"/>
  <c r="S96" i="8"/>
  <c r="N95" i="8"/>
  <c r="N54" i="8"/>
  <c r="P53" i="8"/>
  <c r="L70" i="8"/>
  <c r="P69" i="8"/>
  <c r="N70" i="8"/>
  <c r="Y73" i="8"/>
  <c r="Q74" i="8"/>
  <c r="Z74" i="8"/>
  <c r="AE73" i="8"/>
  <c r="L76" i="8"/>
  <c r="N79" i="8"/>
  <c r="P78" i="8"/>
  <c r="P85" i="8"/>
  <c r="N86" i="8"/>
  <c r="P86" i="8"/>
  <c r="Q90" i="8"/>
  <c r="Q99" i="8"/>
  <c r="Y98" i="8"/>
  <c r="Z79" i="8"/>
  <c r="AE78" i="8"/>
  <c r="P83" i="8"/>
  <c r="P93" i="8"/>
  <c r="O94" i="8"/>
  <c r="O95" i="8"/>
  <c r="O96" i="8"/>
  <c r="L99" i="8"/>
  <c r="L114" i="8"/>
  <c r="AA115" i="8"/>
  <c r="AA116" i="8"/>
  <c r="Q70" i="8"/>
  <c r="Y69" i="8"/>
  <c r="J70" i="8"/>
  <c r="Q79" i="8"/>
  <c r="L84" i="8"/>
  <c r="I111" i="8"/>
  <c r="J111" i="8"/>
  <c r="J110" i="8"/>
  <c r="J78" i="8"/>
  <c r="P88" i="8"/>
  <c r="N104" i="8"/>
  <c r="P103" i="8"/>
  <c r="P114" i="8"/>
  <c r="N115" i="8"/>
  <c r="L89" i="8"/>
  <c r="Q95" i="8"/>
  <c r="Y103" i="8"/>
  <c r="Q104" i="8"/>
  <c r="Y108" i="8"/>
  <c r="Z109" i="8"/>
  <c r="AE108" i="8"/>
  <c r="Q109" i="8"/>
  <c r="Q115" i="8"/>
  <c r="I105" i="8"/>
  <c r="Z104" i="8"/>
  <c r="AE103" i="8"/>
  <c r="J108" i="8"/>
  <c r="N109" i="8"/>
  <c r="P108" i="8"/>
  <c r="I138" i="8"/>
  <c r="J137" i="8"/>
  <c r="Y133" i="8"/>
  <c r="L109" i="8"/>
  <c r="S134" i="8"/>
  <c r="Y134" i="8"/>
  <c r="I237" i="8"/>
  <c r="J237" i="8"/>
  <c r="I234" i="8"/>
  <c r="J234" i="8"/>
  <c r="I232" i="8"/>
  <c r="J232" i="8"/>
  <c r="I231" i="8"/>
  <c r="I238" i="8"/>
  <c r="J238" i="8"/>
  <c r="I233" i="8"/>
  <c r="J233" i="8"/>
  <c r="G279" i="8"/>
  <c r="I236" i="8"/>
  <c r="I229" i="8"/>
  <c r="J229" i="8"/>
  <c r="I235" i="8"/>
  <c r="J235" i="8"/>
  <c r="I228" i="8"/>
  <c r="J228" i="8"/>
  <c r="Y127" i="8"/>
  <c r="J132" i="8"/>
  <c r="J133" i="8"/>
  <c r="Z205" i="8"/>
  <c r="AE205" i="8"/>
  <c r="Z203" i="8"/>
  <c r="Z204" i="8"/>
  <c r="AE204" i="8"/>
  <c r="Z202" i="8"/>
  <c r="AE202" i="8"/>
  <c r="AC225" i="8"/>
  <c r="J225" i="8"/>
  <c r="J242" i="8"/>
  <c r="Q280" i="8"/>
  <c r="L280" i="8"/>
  <c r="Q258" i="8"/>
  <c r="Y258" i="8"/>
  <c r="Q257" i="8"/>
  <c r="Y257" i="8"/>
  <c r="Q259" i="8"/>
  <c r="Y259" i="8"/>
  <c r="Q256" i="8"/>
  <c r="Q276" i="8"/>
  <c r="L276" i="8"/>
  <c r="Z248" i="8"/>
  <c r="AE248" i="8"/>
  <c r="Z246" i="8"/>
  <c r="AE246" i="8"/>
  <c r="Z245" i="8"/>
  <c r="AE245" i="8"/>
  <c r="Z249" i="8"/>
  <c r="AE249" i="8"/>
  <c r="L281" i="8"/>
  <c r="AE225" i="8"/>
  <c r="AC203" i="8"/>
  <c r="AE203" i="8"/>
  <c r="Q275" i="8"/>
  <c r="S275" i="8"/>
  <c r="P44" i="8"/>
  <c r="AC247" i="8"/>
  <c r="AE247" i="8"/>
  <c r="I75" i="8"/>
  <c r="J75" i="8"/>
  <c r="AC192" i="8"/>
  <c r="AE192" i="8"/>
  <c r="U274" i="8"/>
  <c r="S278" i="8"/>
  <c r="Z15" i="8"/>
  <c r="AE15" i="8"/>
  <c r="Y201" i="8"/>
  <c r="L277" i="8"/>
  <c r="AE89" i="8"/>
  <c r="U280" i="8"/>
  <c r="I158" i="8"/>
  <c r="J158" i="8"/>
  <c r="AC176" i="8"/>
  <c r="AE176" i="8"/>
  <c r="P50" i="8"/>
  <c r="J253" i="8"/>
  <c r="AE115" i="8"/>
  <c r="AC181" i="8"/>
  <c r="AE181" i="8"/>
  <c r="Z116" i="8"/>
  <c r="AE114" i="8"/>
  <c r="N100" i="8"/>
  <c r="N101" i="8"/>
  <c r="P101" i="8"/>
  <c r="F19" i="7"/>
  <c r="N7" i="6"/>
  <c r="O7" i="6"/>
  <c r="H6" i="6"/>
  <c r="L274" i="8"/>
  <c r="I148" i="8"/>
  <c r="I149" i="8"/>
  <c r="J149" i="8"/>
  <c r="Y89" i="8"/>
  <c r="AE70" i="8"/>
  <c r="Y64" i="8"/>
  <c r="Z30" i="8"/>
  <c r="Z31" i="8"/>
  <c r="AE31" i="8"/>
  <c r="U279" i="8"/>
  <c r="AC258" i="8"/>
  <c r="AE258" i="8"/>
  <c r="AE99" i="8"/>
  <c r="U275" i="8"/>
  <c r="Y190" i="8"/>
  <c r="S281" i="8"/>
  <c r="I115" i="8"/>
  <c r="I116" i="8"/>
  <c r="J116" i="8"/>
  <c r="AE94" i="8"/>
  <c r="AE95" i="8"/>
  <c r="I153" i="8"/>
  <c r="J152" i="8"/>
  <c r="I65" i="8"/>
  <c r="U278" i="8"/>
  <c r="Y223" i="8"/>
  <c r="U277" i="8"/>
  <c r="Y212" i="8"/>
  <c r="J127" i="8"/>
  <c r="I128" i="8"/>
  <c r="P29" i="8"/>
  <c r="AC209" i="8"/>
  <c r="AE209" i="8"/>
  <c r="J143" i="8"/>
  <c r="I144" i="8"/>
  <c r="J144" i="8"/>
  <c r="AE69" i="8"/>
  <c r="AE96" i="8"/>
  <c r="AE44" i="8"/>
  <c r="AE46" i="8"/>
  <c r="AC214" i="8"/>
  <c r="AE214" i="8"/>
  <c r="Q40" i="8"/>
  <c r="Q41" i="8"/>
  <c r="Y41" i="8"/>
  <c r="S276" i="8"/>
  <c r="S280" i="8"/>
  <c r="U281" i="8"/>
  <c r="Y256" i="8"/>
  <c r="J236" i="8"/>
  <c r="AC236" i="8"/>
  <c r="AE236" i="8"/>
  <c r="AE104" i="8"/>
  <c r="Z105" i="8"/>
  <c r="I139" i="8"/>
  <c r="J139" i="8"/>
  <c r="J138" i="8"/>
  <c r="Q105" i="8"/>
  <c r="Y104" i="8"/>
  <c r="Q96" i="8"/>
  <c r="Y96" i="8"/>
  <c r="Y95" i="8"/>
  <c r="L85" i="8"/>
  <c r="Q75" i="8"/>
  <c r="Y74" i="8"/>
  <c r="P94" i="8"/>
  <c r="P90" i="8"/>
  <c r="N91" i="8"/>
  <c r="P91" i="8"/>
  <c r="AE59" i="8"/>
  <c r="Z60" i="8"/>
  <c r="L35" i="8"/>
  <c r="AE100" i="8"/>
  <c r="Z101" i="8"/>
  <c r="AE101" i="8"/>
  <c r="Y85" i="8"/>
  <c r="Q86" i="8"/>
  <c r="Y86" i="8"/>
  <c r="Q46" i="8"/>
  <c r="Y46" i="8"/>
  <c r="Y45" i="8"/>
  <c r="L46" i="8"/>
  <c r="AE24" i="8"/>
  <c r="Z25" i="8"/>
  <c r="J90" i="8"/>
  <c r="I91" i="8"/>
  <c r="J91" i="8"/>
  <c r="I16" i="8"/>
  <c r="J16" i="8"/>
  <c r="J15" i="8"/>
  <c r="Z41" i="8"/>
  <c r="AE41" i="8"/>
  <c r="AE40" i="8"/>
  <c r="L21" i="8"/>
  <c r="Y20" i="8"/>
  <c r="Q21" i="8"/>
  <c r="Y21" i="8"/>
  <c r="L110" i="8"/>
  <c r="I106" i="8"/>
  <c r="J106" i="8"/>
  <c r="J105" i="8"/>
  <c r="AE109" i="8"/>
  <c r="Z110" i="8"/>
  <c r="L90" i="8"/>
  <c r="L40" i="8"/>
  <c r="I30" i="8"/>
  <c r="L50" i="8"/>
  <c r="J85" i="8"/>
  <c r="I86" i="8"/>
  <c r="J86" i="8"/>
  <c r="P40" i="8"/>
  <c r="N41" i="8"/>
  <c r="P41" i="8"/>
  <c r="N21" i="8"/>
  <c r="P21" i="8"/>
  <c r="P20" i="8"/>
  <c r="L31" i="8"/>
  <c r="Y25" i="8"/>
  <c r="Q26" i="8"/>
  <c r="Y26" i="8"/>
  <c r="Q116" i="8"/>
  <c r="Y116" i="8"/>
  <c r="Y115" i="8"/>
  <c r="P115" i="8"/>
  <c r="N116" i="8"/>
  <c r="P116" i="8"/>
  <c r="N105" i="8"/>
  <c r="P104" i="8"/>
  <c r="J100" i="8"/>
  <c r="I101" i="8"/>
  <c r="J101" i="8"/>
  <c r="Q80" i="8"/>
  <c r="Y79" i="8"/>
  <c r="Y70" i="8"/>
  <c r="Q71" i="8"/>
  <c r="Y71" i="8"/>
  <c r="AE79" i="8"/>
  <c r="Z80" i="8"/>
  <c r="Q100" i="8"/>
  <c r="Y99" i="8"/>
  <c r="Y90" i="8"/>
  <c r="Q91" i="8"/>
  <c r="Y91" i="8"/>
  <c r="N80" i="8"/>
  <c r="P79" i="8"/>
  <c r="P70" i="8"/>
  <c r="N71" i="8"/>
  <c r="P71" i="8"/>
  <c r="AE64" i="8"/>
  <c r="Z65" i="8"/>
  <c r="I60" i="8"/>
  <c r="I40" i="8"/>
  <c r="N65" i="8"/>
  <c r="P64" i="8"/>
  <c r="N60" i="8"/>
  <c r="P59" i="8"/>
  <c r="O46" i="8"/>
  <c r="P46" i="8"/>
  <c r="P45" i="8"/>
  <c r="P35" i="8"/>
  <c r="N36" i="8"/>
  <c r="P36" i="8"/>
  <c r="L16" i="8"/>
  <c r="Y65" i="8"/>
  <c r="Q66" i="8"/>
  <c r="Y66" i="8"/>
  <c r="P25" i="8"/>
  <c r="N26" i="8"/>
  <c r="P26" i="8"/>
  <c r="AC231" i="8"/>
  <c r="AE231" i="8"/>
  <c r="J231" i="8"/>
  <c r="L71" i="8"/>
  <c r="N55" i="8"/>
  <c r="P54" i="8"/>
  <c r="Z55" i="8"/>
  <c r="AE54" i="8"/>
  <c r="Z91" i="8"/>
  <c r="AE91" i="8"/>
  <c r="AE90" i="8"/>
  <c r="Q31" i="8"/>
  <c r="Y31" i="8"/>
  <c r="Y30" i="8"/>
  <c r="AE84" i="8"/>
  <c r="Z85" i="8"/>
  <c r="N75" i="8"/>
  <c r="P74" i="8"/>
  <c r="AE50" i="8"/>
  <c r="Z51" i="8"/>
  <c r="AE51" i="8"/>
  <c r="Q15" i="8"/>
  <c r="Y15" i="8"/>
  <c r="Y14" i="8"/>
  <c r="N31" i="8"/>
  <c r="P31" i="8"/>
  <c r="P30" i="8"/>
  <c r="Q279" i="8"/>
  <c r="L279" i="8"/>
  <c r="P109" i="8"/>
  <c r="N110" i="8"/>
  <c r="AE116" i="8"/>
  <c r="Q110" i="8"/>
  <c r="Y109" i="8"/>
  <c r="Y94" i="8"/>
  <c r="L115" i="8"/>
  <c r="L100" i="8"/>
  <c r="Z75" i="8"/>
  <c r="AE74" i="8"/>
  <c r="I50" i="8"/>
  <c r="P95" i="8"/>
  <c r="N96" i="8"/>
  <c r="P96" i="8"/>
  <c r="I81" i="8"/>
  <c r="J81" i="8"/>
  <c r="J80" i="8"/>
  <c r="L96" i="8"/>
  <c r="Y84" i="8"/>
  <c r="L65" i="8"/>
  <c r="Q55" i="8"/>
  <c r="Y54" i="8"/>
  <c r="Y44" i="8"/>
  <c r="Q35" i="8"/>
  <c r="Y34" i="8"/>
  <c r="I76" i="8"/>
  <c r="J76" i="8"/>
  <c r="J55" i="8"/>
  <c r="I56" i="8"/>
  <c r="J56" i="8"/>
  <c r="AE45" i="8"/>
  <c r="Q60" i="8"/>
  <c r="Y59" i="8"/>
  <c r="I20" i="8"/>
  <c r="L25" i="8"/>
  <c r="J25" i="8"/>
  <c r="I26" i="8"/>
  <c r="J26" i="8"/>
  <c r="Z21" i="8"/>
  <c r="AE21" i="8"/>
  <c r="AE20" i="8"/>
  <c r="Z16" i="8"/>
  <c r="AE16" i="8"/>
  <c r="AE30" i="8"/>
  <c r="P100" i="8"/>
  <c r="I159" i="8"/>
  <c r="J159" i="8"/>
  <c r="S277" i="8"/>
  <c r="J148" i="8"/>
  <c r="S274" i="8"/>
  <c r="Y40" i="8"/>
  <c r="J115" i="8"/>
  <c r="J153" i="8"/>
  <c r="I154" i="8"/>
  <c r="J154" i="8"/>
  <c r="J128" i="8"/>
  <c r="I129" i="8"/>
  <c r="J129" i="8"/>
  <c r="J65" i="8"/>
  <c r="I66" i="8"/>
  <c r="J66" i="8"/>
  <c r="L26" i="8"/>
  <c r="Q61" i="8"/>
  <c r="Y61" i="8"/>
  <c r="Y60" i="8"/>
  <c r="S279" i="8"/>
  <c r="Z81" i="8"/>
  <c r="AE81" i="8"/>
  <c r="AE80" i="8"/>
  <c r="J30" i="8"/>
  <c r="I31" i="8"/>
  <c r="J31" i="8"/>
  <c r="Z111" i="8"/>
  <c r="AE111" i="8"/>
  <c r="AE110" i="8"/>
  <c r="AE25" i="8"/>
  <c r="Z26" i="8"/>
  <c r="AE26" i="8"/>
  <c r="Z61" i="8"/>
  <c r="AE61" i="8"/>
  <c r="AE60" i="8"/>
  <c r="L86" i="8"/>
  <c r="Q56" i="8"/>
  <c r="Y56" i="8"/>
  <c r="Y55" i="8"/>
  <c r="L51" i="8"/>
  <c r="L116" i="8"/>
  <c r="AE65" i="8"/>
  <c r="Z66" i="8"/>
  <c r="AE66" i="8"/>
  <c r="L41" i="8"/>
  <c r="L91" i="8"/>
  <c r="L111" i="8"/>
  <c r="L36" i="8"/>
  <c r="Q76" i="8"/>
  <c r="Y76" i="8"/>
  <c r="Y75" i="8"/>
  <c r="Q106" i="8"/>
  <c r="Y106" i="8"/>
  <c r="Y105" i="8"/>
  <c r="Z106" i="8"/>
  <c r="AE106" i="8"/>
  <c r="AE105" i="8"/>
  <c r="J50" i="8"/>
  <c r="I51" i="8"/>
  <c r="J51" i="8"/>
  <c r="Z76" i="8"/>
  <c r="AE76" i="8"/>
  <c r="AE75" i="8"/>
  <c r="L101" i="8"/>
  <c r="Q16" i="8"/>
  <c r="Y16" i="8"/>
  <c r="N76" i="8"/>
  <c r="P76" i="8"/>
  <c r="P75" i="8"/>
  <c r="AE55" i="8"/>
  <c r="Z56" i="8"/>
  <c r="AE56" i="8"/>
  <c r="P65" i="8"/>
  <c r="N66" i="8"/>
  <c r="P66" i="8"/>
  <c r="I61" i="8"/>
  <c r="J61" i="8"/>
  <c r="J60" i="8"/>
  <c r="Y35" i="8"/>
  <c r="Q36" i="8"/>
  <c r="Y36" i="8"/>
  <c r="L66" i="8"/>
  <c r="P110" i="8"/>
  <c r="N111" i="8"/>
  <c r="P111" i="8"/>
  <c r="AE85" i="8"/>
  <c r="Z86" i="8"/>
  <c r="AE86" i="8"/>
  <c r="I41" i="8"/>
  <c r="J41" i="8"/>
  <c r="J40" i="8"/>
  <c r="J20" i="8"/>
  <c r="I21" i="8"/>
  <c r="J21" i="8"/>
  <c r="Y110" i="8"/>
  <c r="Q111" i="8"/>
  <c r="Y111" i="8"/>
  <c r="N56" i="8"/>
  <c r="P56" i="8"/>
  <c r="P55" i="8"/>
  <c r="N61" i="8"/>
  <c r="P61" i="8"/>
  <c r="P60" i="8"/>
  <c r="N81" i="8"/>
  <c r="P81" i="8"/>
  <c r="P80" i="8"/>
  <c r="Q101" i="8"/>
  <c r="Y101" i="8"/>
  <c r="Y100" i="8"/>
  <c r="Q81" i="8"/>
  <c r="Y81" i="8"/>
  <c r="Y80" i="8"/>
  <c r="N106" i="8"/>
  <c r="P106" i="8"/>
  <c r="P105" i="8"/>
  <c r="I9" i="6"/>
  <c r="R12" i="1"/>
  <c r="S11" i="1"/>
  <c r="S12" i="1"/>
  <c r="B89" i="1"/>
  <c r="T12" i="1"/>
  <c r="U12" i="1"/>
  <c r="H7" i="6"/>
  <c r="I7" i="6"/>
  <c r="F31" i="7"/>
  <c r="C15" i="7"/>
  <c r="B7" i="7"/>
  <c r="J47" i="7"/>
  <c r="J49" i="7"/>
  <c r="I47" i="7"/>
  <c r="I49" i="7"/>
  <c r="L22" i="7"/>
  <c r="L29" i="7"/>
  <c r="AL11" i="7"/>
  <c r="AK11" i="7"/>
  <c r="N7" i="7"/>
  <c r="K32" i="6"/>
  <c r="O9" i="6"/>
  <c r="O5" i="6"/>
  <c r="AM11" i="7"/>
  <c r="L28" i="7"/>
  <c r="L23" i="7"/>
  <c r="L24" i="7"/>
  <c r="L25" i="7"/>
  <c r="L26" i="7"/>
  <c r="I48" i="7"/>
  <c r="L27" i="7"/>
  <c r="J48" i="7"/>
  <c r="L31" i="7"/>
  <c r="B10" i="7"/>
  <c r="B11" i="7"/>
  <c r="B12" i="7"/>
  <c r="I31" i="7"/>
  <c r="H31" i="7"/>
  <c r="G31" i="7"/>
  <c r="J31" i="7"/>
  <c r="L34" i="7"/>
  <c r="P13" i="1"/>
  <c r="H13" i="1"/>
  <c r="J13" i="1"/>
  <c r="K13" i="1"/>
  <c r="L13" i="1"/>
  <c r="Q13" i="1"/>
  <c r="M14" i="1"/>
  <c r="E71" i="1"/>
  <c r="N14" i="1"/>
  <c r="P14" i="1"/>
  <c r="K14" i="1"/>
  <c r="L14" i="1"/>
  <c r="Q14" i="1"/>
  <c r="M15" i="1"/>
  <c r="N15" i="1"/>
  <c r="O15" i="1"/>
  <c r="P15" i="1"/>
  <c r="K15" i="1"/>
  <c r="L15" i="1"/>
  <c r="Q15" i="1"/>
  <c r="N16" i="1"/>
  <c r="P16" i="1"/>
  <c r="H16" i="1"/>
  <c r="J16" i="1"/>
  <c r="K16" i="1"/>
  <c r="L16" i="1"/>
  <c r="Q16" i="1"/>
  <c r="M17" i="1"/>
  <c r="N17" i="1"/>
  <c r="P17" i="1"/>
  <c r="K17" i="1"/>
  <c r="L17" i="1"/>
  <c r="Q17" i="1"/>
  <c r="M18" i="1"/>
  <c r="N18" i="1"/>
  <c r="O18" i="1"/>
  <c r="P18" i="1"/>
  <c r="K18" i="1"/>
  <c r="L18" i="1"/>
  <c r="Q18" i="1"/>
  <c r="N19" i="1"/>
  <c r="P19" i="1"/>
  <c r="H19" i="1"/>
  <c r="J19" i="1"/>
  <c r="K19" i="1"/>
  <c r="L19" i="1"/>
  <c r="Q19" i="1"/>
  <c r="M20" i="1"/>
  <c r="N20" i="1"/>
  <c r="P20" i="1"/>
  <c r="K20" i="1"/>
  <c r="L20" i="1"/>
  <c r="Q20" i="1"/>
  <c r="M21" i="1"/>
  <c r="N21" i="1"/>
  <c r="O21" i="1"/>
  <c r="P21" i="1"/>
  <c r="K21" i="1"/>
  <c r="L21" i="1"/>
  <c r="Q21" i="1"/>
  <c r="P22" i="1"/>
  <c r="H22" i="1"/>
  <c r="J22" i="1"/>
  <c r="L22" i="1"/>
  <c r="Q22" i="1"/>
  <c r="M23" i="1"/>
  <c r="N23" i="1"/>
  <c r="P23" i="1"/>
  <c r="K23" i="1"/>
  <c r="L23" i="1"/>
  <c r="Q23" i="1"/>
  <c r="M24" i="1"/>
  <c r="N24" i="1"/>
  <c r="O24" i="1"/>
  <c r="P24" i="1"/>
  <c r="L24" i="1"/>
  <c r="Q24" i="1"/>
  <c r="P25" i="1"/>
  <c r="H25" i="1"/>
  <c r="J25" i="1"/>
  <c r="K25" i="1"/>
  <c r="L25" i="1"/>
  <c r="Q25" i="1"/>
  <c r="M26" i="1"/>
  <c r="N26" i="1"/>
  <c r="P26" i="1"/>
  <c r="K26" i="1"/>
  <c r="L26" i="1"/>
  <c r="Q26" i="1"/>
  <c r="M27" i="1"/>
  <c r="N27" i="1"/>
  <c r="O27" i="1"/>
  <c r="P27" i="1"/>
  <c r="K27" i="1"/>
  <c r="L27" i="1"/>
  <c r="Q27" i="1"/>
  <c r="P28" i="1"/>
  <c r="H28" i="1"/>
  <c r="J28" i="1"/>
  <c r="K28" i="1"/>
  <c r="L28" i="1"/>
  <c r="Q28" i="1"/>
  <c r="M29" i="1"/>
  <c r="N29" i="1"/>
  <c r="P29" i="1"/>
  <c r="K29" i="1"/>
  <c r="L29" i="1"/>
  <c r="Q29" i="1"/>
  <c r="M30" i="1"/>
  <c r="N30" i="1"/>
  <c r="O30" i="1"/>
  <c r="P30" i="1"/>
  <c r="K30" i="1"/>
  <c r="L30" i="1"/>
  <c r="Q30" i="1"/>
  <c r="P31" i="1"/>
  <c r="H31" i="1"/>
  <c r="J31" i="1"/>
  <c r="K31" i="1"/>
  <c r="L31" i="1"/>
  <c r="Q31" i="1"/>
  <c r="M32" i="1"/>
  <c r="N32" i="1"/>
  <c r="P32" i="1"/>
  <c r="K32" i="1"/>
  <c r="L32" i="1"/>
  <c r="Q32" i="1"/>
  <c r="M33" i="1"/>
  <c r="N33" i="1"/>
  <c r="O33" i="1"/>
  <c r="P33" i="1"/>
  <c r="K33" i="1"/>
  <c r="L33" i="1"/>
  <c r="Q33" i="1"/>
  <c r="P34" i="1"/>
  <c r="H34" i="1"/>
  <c r="J34" i="1"/>
  <c r="K34" i="1"/>
  <c r="L34" i="1"/>
  <c r="Q34" i="1"/>
  <c r="M35" i="1"/>
  <c r="N35" i="1"/>
  <c r="P35" i="1"/>
  <c r="K35" i="1"/>
  <c r="L35" i="1"/>
  <c r="Q35" i="1"/>
  <c r="M36" i="1"/>
  <c r="N36" i="1"/>
  <c r="O36" i="1"/>
  <c r="P36" i="1"/>
  <c r="K36" i="1"/>
  <c r="L36" i="1"/>
  <c r="Q36" i="1"/>
  <c r="P37" i="1"/>
  <c r="H37" i="1"/>
  <c r="J37" i="1"/>
  <c r="K37" i="1"/>
  <c r="L37" i="1"/>
  <c r="Q37" i="1"/>
  <c r="M38" i="1"/>
  <c r="N38" i="1"/>
  <c r="P38" i="1"/>
  <c r="K38" i="1"/>
  <c r="L38" i="1"/>
  <c r="Q38" i="1"/>
  <c r="M39" i="1"/>
  <c r="N39" i="1"/>
  <c r="O39" i="1"/>
  <c r="P39" i="1"/>
  <c r="K39" i="1"/>
  <c r="L39" i="1"/>
  <c r="Q39" i="1"/>
  <c r="N40" i="1"/>
  <c r="P40" i="1"/>
  <c r="H40" i="1"/>
  <c r="J40" i="1"/>
  <c r="K40" i="1"/>
  <c r="L40" i="1"/>
  <c r="Q40" i="1"/>
  <c r="M41" i="1"/>
  <c r="N41" i="1"/>
  <c r="P41" i="1"/>
  <c r="K41" i="1"/>
  <c r="L41" i="1"/>
  <c r="Q41" i="1"/>
  <c r="M42" i="1"/>
  <c r="N42" i="1"/>
  <c r="O42" i="1"/>
  <c r="P42" i="1"/>
  <c r="K42" i="1"/>
  <c r="L42" i="1"/>
  <c r="Q42" i="1"/>
  <c r="N7" i="1"/>
  <c r="N43" i="1"/>
  <c r="P43" i="1"/>
  <c r="H43" i="1"/>
  <c r="J43" i="1"/>
  <c r="K43" i="1"/>
  <c r="L43" i="1"/>
  <c r="Q43" i="1"/>
  <c r="M44" i="1"/>
  <c r="N44" i="1"/>
  <c r="P44" i="1"/>
  <c r="K44" i="1"/>
  <c r="L44" i="1"/>
  <c r="Q44" i="1"/>
  <c r="M45" i="1"/>
  <c r="N45" i="1"/>
  <c r="O45" i="1"/>
  <c r="P45" i="1"/>
  <c r="K45" i="1"/>
  <c r="L45" i="1"/>
  <c r="Q45" i="1"/>
  <c r="N10" i="1"/>
  <c r="N46" i="1"/>
  <c r="P46" i="1"/>
  <c r="H46" i="1"/>
  <c r="J46" i="1"/>
  <c r="K46" i="1"/>
  <c r="L46" i="1"/>
  <c r="Q46" i="1"/>
  <c r="M47" i="1"/>
  <c r="N47" i="1"/>
  <c r="P47" i="1"/>
  <c r="K47" i="1"/>
  <c r="L47" i="1"/>
  <c r="Q47" i="1"/>
  <c r="M48" i="1"/>
  <c r="N48" i="1"/>
  <c r="O48" i="1"/>
  <c r="P48" i="1"/>
  <c r="K48" i="1"/>
  <c r="L48" i="1"/>
  <c r="Q48" i="1"/>
  <c r="N49" i="1"/>
  <c r="P49" i="1"/>
  <c r="H49" i="1"/>
  <c r="J49" i="1"/>
  <c r="K49" i="1"/>
  <c r="L49" i="1"/>
  <c r="Q49" i="1"/>
  <c r="M50" i="1"/>
  <c r="N50" i="1"/>
  <c r="P50" i="1"/>
  <c r="K50" i="1"/>
  <c r="L50" i="1"/>
  <c r="Q50" i="1"/>
  <c r="M51" i="1"/>
  <c r="N51" i="1"/>
  <c r="O51" i="1"/>
  <c r="P51" i="1"/>
  <c r="K51" i="1"/>
  <c r="L51" i="1"/>
  <c r="Q51" i="1"/>
  <c r="N52" i="1"/>
  <c r="P52" i="1"/>
  <c r="H52" i="1"/>
  <c r="J52" i="1"/>
  <c r="K52" i="1"/>
  <c r="L52" i="1"/>
  <c r="Q52" i="1"/>
  <c r="M53" i="1"/>
  <c r="N53" i="1"/>
  <c r="P53" i="1"/>
  <c r="K53" i="1"/>
  <c r="L53" i="1"/>
  <c r="Q53" i="1"/>
  <c r="M54" i="1"/>
  <c r="N54" i="1"/>
  <c r="O54" i="1"/>
  <c r="P54" i="1"/>
  <c r="K54" i="1"/>
  <c r="L54" i="1"/>
  <c r="Q54" i="1"/>
  <c r="N55" i="1"/>
  <c r="P55" i="1"/>
  <c r="H55" i="1"/>
  <c r="J55" i="1"/>
  <c r="K55" i="1"/>
  <c r="L55" i="1"/>
  <c r="Q55" i="1"/>
  <c r="M56" i="1"/>
  <c r="N56" i="1"/>
  <c r="P56" i="1"/>
  <c r="K56" i="1"/>
  <c r="L56" i="1"/>
  <c r="Q56" i="1"/>
  <c r="M57" i="1"/>
  <c r="N57" i="1"/>
  <c r="O57" i="1"/>
  <c r="P57" i="1"/>
  <c r="K57" i="1"/>
  <c r="L57" i="1"/>
  <c r="Q57" i="1"/>
  <c r="N58" i="1"/>
  <c r="P58" i="1"/>
  <c r="H58" i="1"/>
  <c r="J58" i="1"/>
  <c r="K58" i="1"/>
  <c r="L58" i="1"/>
  <c r="Q58" i="1"/>
  <c r="M59" i="1"/>
  <c r="N59" i="1"/>
  <c r="P59" i="1"/>
  <c r="K59" i="1"/>
  <c r="L59" i="1"/>
  <c r="Q59" i="1"/>
  <c r="M60" i="1"/>
  <c r="N60" i="1"/>
  <c r="O60" i="1"/>
  <c r="P60" i="1"/>
  <c r="K60" i="1"/>
  <c r="L60" i="1"/>
  <c r="Q60" i="1"/>
  <c r="N61" i="1"/>
  <c r="P61" i="1"/>
  <c r="H61" i="1"/>
  <c r="J61" i="1"/>
  <c r="K61" i="1"/>
  <c r="L61" i="1"/>
  <c r="Q61" i="1"/>
  <c r="M62" i="1"/>
  <c r="N62" i="1"/>
  <c r="P62" i="1"/>
  <c r="K62" i="1"/>
  <c r="L62" i="1"/>
  <c r="Q62" i="1"/>
  <c r="M63" i="1"/>
  <c r="N63" i="1"/>
  <c r="O63" i="1"/>
  <c r="P63" i="1"/>
  <c r="K63" i="1"/>
  <c r="L63" i="1"/>
  <c r="Q63" i="1"/>
  <c r="N64" i="1"/>
  <c r="P64" i="1"/>
  <c r="H64" i="1"/>
  <c r="J64" i="1"/>
  <c r="K64" i="1"/>
  <c r="L64" i="1"/>
  <c r="Q64" i="1"/>
  <c r="M65" i="1"/>
  <c r="N65" i="1"/>
  <c r="P65" i="1"/>
  <c r="K65" i="1"/>
  <c r="L65" i="1"/>
  <c r="Q65" i="1"/>
  <c r="M66" i="1"/>
  <c r="N66" i="1"/>
  <c r="O66" i="1"/>
  <c r="P66" i="1"/>
  <c r="K66" i="1"/>
  <c r="L66" i="1"/>
  <c r="Q66" i="1"/>
  <c r="M5" i="1"/>
  <c r="N5" i="1"/>
  <c r="P5" i="1"/>
  <c r="H4" i="1"/>
  <c r="J4" i="1"/>
  <c r="K4" i="1"/>
  <c r="K5" i="1"/>
  <c r="L5" i="1"/>
  <c r="Q5" i="1"/>
  <c r="M6" i="1"/>
  <c r="N6" i="1"/>
  <c r="O6" i="1"/>
  <c r="P6" i="1"/>
  <c r="K6" i="1"/>
  <c r="L6" i="1"/>
  <c r="Q6" i="1"/>
  <c r="P7" i="1"/>
  <c r="H7" i="1"/>
  <c r="J7" i="1"/>
  <c r="K7" i="1"/>
  <c r="L7" i="1"/>
  <c r="Q7" i="1"/>
  <c r="M8" i="1"/>
  <c r="N8" i="1"/>
  <c r="P8" i="1"/>
  <c r="K8" i="1"/>
  <c r="L8" i="1"/>
  <c r="Q8" i="1"/>
  <c r="M9" i="1"/>
  <c r="N9" i="1"/>
  <c r="O9" i="1"/>
  <c r="P9" i="1"/>
  <c r="K9" i="1"/>
  <c r="L9" i="1"/>
  <c r="Q9" i="1"/>
  <c r="P10" i="1"/>
  <c r="H10" i="1"/>
  <c r="J10" i="1"/>
  <c r="K10" i="1"/>
  <c r="L10" i="1"/>
  <c r="Q10" i="1"/>
  <c r="M11" i="1"/>
  <c r="N11" i="1"/>
  <c r="P11" i="1"/>
  <c r="K11" i="1"/>
  <c r="L11" i="1"/>
  <c r="Q11" i="1"/>
  <c r="M12" i="1"/>
  <c r="N12" i="1"/>
  <c r="O12" i="1"/>
  <c r="P12" i="1"/>
  <c r="K12" i="1"/>
  <c r="L12" i="1"/>
  <c r="Q12" i="1"/>
  <c r="P4" i="1"/>
  <c r="L4" i="1"/>
  <c r="Q4" i="1"/>
  <c r="U7" i="1"/>
  <c r="V7" i="1"/>
  <c r="L84" i="6"/>
  <c r="K84" i="6"/>
  <c r="J84" i="6"/>
  <c r="I84" i="6"/>
  <c r="H84" i="6"/>
  <c r="AI68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AI4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AI42" i="6"/>
  <c r="B26" i="6"/>
  <c r="B33" i="6"/>
  <c r="Z52" i="6"/>
  <c r="AE52" i="6"/>
  <c r="H53" i="6"/>
  <c r="L53" i="6"/>
  <c r="P53" i="6"/>
  <c r="T53" i="6"/>
  <c r="X53" i="6"/>
  <c r="AB53" i="6"/>
  <c r="AF53" i="6"/>
  <c r="G53" i="6"/>
  <c r="M53" i="6"/>
  <c r="F53" i="6"/>
  <c r="J53" i="6"/>
  <c r="R53" i="6"/>
  <c r="AD53" i="6"/>
  <c r="K53" i="6"/>
  <c r="O53" i="6"/>
  <c r="S53" i="6"/>
  <c r="W53" i="6"/>
  <c r="AA53" i="6"/>
  <c r="AE53" i="6"/>
  <c r="AI53" i="6"/>
  <c r="I53" i="6"/>
  <c r="Q53" i="6"/>
  <c r="U53" i="6"/>
  <c r="Y53" i="6"/>
  <c r="AC53" i="6"/>
  <c r="AG53" i="6"/>
  <c r="N53" i="6"/>
  <c r="V53" i="6"/>
  <c r="Z53" i="6"/>
  <c r="AH53" i="6"/>
  <c r="U13" i="1"/>
  <c r="V13" i="1"/>
  <c r="R14" i="1"/>
  <c r="S14" i="1"/>
  <c r="U14" i="1"/>
  <c r="V14" i="1"/>
  <c r="R15" i="1"/>
  <c r="S15" i="1"/>
  <c r="G15" i="1"/>
  <c r="F15" i="1"/>
  <c r="H15" i="1"/>
  <c r="J15" i="1"/>
  <c r="T15" i="1"/>
  <c r="U15" i="1"/>
  <c r="V15" i="1"/>
  <c r="U16" i="1"/>
  <c r="V16" i="1"/>
  <c r="R17" i="1"/>
  <c r="S17" i="1"/>
  <c r="U17" i="1"/>
  <c r="V17" i="1"/>
  <c r="R18" i="1"/>
  <c r="S18" i="1"/>
  <c r="U18" i="1"/>
  <c r="V18" i="1"/>
  <c r="U19" i="1"/>
  <c r="V19" i="1"/>
  <c r="R20" i="1"/>
  <c r="S20" i="1"/>
  <c r="U20" i="1"/>
  <c r="V20" i="1"/>
  <c r="R21" i="1"/>
  <c r="S21" i="1"/>
  <c r="U21" i="1"/>
  <c r="V21" i="1"/>
  <c r="U22" i="1"/>
  <c r="V22" i="1"/>
  <c r="R23" i="1"/>
  <c r="S23" i="1"/>
  <c r="U23" i="1"/>
  <c r="V23" i="1"/>
  <c r="G24" i="1"/>
  <c r="F24" i="1"/>
  <c r="H24" i="1"/>
  <c r="J24" i="1"/>
  <c r="R24" i="1"/>
  <c r="S24" i="1"/>
  <c r="U24" i="1"/>
  <c r="V24" i="1"/>
  <c r="U25" i="1"/>
  <c r="V25" i="1"/>
  <c r="R26" i="1"/>
  <c r="S26" i="1"/>
  <c r="U26" i="1"/>
  <c r="V26" i="1"/>
  <c r="G27" i="1"/>
  <c r="F27" i="1"/>
  <c r="H27" i="1"/>
  <c r="J27" i="1"/>
  <c r="R27" i="1"/>
  <c r="S27" i="1"/>
  <c r="U27" i="1"/>
  <c r="V27" i="1"/>
  <c r="U28" i="1"/>
  <c r="V28" i="1"/>
  <c r="R29" i="1"/>
  <c r="S29" i="1"/>
  <c r="U29" i="1"/>
  <c r="V29" i="1"/>
  <c r="G30" i="1"/>
  <c r="F30" i="1"/>
  <c r="H30" i="1"/>
  <c r="J30" i="1"/>
  <c r="R30" i="1"/>
  <c r="S30" i="1"/>
  <c r="U30" i="1"/>
  <c r="V30" i="1"/>
  <c r="U31" i="1"/>
  <c r="V31" i="1"/>
  <c r="R32" i="1"/>
  <c r="S32" i="1"/>
  <c r="U32" i="1"/>
  <c r="V32" i="1"/>
  <c r="R33" i="1"/>
  <c r="S33" i="1"/>
  <c r="U33" i="1"/>
  <c r="V33" i="1"/>
  <c r="U34" i="1"/>
  <c r="V34" i="1"/>
  <c r="R35" i="1"/>
  <c r="S35" i="1"/>
  <c r="U35" i="1"/>
  <c r="V35" i="1"/>
  <c r="R36" i="1"/>
  <c r="S36" i="1"/>
  <c r="U36" i="1"/>
  <c r="V36" i="1"/>
  <c r="U37" i="1"/>
  <c r="V37" i="1"/>
  <c r="R38" i="1"/>
  <c r="S38" i="1"/>
  <c r="U38" i="1"/>
  <c r="V38" i="1"/>
  <c r="R39" i="1"/>
  <c r="S39" i="1"/>
  <c r="U39" i="1"/>
  <c r="V39" i="1"/>
  <c r="U40" i="1"/>
  <c r="V40" i="1"/>
  <c r="R41" i="1"/>
  <c r="S41" i="1"/>
  <c r="U41" i="1"/>
  <c r="V41" i="1"/>
  <c r="R42" i="1"/>
  <c r="S42" i="1"/>
  <c r="U42" i="1"/>
  <c r="V42" i="1"/>
  <c r="U43" i="1"/>
  <c r="V43" i="1"/>
  <c r="R44" i="1"/>
  <c r="S44" i="1"/>
  <c r="U44" i="1"/>
  <c r="V44" i="1"/>
  <c r="R45" i="1"/>
  <c r="S45" i="1"/>
  <c r="U45" i="1"/>
  <c r="V45" i="1"/>
  <c r="U46" i="1"/>
  <c r="V46" i="1"/>
  <c r="R47" i="1"/>
  <c r="S47" i="1"/>
  <c r="U47" i="1"/>
  <c r="V47" i="1"/>
  <c r="R48" i="1"/>
  <c r="S48" i="1"/>
  <c r="U48" i="1"/>
  <c r="V48" i="1"/>
  <c r="U49" i="1"/>
  <c r="V49" i="1"/>
  <c r="R50" i="1"/>
  <c r="S50" i="1"/>
  <c r="U50" i="1"/>
  <c r="V50" i="1"/>
  <c r="R51" i="1"/>
  <c r="S51" i="1"/>
  <c r="U51" i="1"/>
  <c r="V51" i="1"/>
  <c r="U52" i="1"/>
  <c r="V52" i="1"/>
  <c r="R53" i="1"/>
  <c r="S53" i="1"/>
  <c r="U53" i="1"/>
  <c r="V53" i="1"/>
  <c r="R54" i="1"/>
  <c r="S54" i="1"/>
  <c r="U54" i="1"/>
  <c r="V54" i="1"/>
  <c r="U55" i="1"/>
  <c r="V55" i="1"/>
  <c r="R56" i="1"/>
  <c r="S56" i="1"/>
  <c r="U56" i="1"/>
  <c r="V56" i="1"/>
  <c r="R57" i="1"/>
  <c r="S57" i="1"/>
  <c r="U57" i="1"/>
  <c r="V57" i="1"/>
  <c r="U58" i="1"/>
  <c r="V58" i="1"/>
  <c r="R59" i="1"/>
  <c r="S59" i="1"/>
  <c r="U59" i="1"/>
  <c r="V59" i="1"/>
  <c r="R60" i="1"/>
  <c r="S60" i="1"/>
  <c r="U60" i="1"/>
  <c r="V60" i="1"/>
  <c r="U61" i="1"/>
  <c r="V61" i="1"/>
  <c r="R62" i="1"/>
  <c r="S62" i="1"/>
  <c r="U62" i="1"/>
  <c r="V62" i="1"/>
  <c r="R63" i="1"/>
  <c r="S63" i="1"/>
  <c r="U63" i="1"/>
  <c r="V63" i="1"/>
  <c r="U64" i="1"/>
  <c r="V64" i="1"/>
  <c r="R65" i="1"/>
  <c r="S65" i="1"/>
  <c r="U65" i="1"/>
  <c r="V65" i="1"/>
  <c r="R66" i="1"/>
  <c r="S66" i="1"/>
  <c r="U66" i="1"/>
  <c r="V66" i="1"/>
  <c r="R5" i="1"/>
  <c r="S5" i="1"/>
  <c r="U5" i="1"/>
  <c r="V5" i="1"/>
  <c r="R6" i="1"/>
  <c r="S6" i="1"/>
  <c r="T6" i="1"/>
  <c r="U6" i="1"/>
  <c r="V6" i="1"/>
  <c r="R8" i="1"/>
  <c r="S8" i="1"/>
  <c r="U8" i="1"/>
  <c r="V8" i="1"/>
  <c r="R9" i="1"/>
  <c r="S9" i="1"/>
  <c r="G9" i="1"/>
  <c r="F9" i="1"/>
  <c r="H9" i="1"/>
  <c r="J9" i="1"/>
  <c r="T9" i="1"/>
  <c r="U9" i="1"/>
  <c r="V9" i="1"/>
  <c r="U10" i="1"/>
  <c r="V10" i="1"/>
  <c r="R11" i="1"/>
  <c r="U11" i="1"/>
  <c r="V11" i="1"/>
  <c r="V12" i="1"/>
  <c r="U4" i="1"/>
  <c r="V4" i="1"/>
  <c r="Y4" i="1"/>
  <c r="Y5" i="1"/>
  <c r="AB5" i="1"/>
  <c r="Y6" i="1"/>
  <c r="AB6" i="1"/>
  <c r="Y7" i="1"/>
  <c r="AB7" i="1"/>
  <c r="Y8" i="1"/>
  <c r="AB8" i="1"/>
  <c r="Y9" i="1"/>
  <c r="AB9" i="1"/>
  <c r="Y10" i="1"/>
  <c r="AB10" i="1"/>
  <c r="Y11" i="1"/>
  <c r="AB11" i="1"/>
  <c r="Y12" i="1"/>
  <c r="AB12" i="1"/>
  <c r="Y13" i="1"/>
  <c r="AB13" i="1"/>
  <c r="Y14" i="1"/>
  <c r="AB14" i="1"/>
  <c r="Y15" i="1"/>
  <c r="AB15" i="1"/>
  <c r="Y16" i="1"/>
  <c r="AB16" i="1"/>
  <c r="Y17" i="1"/>
  <c r="AB17" i="1"/>
  <c r="Y18" i="1"/>
  <c r="AB18" i="1"/>
  <c r="Y19" i="1"/>
  <c r="AB19" i="1"/>
  <c r="Y20" i="1"/>
  <c r="AB20" i="1"/>
  <c r="Y21" i="1"/>
  <c r="AB21" i="1"/>
  <c r="Y22" i="1"/>
  <c r="AB22" i="1"/>
  <c r="Y23" i="1"/>
  <c r="AB23" i="1"/>
  <c r="Y24" i="1"/>
  <c r="AB24" i="1"/>
  <c r="Y25" i="1"/>
  <c r="AB25" i="1"/>
  <c r="Y26" i="1"/>
  <c r="AB26" i="1"/>
  <c r="Y27" i="1"/>
  <c r="AB27" i="1"/>
  <c r="Y28" i="1"/>
  <c r="AB28" i="1"/>
  <c r="Y29" i="1"/>
  <c r="AB29" i="1"/>
  <c r="Y30" i="1"/>
  <c r="AB30" i="1"/>
  <c r="Y31" i="1"/>
  <c r="AB31" i="1"/>
  <c r="Y32" i="1"/>
  <c r="AB32" i="1"/>
  <c r="Y33" i="1"/>
  <c r="AB33" i="1"/>
  <c r="Y34" i="1"/>
  <c r="AB34" i="1"/>
  <c r="Y35" i="1"/>
  <c r="AB35" i="1"/>
  <c r="Y36" i="1"/>
  <c r="AB36" i="1"/>
  <c r="Y37" i="1"/>
  <c r="AB37" i="1"/>
  <c r="Y38" i="1"/>
  <c r="AB38" i="1"/>
  <c r="Y39" i="1"/>
  <c r="AB39" i="1"/>
  <c r="Y40" i="1"/>
  <c r="AB40" i="1"/>
  <c r="Y41" i="1"/>
  <c r="AB41" i="1"/>
  <c r="Y42" i="1"/>
  <c r="AB42" i="1"/>
  <c r="Y43" i="1"/>
  <c r="AB43" i="1"/>
  <c r="Y44" i="1"/>
  <c r="AB44" i="1"/>
  <c r="Y45" i="1"/>
  <c r="AB45" i="1"/>
  <c r="Y46" i="1"/>
  <c r="AB46" i="1"/>
  <c r="Y47" i="1"/>
  <c r="AB47" i="1"/>
  <c r="Y48" i="1"/>
  <c r="AB48" i="1"/>
  <c r="Y49" i="1"/>
  <c r="AB49" i="1"/>
  <c r="Y50" i="1"/>
  <c r="AB50" i="1"/>
  <c r="Y51" i="1"/>
  <c r="AB51" i="1"/>
  <c r="Y52" i="1"/>
  <c r="AB52" i="1"/>
  <c r="Y53" i="1"/>
  <c r="AB53" i="1"/>
  <c r="Y54" i="1"/>
  <c r="AB54" i="1"/>
  <c r="Y55" i="1"/>
  <c r="AB55" i="1"/>
  <c r="Y56" i="1"/>
  <c r="AB56" i="1"/>
  <c r="Y57" i="1"/>
  <c r="AB57" i="1"/>
  <c r="Y58" i="1"/>
  <c r="AB58" i="1"/>
  <c r="Y59" i="1"/>
  <c r="AB59" i="1"/>
  <c r="Y60" i="1"/>
  <c r="AB60" i="1"/>
  <c r="Y61" i="1"/>
  <c r="AB61" i="1"/>
  <c r="Y62" i="1"/>
  <c r="AB62" i="1"/>
  <c r="Y63" i="1"/>
  <c r="AB63" i="1"/>
  <c r="Y64" i="1"/>
  <c r="AB64" i="1"/>
  <c r="Y65" i="1"/>
  <c r="AB65" i="1"/>
  <c r="Y66" i="1"/>
  <c r="AB66" i="1"/>
  <c r="AB4" i="1"/>
  <c r="W5" i="1"/>
  <c r="AA5" i="1"/>
  <c r="W6" i="1"/>
  <c r="AA6" i="1"/>
  <c r="AA7" i="1"/>
  <c r="W8" i="1"/>
  <c r="AA8" i="1"/>
  <c r="W9" i="1"/>
  <c r="AA9" i="1"/>
  <c r="AA10" i="1"/>
  <c r="W11" i="1"/>
  <c r="AA11" i="1"/>
  <c r="W12" i="1"/>
  <c r="AA12" i="1"/>
  <c r="AA13" i="1"/>
  <c r="W14" i="1"/>
  <c r="AA14" i="1"/>
  <c r="W15" i="1"/>
  <c r="AA15" i="1"/>
  <c r="AA16" i="1"/>
  <c r="W17" i="1"/>
  <c r="AA17" i="1"/>
  <c r="W18" i="1"/>
  <c r="AA18" i="1"/>
  <c r="AA19" i="1"/>
  <c r="W20" i="1"/>
  <c r="AA20" i="1"/>
  <c r="W21" i="1"/>
  <c r="AA21" i="1"/>
  <c r="AA22" i="1"/>
  <c r="W23" i="1"/>
  <c r="AA23" i="1"/>
  <c r="W24" i="1"/>
  <c r="AA24" i="1"/>
  <c r="AA25" i="1"/>
  <c r="W26" i="1"/>
  <c r="AA26" i="1"/>
  <c r="W27" i="1"/>
  <c r="AA27" i="1"/>
  <c r="AA28" i="1"/>
  <c r="W29" i="1"/>
  <c r="AA29" i="1"/>
  <c r="W30" i="1"/>
  <c r="AA30" i="1"/>
  <c r="AA31" i="1"/>
  <c r="W32" i="1"/>
  <c r="AA32" i="1"/>
  <c r="W33" i="1"/>
  <c r="AA33" i="1"/>
  <c r="AA34" i="1"/>
  <c r="W35" i="1"/>
  <c r="AA35" i="1"/>
  <c r="W36" i="1"/>
  <c r="AA36" i="1"/>
  <c r="AA37" i="1"/>
  <c r="W38" i="1"/>
  <c r="AA38" i="1"/>
  <c r="W39" i="1"/>
  <c r="AA39" i="1"/>
  <c r="AA40" i="1"/>
  <c r="W41" i="1"/>
  <c r="AA41" i="1"/>
  <c r="W42" i="1"/>
  <c r="AA42" i="1"/>
  <c r="AA43" i="1"/>
  <c r="W44" i="1"/>
  <c r="AA44" i="1"/>
  <c r="W45" i="1"/>
  <c r="AA45" i="1"/>
  <c r="AA46" i="1"/>
  <c r="W47" i="1"/>
  <c r="AA47" i="1"/>
  <c r="W48" i="1"/>
  <c r="AA48" i="1"/>
  <c r="AA49" i="1"/>
  <c r="W50" i="1"/>
  <c r="AA50" i="1"/>
  <c r="W51" i="1"/>
  <c r="AA51" i="1"/>
  <c r="AA52" i="1"/>
  <c r="W53" i="1"/>
  <c r="AA53" i="1"/>
  <c r="W54" i="1"/>
  <c r="AA54" i="1"/>
  <c r="AA55" i="1"/>
  <c r="W56" i="1"/>
  <c r="AA56" i="1"/>
  <c r="W57" i="1"/>
  <c r="AA57" i="1"/>
  <c r="AA58" i="1"/>
  <c r="W59" i="1"/>
  <c r="AA59" i="1"/>
  <c r="W60" i="1"/>
  <c r="AA60" i="1"/>
  <c r="AA61" i="1"/>
  <c r="W62" i="1"/>
  <c r="AA62" i="1"/>
  <c r="W63" i="1"/>
  <c r="AA63" i="1"/>
  <c r="AA64" i="1"/>
  <c r="W65" i="1"/>
  <c r="AA65" i="1"/>
  <c r="W66" i="1"/>
  <c r="AA66" i="1"/>
  <c r="AA4" i="1"/>
  <c r="X4" i="1"/>
  <c r="Z4" i="1"/>
  <c r="X5" i="1"/>
  <c r="Z5" i="1"/>
  <c r="X6" i="1"/>
  <c r="Z6" i="1"/>
  <c r="X7" i="1"/>
  <c r="Z7" i="1"/>
  <c r="X8" i="1"/>
  <c r="Z8" i="1"/>
  <c r="X9" i="1"/>
  <c r="Z9" i="1"/>
  <c r="X10" i="1"/>
  <c r="Z10" i="1"/>
  <c r="X11" i="1"/>
  <c r="Z11" i="1"/>
  <c r="X12" i="1"/>
  <c r="Z12" i="1"/>
  <c r="Z13" i="1"/>
  <c r="X14" i="1"/>
  <c r="Z14" i="1"/>
  <c r="X15" i="1"/>
  <c r="Z15" i="1"/>
  <c r="Z16" i="1"/>
  <c r="X17" i="1"/>
  <c r="Z17" i="1"/>
  <c r="X18" i="1"/>
  <c r="Z18" i="1"/>
  <c r="Z19" i="1"/>
  <c r="X20" i="1"/>
  <c r="Z20" i="1"/>
  <c r="X21" i="1"/>
  <c r="Z21" i="1"/>
  <c r="X22" i="1"/>
  <c r="Z22" i="1"/>
  <c r="X23" i="1"/>
  <c r="Z23" i="1"/>
  <c r="X24" i="1"/>
  <c r="Z24" i="1"/>
  <c r="X25" i="1"/>
  <c r="Z25" i="1"/>
  <c r="X26" i="1"/>
  <c r="Z26" i="1"/>
  <c r="X27" i="1"/>
  <c r="Z27" i="1"/>
  <c r="X28" i="1"/>
  <c r="Z28" i="1"/>
  <c r="X29" i="1"/>
  <c r="Z29" i="1"/>
  <c r="X30" i="1"/>
  <c r="Z30" i="1"/>
  <c r="Z31" i="1"/>
  <c r="X32" i="1"/>
  <c r="Z32" i="1"/>
  <c r="X33" i="1"/>
  <c r="Z33" i="1"/>
  <c r="Z34" i="1"/>
  <c r="X35" i="1"/>
  <c r="Z35" i="1"/>
  <c r="X36" i="1"/>
  <c r="Z36" i="1"/>
  <c r="Z37" i="1"/>
  <c r="X38" i="1"/>
  <c r="Z38" i="1"/>
  <c r="X39" i="1"/>
  <c r="Z39" i="1"/>
  <c r="X40" i="1"/>
  <c r="Z40" i="1"/>
  <c r="X41" i="1"/>
  <c r="Z41" i="1"/>
  <c r="X42" i="1"/>
  <c r="Z42" i="1"/>
  <c r="X43" i="1"/>
  <c r="Z43" i="1"/>
  <c r="X44" i="1"/>
  <c r="Z44" i="1"/>
  <c r="X45" i="1"/>
  <c r="Z45" i="1"/>
  <c r="X46" i="1"/>
  <c r="Z46" i="1"/>
  <c r="X47" i="1"/>
  <c r="Z47" i="1"/>
  <c r="X48" i="1"/>
  <c r="Z48" i="1"/>
  <c r="Z49" i="1"/>
  <c r="X50" i="1"/>
  <c r="Z50" i="1"/>
  <c r="X51" i="1"/>
  <c r="Z51" i="1"/>
  <c r="Z52" i="1"/>
  <c r="X53" i="1"/>
  <c r="Z53" i="1"/>
  <c r="X54" i="1"/>
  <c r="Z54" i="1"/>
  <c r="Z55" i="1"/>
  <c r="X56" i="1"/>
  <c r="Z56" i="1"/>
  <c r="X57" i="1"/>
  <c r="Z57" i="1"/>
  <c r="X58" i="1"/>
  <c r="Z58" i="1"/>
  <c r="X59" i="1"/>
  <c r="Z59" i="1"/>
  <c r="X60" i="1"/>
  <c r="Z60" i="1"/>
  <c r="X61" i="1"/>
  <c r="Z61" i="1"/>
  <c r="X62" i="1"/>
  <c r="Z62" i="1"/>
  <c r="X63" i="1"/>
  <c r="Z63" i="1"/>
  <c r="X64" i="1"/>
  <c r="Z64" i="1"/>
  <c r="X65" i="1"/>
  <c r="Z65" i="1"/>
  <c r="X66" i="1"/>
  <c r="Z66" i="1"/>
  <c r="B544" i="5" a="1"/>
  <c r="B544" i="5"/>
  <c r="B543" i="5" a="1"/>
  <c r="B543" i="5"/>
  <c r="B542" i="5" a="1"/>
  <c r="B542" i="5"/>
  <c r="B540" i="5" a="1"/>
  <c r="B540" i="5"/>
  <c r="B539" i="5" a="1"/>
  <c r="B539" i="5"/>
  <c r="B538" i="5" a="1"/>
  <c r="B538" i="5"/>
  <c r="B536" i="5" a="1"/>
  <c r="B536" i="5"/>
  <c r="B535" i="5" a="1"/>
  <c r="B535" i="5"/>
  <c r="B534" i="5" a="1"/>
  <c r="B534" i="5"/>
  <c r="B532" i="5" a="1"/>
  <c r="B532" i="5"/>
  <c r="B531" i="5" a="1"/>
  <c r="B531" i="5"/>
  <c r="B530" i="5" a="1"/>
  <c r="B530" i="5"/>
  <c r="B528" i="5" a="1"/>
  <c r="B528" i="5"/>
  <c r="B527" i="5" a="1"/>
  <c r="B527" i="5"/>
  <c r="B526" i="5" a="1"/>
  <c r="B526" i="5"/>
  <c r="B524" i="5" a="1"/>
  <c r="B524" i="5"/>
  <c r="B523" i="5" a="1"/>
  <c r="B523" i="5"/>
  <c r="B522" i="5" a="1"/>
  <c r="B522" i="5"/>
  <c r="B520" i="5" a="1"/>
  <c r="B520" i="5"/>
  <c r="B519" i="5" a="1"/>
  <c r="B519" i="5"/>
  <c r="B518" i="5" a="1"/>
  <c r="B518" i="5"/>
  <c r="B508" i="5" a="1"/>
  <c r="B508" i="5"/>
  <c r="B507" i="5" a="1"/>
  <c r="B507" i="5"/>
  <c r="B506" i="5" a="1"/>
  <c r="B506" i="5"/>
  <c r="B504" i="5" a="1"/>
  <c r="B504" i="5"/>
  <c r="B503" i="5" a="1"/>
  <c r="B503" i="5"/>
  <c r="B502" i="5" a="1"/>
  <c r="B502" i="5"/>
  <c r="B500" i="5" a="1"/>
  <c r="B500" i="5"/>
  <c r="B499" i="5" a="1"/>
  <c r="B499" i="5"/>
  <c r="B498" i="5" a="1"/>
  <c r="B498" i="5"/>
  <c r="B496" i="5" a="1"/>
  <c r="B496" i="5"/>
  <c r="B495" i="5" a="1"/>
  <c r="B495" i="5"/>
  <c r="B494" i="5" a="1"/>
  <c r="B494" i="5"/>
  <c r="B492" i="5" a="1"/>
  <c r="B492" i="5"/>
  <c r="B491" i="5" a="1"/>
  <c r="B491" i="5"/>
  <c r="B490" i="5" a="1"/>
  <c r="B490" i="5"/>
  <c r="B488" i="5" a="1"/>
  <c r="B488" i="5"/>
  <c r="B487" i="5" a="1"/>
  <c r="B487" i="5"/>
  <c r="B486" i="5" a="1"/>
  <c r="B486" i="5"/>
  <c r="B484" i="5" a="1"/>
  <c r="B484" i="5"/>
  <c r="B483" i="5" a="1"/>
  <c r="B483" i="5"/>
  <c r="B482" i="5" a="1"/>
  <c r="B482" i="5"/>
  <c r="B472" i="5" a="1"/>
  <c r="B472" i="5"/>
  <c r="B471" i="5" a="1"/>
  <c r="B471" i="5"/>
  <c r="B470" i="5" a="1"/>
  <c r="B470" i="5"/>
  <c r="B468" i="5" a="1"/>
  <c r="B468" i="5"/>
  <c r="B467" i="5" a="1"/>
  <c r="B467" i="5"/>
  <c r="B466" i="5" a="1"/>
  <c r="B466" i="5"/>
  <c r="B464" i="5" a="1"/>
  <c r="B464" i="5"/>
  <c r="B463" i="5" a="1"/>
  <c r="B463" i="5"/>
  <c r="B462" i="5" a="1"/>
  <c r="B462" i="5"/>
  <c r="B460" i="5" a="1"/>
  <c r="B460" i="5"/>
  <c r="B459" i="5" a="1"/>
  <c r="B459" i="5"/>
  <c r="B458" i="5" a="1"/>
  <c r="B458" i="5"/>
  <c r="B456" i="5" a="1"/>
  <c r="B456" i="5"/>
  <c r="B455" i="5" a="1"/>
  <c r="B455" i="5"/>
  <c r="B454" i="5" a="1"/>
  <c r="B454" i="5"/>
  <c r="B452" i="5" a="1"/>
  <c r="B452" i="5"/>
  <c r="B451" i="5" a="1"/>
  <c r="B451" i="5"/>
  <c r="B450" i="5" a="1"/>
  <c r="B450" i="5"/>
  <c r="B448" i="5" a="1"/>
  <c r="B448" i="5"/>
  <c r="B447" i="5" a="1"/>
  <c r="B447" i="5"/>
  <c r="B446" i="5" a="1"/>
  <c r="B446" i="5"/>
  <c r="B435" i="5" a="1"/>
  <c r="B435" i="5"/>
  <c r="B434" i="5" a="1"/>
  <c r="B434" i="5"/>
  <c r="B433" i="5" a="1"/>
  <c r="B433" i="5"/>
  <c r="B431" i="5" a="1"/>
  <c r="B431" i="5"/>
  <c r="B430" i="5" a="1"/>
  <c r="B430" i="5"/>
  <c r="B429" i="5" a="1"/>
  <c r="B429" i="5"/>
  <c r="B427" i="5" a="1"/>
  <c r="B427" i="5"/>
  <c r="B426" i="5" a="1"/>
  <c r="B426" i="5"/>
  <c r="B425" i="5" a="1"/>
  <c r="B425" i="5"/>
  <c r="B423" i="5" a="1"/>
  <c r="B423" i="5"/>
  <c r="B422" i="5" a="1"/>
  <c r="B422" i="5"/>
  <c r="B421" i="5" a="1"/>
  <c r="B421" i="5"/>
  <c r="B419" i="5" a="1"/>
  <c r="B419" i="5"/>
  <c r="B418" i="5" a="1"/>
  <c r="B418" i="5"/>
  <c r="B417" i="5" a="1"/>
  <c r="B417" i="5"/>
  <c r="B415" i="5" a="1"/>
  <c r="B415" i="5"/>
  <c r="B414" i="5" a="1"/>
  <c r="B414" i="5"/>
  <c r="B413" i="5" a="1"/>
  <c r="B413" i="5"/>
  <c r="B411" i="5" a="1"/>
  <c r="B411" i="5"/>
  <c r="B410" i="5" a="1"/>
  <c r="B410" i="5"/>
  <c r="B409" i="5" a="1"/>
  <c r="B409" i="5"/>
  <c r="B399" i="5" a="1"/>
  <c r="B399" i="5"/>
  <c r="B398" i="5" a="1"/>
  <c r="B398" i="5"/>
  <c r="B397" i="5" a="1"/>
  <c r="B397" i="5"/>
  <c r="B395" i="5" a="1"/>
  <c r="B395" i="5"/>
  <c r="B394" i="5" a="1"/>
  <c r="B394" i="5"/>
  <c r="B393" i="5" a="1"/>
  <c r="B393" i="5"/>
  <c r="B391" i="5" a="1"/>
  <c r="B391" i="5"/>
  <c r="B390" i="5" a="1"/>
  <c r="B390" i="5"/>
  <c r="B389" i="5" a="1"/>
  <c r="B389" i="5"/>
  <c r="B387" i="5" a="1"/>
  <c r="B387" i="5"/>
  <c r="B386" i="5" a="1"/>
  <c r="B386" i="5"/>
  <c r="B385" i="5" a="1"/>
  <c r="B385" i="5"/>
  <c r="B383" i="5" a="1"/>
  <c r="B383" i="5"/>
  <c r="B382" i="5" a="1"/>
  <c r="B382" i="5"/>
  <c r="B381" i="5" a="1"/>
  <c r="B381" i="5"/>
  <c r="B379" i="5" a="1"/>
  <c r="B379" i="5"/>
  <c r="B378" i="5" a="1"/>
  <c r="B378" i="5"/>
  <c r="B377" i="5" a="1"/>
  <c r="B377" i="5"/>
  <c r="B375" i="5" a="1"/>
  <c r="B375" i="5"/>
  <c r="B374" i="5" a="1"/>
  <c r="B374" i="5"/>
  <c r="B373" i="5" a="1"/>
  <c r="B373" i="5"/>
  <c r="B363" i="5" a="1"/>
  <c r="B363" i="5"/>
  <c r="B362" i="5" a="1"/>
  <c r="B362" i="5"/>
  <c r="B361" i="5" a="1"/>
  <c r="B361" i="5"/>
  <c r="B359" i="5" a="1"/>
  <c r="B359" i="5"/>
  <c r="B358" i="5" a="1"/>
  <c r="B358" i="5"/>
  <c r="B357" i="5" a="1"/>
  <c r="B357" i="5"/>
  <c r="B355" i="5" a="1"/>
  <c r="B355" i="5"/>
  <c r="B354" i="5" a="1"/>
  <c r="B354" i="5"/>
  <c r="B353" i="5" a="1"/>
  <c r="B353" i="5"/>
  <c r="B351" i="5" a="1"/>
  <c r="B351" i="5"/>
  <c r="B350" i="5" a="1"/>
  <c r="B350" i="5"/>
  <c r="B349" i="5" a="1"/>
  <c r="B349" i="5"/>
  <c r="B347" i="5" a="1"/>
  <c r="B347" i="5"/>
  <c r="B346" i="5" a="1"/>
  <c r="B346" i="5"/>
  <c r="B345" i="5" a="1"/>
  <c r="B345" i="5"/>
  <c r="B343" i="5" a="1"/>
  <c r="B343" i="5"/>
  <c r="B342" i="5" a="1"/>
  <c r="B342" i="5"/>
  <c r="B341" i="5" a="1"/>
  <c r="B341" i="5"/>
  <c r="B339" i="5" a="1"/>
  <c r="B339" i="5"/>
  <c r="B338" i="5" a="1"/>
  <c r="B338" i="5"/>
  <c r="B337" i="5" a="1"/>
  <c r="B337" i="5"/>
  <c r="B109" i="5" a="1"/>
  <c r="B109" i="5"/>
  <c r="B108" i="5" a="1"/>
  <c r="B108" i="5"/>
  <c r="B107" i="5" a="1"/>
  <c r="B107" i="5"/>
  <c r="B106" i="5" a="1"/>
  <c r="B106" i="5"/>
  <c r="B105" i="5" a="1"/>
  <c r="B105" i="5"/>
  <c r="B104" i="5" a="1"/>
  <c r="B104" i="5"/>
  <c r="B103" i="5" a="1"/>
  <c r="B103" i="5"/>
  <c r="B102" i="5" a="1"/>
  <c r="B102" i="5"/>
  <c r="B101" i="5" a="1"/>
  <c r="B101" i="5"/>
  <c r="B100" i="5" a="1"/>
  <c r="B100" i="5"/>
  <c r="B99" i="5" a="1"/>
  <c r="B99" i="5"/>
  <c r="B98" i="5" a="1"/>
  <c r="B98" i="5"/>
  <c r="B97" i="5" a="1"/>
  <c r="B97" i="5"/>
  <c r="B96" i="5" a="1"/>
  <c r="B96" i="5"/>
  <c r="B95" i="5" a="1"/>
  <c r="B95" i="5"/>
  <c r="B94" i="5" a="1"/>
  <c r="B94" i="5"/>
  <c r="B93" i="5" a="1"/>
  <c r="B93" i="5"/>
  <c r="B92" i="5" a="1"/>
  <c r="B92" i="5"/>
  <c r="B91" i="5" a="1"/>
  <c r="B91" i="5"/>
  <c r="B90" i="5" a="1"/>
  <c r="B90" i="5"/>
  <c r="B89" i="5" a="1"/>
  <c r="B89" i="5"/>
  <c r="B88" i="5" a="1"/>
  <c r="B88" i="5"/>
  <c r="B87" i="5" a="1"/>
  <c r="B87" i="5"/>
  <c r="B86" i="5" a="1"/>
  <c r="B86" i="5"/>
  <c r="B85" i="5" a="1"/>
  <c r="B85" i="5"/>
  <c r="B84" i="5" a="1"/>
  <c r="B84" i="5"/>
  <c r="B83" i="5" a="1"/>
  <c r="B83" i="5"/>
  <c r="B82" i="5" a="1"/>
  <c r="B82" i="5"/>
  <c r="B81" i="5" a="1"/>
  <c r="B81" i="5"/>
  <c r="B80" i="5" a="1"/>
  <c r="B80" i="5"/>
  <c r="B79" i="5" a="1"/>
  <c r="B79" i="5"/>
  <c r="B78" i="5" a="1"/>
  <c r="B78" i="5"/>
  <c r="B77" i="5" a="1"/>
  <c r="B77" i="5"/>
  <c r="B76" i="5" a="1"/>
  <c r="B76" i="5"/>
  <c r="B75" i="5" a="1"/>
  <c r="B75" i="5"/>
  <c r="B74" i="5" a="1"/>
  <c r="B74" i="5"/>
  <c r="B73" i="5" a="1"/>
  <c r="B73" i="5"/>
  <c r="B72" i="5" a="1"/>
  <c r="B72" i="5"/>
  <c r="B71" i="5" a="1"/>
  <c r="B71" i="5"/>
  <c r="B70" i="5" a="1"/>
  <c r="B70" i="5"/>
  <c r="B69" i="5" a="1"/>
  <c r="B69" i="5"/>
  <c r="B68" i="5" a="1"/>
  <c r="B68" i="5"/>
  <c r="B67" i="5" a="1"/>
  <c r="B67" i="5"/>
  <c r="B66" i="5" a="1"/>
  <c r="B66" i="5"/>
  <c r="G56" i="1"/>
  <c r="F56" i="1"/>
  <c r="H56" i="1"/>
  <c r="J56" i="1"/>
  <c r="G63" i="1"/>
  <c r="F63" i="1"/>
  <c r="H63" i="1"/>
  <c r="J63" i="1"/>
  <c r="G62" i="1"/>
  <c r="F62" i="1"/>
  <c r="H62" i="1"/>
  <c r="J62" i="1"/>
  <c r="G60" i="1"/>
  <c r="F60" i="1"/>
  <c r="H60" i="1"/>
  <c r="J60" i="1"/>
  <c r="G59" i="1"/>
  <c r="F59" i="1"/>
  <c r="H59" i="1"/>
  <c r="J59" i="1"/>
  <c r="G54" i="1"/>
  <c r="F54" i="1"/>
  <c r="H54" i="1"/>
  <c r="J54" i="1"/>
  <c r="G53" i="1"/>
  <c r="F53" i="1"/>
  <c r="H53" i="1"/>
  <c r="J53" i="1"/>
  <c r="G51" i="1"/>
  <c r="F51" i="1"/>
  <c r="H51" i="1"/>
  <c r="J51" i="1"/>
  <c r="G50" i="1"/>
  <c r="F50" i="1"/>
  <c r="H50" i="1"/>
  <c r="J50" i="1"/>
  <c r="G45" i="1"/>
  <c r="F45" i="1"/>
  <c r="H45" i="1"/>
  <c r="J45" i="1"/>
  <c r="G44" i="1"/>
  <c r="F44" i="1"/>
  <c r="H44" i="1"/>
  <c r="J44" i="1"/>
  <c r="G42" i="1"/>
  <c r="F42" i="1"/>
  <c r="H42" i="1"/>
  <c r="J42" i="1"/>
  <c r="G41" i="1"/>
  <c r="F41" i="1"/>
  <c r="H41" i="1"/>
  <c r="J41" i="1"/>
  <c r="G36" i="1"/>
  <c r="F36" i="1"/>
  <c r="H36" i="1"/>
  <c r="J36" i="1"/>
  <c r="G35" i="1"/>
  <c r="F35" i="1"/>
  <c r="G33" i="1"/>
  <c r="F33" i="1"/>
  <c r="H33" i="1"/>
  <c r="J33" i="1"/>
  <c r="G32" i="1"/>
  <c r="F32" i="1"/>
  <c r="G26" i="1"/>
  <c r="F26" i="1"/>
  <c r="H26" i="1"/>
  <c r="J26" i="1"/>
  <c r="G23" i="1"/>
  <c r="F23" i="1"/>
  <c r="H23" i="1"/>
  <c r="J23" i="1"/>
  <c r="G18" i="1"/>
  <c r="F18" i="1"/>
  <c r="H18" i="1"/>
  <c r="J18" i="1"/>
  <c r="G17" i="1"/>
  <c r="F17" i="1"/>
  <c r="H17" i="1"/>
  <c r="J17" i="1"/>
  <c r="G14" i="1"/>
  <c r="F14" i="1"/>
  <c r="H14" i="1"/>
  <c r="J14" i="1"/>
  <c r="G66" i="1"/>
  <c r="F66" i="1"/>
  <c r="H66" i="1"/>
  <c r="J66" i="1"/>
  <c r="G65" i="1"/>
  <c r="F65" i="1"/>
  <c r="H65" i="1"/>
  <c r="J65" i="1"/>
  <c r="G57" i="1"/>
  <c r="F57" i="1"/>
  <c r="H57" i="1"/>
  <c r="J57" i="1"/>
  <c r="G48" i="1"/>
  <c r="F48" i="1"/>
  <c r="H48" i="1"/>
  <c r="J48" i="1"/>
  <c r="G47" i="1"/>
  <c r="F47" i="1"/>
  <c r="H47" i="1"/>
  <c r="J47" i="1"/>
  <c r="G39" i="1"/>
  <c r="F39" i="1"/>
  <c r="H39" i="1"/>
  <c r="J39" i="1"/>
  <c r="G38" i="1"/>
  <c r="F38" i="1"/>
  <c r="G29" i="1"/>
  <c r="F29" i="1"/>
  <c r="H29" i="1"/>
  <c r="J29" i="1"/>
  <c r="G21" i="1"/>
  <c r="F21" i="1"/>
  <c r="H21" i="1"/>
  <c r="J21" i="1"/>
  <c r="G20" i="1"/>
  <c r="F20" i="1"/>
  <c r="H20" i="1"/>
  <c r="J20" i="1"/>
  <c r="G11" i="1"/>
  <c r="F11" i="1"/>
  <c r="H11" i="1"/>
  <c r="J11" i="1"/>
  <c r="G8" i="1"/>
  <c r="F8" i="1"/>
  <c r="H8" i="1"/>
  <c r="J8" i="1"/>
  <c r="G6" i="1"/>
  <c r="F6" i="1"/>
  <c r="H6" i="1"/>
  <c r="J6" i="1"/>
  <c r="G5" i="1"/>
  <c r="F5" i="1"/>
  <c r="H5" i="1"/>
  <c r="J5" i="1"/>
  <c r="H35" i="1"/>
  <c r="J35" i="1"/>
  <c r="H38" i="1"/>
  <c r="J38" i="1"/>
  <c r="H32" i="1"/>
  <c r="J32" i="1"/>
  <c r="B176" i="5" a="1"/>
  <c r="B176" i="5"/>
  <c r="B125" i="5" a="1"/>
  <c r="B125" i="5"/>
  <c r="B171" i="5" a="1"/>
  <c r="B171" i="5"/>
  <c r="B120" i="5" a="1"/>
  <c r="B120" i="5"/>
  <c r="B195" i="5" a="1"/>
  <c r="B195" i="5"/>
  <c r="B165" i="5" a="1"/>
  <c r="B165" i="5"/>
  <c r="B119" i="5" a="1"/>
  <c r="B119" i="5"/>
  <c r="B204" i="5" a="1"/>
  <c r="B204" i="5"/>
  <c r="B155" i="5" a="1"/>
  <c r="B155" i="5"/>
  <c r="B200" i="5" a="1"/>
  <c r="B200" i="5"/>
  <c r="B140" i="5" a="1"/>
  <c r="B140" i="5"/>
  <c r="B215" i="5" a="1"/>
  <c r="B215" i="5"/>
  <c r="B137" i="5" a="1"/>
  <c r="B137" i="5"/>
  <c r="B216" i="5" a="1"/>
  <c r="B216" i="5"/>
  <c r="B209" i="5" a="1"/>
  <c r="B209" i="5"/>
  <c r="B133" i="5" a="1"/>
  <c r="B133" i="5"/>
  <c r="B163" i="5" a="1"/>
  <c r="B163" i="5"/>
  <c r="B192" i="5" a="1"/>
  <c r="B192" i="5"/>
  <c r="B217" i="5" a="1"/>
  <c r="B217" i="5"/>
  <c r="B141" i="5" a="1"/>
  <c r="B141" i="5"/>
  <c r="B169" i="5" a="1"/>
  <c r="B169" i="5"/>
  <c r="B199" i="5" a="1"/>
  <c r="B199" i="5"/>
  <c r="B127" i="5" a="1"/>
  <c r="B127" i="5"/>
  <c r="B156" i="5" a="1"/>
  <c r="B156" i="5"/>
  <c r="B177" i="5" a="1"/>
  <c r="B177" i="5"/>
  <c r="B205" i="5" a="1"/>
  <c r="B205" i="5"/>
  <c r="B131" i="5" a="1"/>
  <c r="B131" i="5"/>
  <c r="B121" i="5" a="1"/>
  <c r="B121" i="5"/>
  <c r="B139" i="5" a="1"/>
  <c r="B139" i="5"/>
  <c r="B168" i="5" a="1"/>
  <c r="B168" i="5"/>
  <c r="B197" i="5" a="1"/>
  <c r="B197" i="5"/>
  <c r="B124" i="5" a="1"/>
  <c r="B124" i="5"/>
  <c r="B145" i="5" a="1"/>
  <c r="B145" i="5"/>
  <c r="B175" i="5" a="1"/>
  <c r="B175" i="5"/>
  <c r="B203" i="5" a="1"/>
  <c r="B203" i="5"/>
  <c r="B132" i="5" a="1"/>
  <c r="B132" i="5"/>
  <c r="B161" i="5" a="1"/>
  <c r="B161" i="5"/>
  <c r="B191" i="5" a="1"/>
  <c r="B191" i="5"/>
  <c r="B211" i="5" a="1"/>
  <c r="B211" i="5"/>
  <c r="B160" i="5" a="1"/>
  <c r="B160" i="5"/>
  <c r="B123" i="5" a="1"/>
  <c r="B123" i="5"/>
  <c r="B144" i="5" a="1"/>
  <c r="B144" i="5"/>
  <c r="B173" i="5" a="1"/>
  <c r="B173" i="5"/>
  <c r="B207" i="5" a="1"/>
  <c r="B207" i="5"/>
  <c r="B129" i="5" a="1"/>
  <c r="B129" i="5"/>
  <c r="B159" i="5" a="1"/>
  <c r="B159" i="5"/>
  <c r="B180" i="5" a="1"/>
  <c r="B180" i="5"/>
  <c r="B208" i="5" a="1"/>
  <c r="B208" i="5"/>
  <c r="B136" i="5" a="1"/>
  <c r="B136" i="5"/>
  <c r="B167" i="5" a="1"/>
  <c r="B167" i="5"/>
  <c r="B196" i="5" a="1"/>
  <c r="B196" i="5"/>
  <c r="B181" i="5" a="1"/>
  <c r="B181" i="5"/>
  <c r="B128" i="5" a="1"/>
  <c r="B128" i="5"/>
  <c r="B157" i="5" a="1"/>
  <c r="B157" i="5"/>
  <c r="B179" i="5" a="1"/>
  <c r="B179" i="5"/>
  <c r="B212" i="5" a="1"/>
  <c r="B212" i="5"/>
  <c r="B135" i="5" a="1"/>
  <c r="B135" i="5"/>
  <c r="B164" i="5" a="1"/>
  <c r="B164" i="5"/>
  <c r="B193" i="5" a="1"/>
  <c r="B193" i="5"/>
  <c r="B213" i="5" a="1"/>
  <c r="B213" i="5"/>
  <c r="B143" i="5" a="1"/>
  <c r="B143" i="5"/>
  <c r="B172" i="5" a="1"/>
  <c r="B172" i="5"/>
  <c r="B201" i="5" a="1"/>
  <c r="B201" i="5"/>
  <c r="H19" i="3"/>
  <c r="H18" i="3"/>
  <c r="H17" i="3"/>
  <c r="H16" i="3"/>
  <c r="B653" i="5" a="1"/>
  <c r="B653" i="5"/>
  <c r="B632" i="5" a="1"/>
  <c r="B632" i="5"/>
  <c r="B580" i="5" a="1"/>
  <c r="B580" i="5"/>
  <c r="B636" i="5" a="1"/>
  <c r="B636" i="5"/>
  <c r="B576" i="5" a="1"/>
  <c r="B576" i="5"/>
  <c r="B635" i="5" a="1"/>
  <c r="B635" i="5"/>
  <c r="B575" i="5" a="1"/>
  <c r="B575" i="5"/>
  <c r="B644" i="5" a="1"/>
  <c r="B644" i="5"/>
  <c r="B615" i="5" a="1"/>
  <c r="B615" i="5"/>
  <c r="B593" i="5" a="1"/>
  <c r="B593" i="5"/>
  <c r="B564" i="5" a="1"/>
  <c r="B564" i="5"/>
  <c r="B592" i="5" a="1"/>
  <c r="B592" i="5"/>
  <c r="B641" i="5" a="1"/>
  <c r="B641" i="5"/>
  <c r="B591" i="5" a="1"/>
  <c r="B591" i="5"/>
  <c r="B640" i="5" a="1"/>
  <c r="B640" i="5"/>
  <c r="B579" i="5" a="1"/>
  <c r="B579" i="5"/>
  <c r="B611" i="5" a="1"/>
  <c r="B611" i="5"/>
  <c r="B637" i="5" a="1"/>
  <c r="B637" i="5"/>
  <c r="B647" i="5" a="1"/>
  <c r="B647" i="5"/>
  <c r="B645" i="5" a="1"/>
  <c r="B645" i="5"/>
  <c r="B649" i="5" a="1"/>
  <c r="B649" i="5"/>
  <c r="B599" i="5" a="1"/>
  <c r="B599" i="5"/>
  <c r="B603" i="5" a="1"/>
  <c r="B603" i="5"/>
  <c r="B601" i="5" a="1"/>
  <c r="B601" i="5"/>
  <c r="B600" i="5" a="1"/>
  <c r="B600" i="5"/>
  <c r="B648" i="5" a="1"/>
  <c r="B648" i="5"/>
  <c r="B627" i="5" a="1"/>
  <c r="B627" i="5"/>
  <c r="B568" i="5" a="1"/>
  <c r="B568" i="5"/>
  <c r="B617" i="5" a="1"/>
  <c r="B617" i="5"/>
  <c r="B567" i="5" a="1"/>
  <c r="B567" i="5"/>
  <c r="B616" i="5" a="1"/>
  <c r="B616" i="5"/>
  <c r="B565" i="5" a="1"/>
  <c r="B565" i="5"/>
  <c r="B639" i="5" a="1"/>
  <c r="B639" i="5"/>
  <c r="B609" i="5" a="1"/>
  <c r="B609" i="5"/>
  <c r="B581" i="5" a="1"/>
  <c r="B581" i="5"/>
  <c r="B559" i="5" a="1"/>
  <c r="B559" i="5"/>
  <c r="B573" i="5" a="1"/>
  <c r="B573" i="5"/>
  <c r="B631" i="5" a="1"/>
  <c r="B631" i="5"/>
  <c r="B572" i="5" a="1"/>
  <c r="B572" i="5"/>
  <c r="B629" i="5" a="1"/>
  <c r="B629" i="5"/>
  <c r="B571" i="5" a="1"/>
  <c r="B571" i="5"/>
  <c r="B643" i="5" a="1"/>
  <c r="B643" i="5"/>
  <c r="B608" i="5" a="1"/>
  <c r="B608" i="5"/>
  <c r="B557" i="5" a="1"/>
  <c r="B557" i="5"/>
  <c r="B607" i="5" a="1"/>
  <c r="B607" i="5"/>
  <c r="B556" i="5" a="1"/>
  <c r="B556" i="5"/>
  <c r="B605" i="5" a="1"/>
  <c r="B605" i="5"/>
  <c r="B555" i="5" a="1"/>
  <c r="B555" i="5"/>
  <c r="B633" i="5" a="1"/>
  <c r="B633" i="5"/>
  <c r="B604" i="5" a="1"/>
  <c r="B604" i="5"/>
  <c r="B577" i="5" a="1"/>
  <c r="B577" i="5"/>
  <c r="B613" i="5" a="1"/>
  <c r="B613" i="5"/>
  <c r="B563" i="5" a="1"/>
  <c r="B563" i="5"/>
  <c r="B612" i="5" a="1"/>
  <c r="B612" i="5"/>
  <c r="B561" i="5" a="1"/>
  <c r="B561" i="5"/>
  <c r="B560" i="5" a="1"/>
  <c r="B560" i="5"/>
  <c r="B597" i="5" a="1"/>
  <c r="B597" i="5"/>
  <c r="B596" i="5" a="1"/>
  <c r="B596" i="5"/>
  <c r="B595" i="5" a="1"/>
  <c r="B595" i="5"/>
  <c r="B628" i="5" a="1"/>
  <c r="B628" i="5"/>
  <c r="B569" i="5" a="1"/>
  <c r="B569" i="5"/>
  <c r="B652" i="5" a="1"/>
  <c r="B652" i="5"/>
  <c r="B651" i="5" a="1"/>
  <c r="B651" i="5"/>
  <c r="B326" i="5" a="1"/>
  <c r="B326" i="5"/>
  <c r="B321" i="5" a="1"/>
  <c r="B321" i="5"/>
  <c r="B316" i="5" a="1"/>
  <c r="B316" i="5"/>
  <c r="B310" i="5" a="1"/>
  <c r="B310" i="5"/>
  <c r="B305" i="5" a="1"/>
  <c r="B305" i="5"/>
  <c r="B300" i="5" a="1"/>
  <c r="B300" i="5"/>
  <c r="B253" i="5" a="1"/>
  <c r="B253" i="5"/>
  <c r="B248" i="5" a="1"/>
  <c r="B248" i="5"/>
  <c r="B242" i="5" a="1"/>
  <c r="B242" i="5"/>
  <c r="B237" i="5" a="1"/>
  <c r="B237" i="5"/>
  <c r="B232" i="5" a="1"/>
  <c r="B232" i="5"/>
  <c r="B325" i="5" a="1"/>
  <c r="B325" i="5"/>
  <c r="B320" i="5" a="1"/>
  <c r="B320" i="5"/>
  <c r="B314" i="5" a="1"/>
  <c r="B314" i="5"/>
  <c r="B309" i="5" a="1"/>
  <c r="B309" i="5"/>
  <c r="B304" i="5" a="1"/>
  <c r="B304" i="5"/>
  <c r="B290" i="5" a="1"/>
  <c r="B290" i="5"/>
  <c r="B288" i="5" a="1"/>
  <c r="B288" i="5"/>
  <c r="B282" i="5" a="1"/>
  <c r="B282" i="5"/>
  <c r="B277" i="5" a="1"/>
  <c r="B277" i="5"/>
  <c r="B272" i="5" a="1"/>
  <c r="B272" i="5"/>
  <c r="B266" i="5" a="1"/>
  <c r="B266" i="5"/>
  <c r="B252" i="5" a="1"/>
  <c r="B252" i="5"/>
  <c r="B241" i="5" a="1"/>
  <c r="B241" i="5"/>
  <c r="B230" i="5" a="1"/>
  <c r="B230" i="5"/>
  <c r="B324" i="5" a="1"/>
  <c r="B324" i="5"/>
  <c r="B318" i="5" a="1"/>
  <c r="B318" i="5"/>
  <c r="B313" i="5" a="1"/>
  <c r="B313" i="5"/>
  <c r="B308" i="5" a="1"/>
  <c r="B308" i="5"/>
  <c r="B302" i="5" a="1"/>
  <c r="B302" i="5"/>
  <c r="B250" i="5" a="1"/>
  <c r="B250" i="5"/>
  <c r="B245" i="5" a="1"/>
  <c r="B245" i="5"/>
  <c r="B240" i="5" a="1"/>
  <c r="B240" i="5"/>
  <c r="B234" i="5" a="1"/>
  <c r="B234" i="5"/>
  <c r="B229" i="5" a="1"/>
  <c r="B229" i="5"/>
  <c r="B322" i="5" a="1"/>
  <c r="B322" i="5"/>
  <c r="B317" i="5" a="1"/>
  <c r="B317" i="5"/>
  <c r="B312" i="5" a="1"/>
  <c r="B312" i="5"/>
  <c r="B306" i="5" a="1"/>
  <c r="B306" i="5"/>
  <c r="B301" i="5" a="1"/>
  <c r="B301" i="5"/>
  <c r="B289" i="5" a="1"/>
  <c r="B289" i="5"/>
  <c r="B286" i="5" a="1"/>
  <c r="B286" i="5"/>
  <c r="B284" i="5" a="1"/>
  <c r="B284" i="5"/>
  <c r="B281" i="5" a="1"/>
  <c r="B281" i="5"/>
  <c r="B278" i="5" a="1"/>
  <c r="B278" i="5"/>
  <c r="B276" i="5" a="1"/>
  <c r="B276" i="5"/>
  <c r="B273" i="5" a="1"/>
  <c r="B273" i="5"/>
  <c r="B270" i="5" a="1"/>
  <c r="B270" i="5"/>
  <c r="B268" i="5" a="1"/>
  <c r="B268" i="5"/>
  <c r="B265" i="5" a="1"/>
  <c r="B265" i="5"/>
  <c r="B254" i="5" a="1"/>
  <c r="B254" i="5"/>
  <c r="B249" i="5" a="1"/>
  <c r="B249" i="5"/>
  <c r="B244" i="5" a="1"/>
  <c r="B244" i="5"/>
  <c r="B238" i="5" a="1"/>
  <c r="B238" i="5"/>
  <c r="B233" i="5" a="1"/>
  <c r="B233" i="5"/>
  <c r="B228" i="5" a="1"/>
  <c r="B228" i="5"/>
  <c r="B285" i="5" a="1"/>
  <c r="B285" i="5"/>
  <c r="B280" i="5" a="1"/>
  <c r="B280" i="5"/>
  <c r="B274" i="5" a="1"/>
  <c r="B274" i="5"/>
  <c r="B269" i="5" a="1"/>
  <c r="B269" i="5"/>
  <c r="B264" i="5" a="1"/>
  <c r="B264" i="5"/>
  <c r="B246" i="5" a="1"/>
  <c r="B246" i="5"/>
  <c r="B236" i="5" a="1"/>
  <c r="B236" i="5"/>
  <c r="H24" i="3"/>
  <c r="H23" i="3"/>
  <c r="H22" i="3"/>
  <c r="H21" i="3"/>
  <c r="H20" i="3"/>
  <c r="E12" i="3"/>
  <c r="D12" i="3"/>
  <c r="C12" i="3"/>
  <c r="B12" i="3"/>
  <c r="B35" i="5" a="1"/>
  <c r="B35" i="5"/>
  <c r="B3" i="5" a="1"/>
  <c r="B3" i="5"/>
  <c r="B55" i="5" a="1"/>
  <c r="B55" i="5"/>
  <c r="B22" i="5" a="1"/>
  <c r="B22" i="5"/>
  <c r="B37" i="5" a="1"/>
  <c r="B37" i="5"/>
  <c r="B5" i="5" a="1"/>
  <c r="B5" i="5"/>
  <c r="B56" i="5" a="1"/>
  <c r="B56" i="5"/>
  <c r="B24" i="5" a="1"/>
  <c r="B24" i="5"/>
  <c r="B47" i="5" a="1"/>
  <c r="B47" i="5"/>
  <c r="B15" i="5" a="1"/>
  <c r="B15" i="5"/>
  <c r="B34" i="5" a="1"/>
  <c r="B34" i="5"/>
  <c r="B49" i="5" a="1"/>
  <c r="B49" i="5"/>
  <c r="B17" i="5" a="1"/>
  <c r="B17" i="5"/>
  <c r="B36" i="5" a="1"/>
  <c r="B36" i="5"/>
  <c r="B4" i="5" a="1"/>
  <c r="B4" i="5"/>
  <c r="B58" i="5" a="1"/>
  <c r="B58" i="5"/>
  <c r="B27" i="5" a="1"/>
  <c r="B27" i="5"/>
  <c r="B46" i="5" a="1"/>
  <c r="B46" i="5"/>
  <c r="B10" i="5" a="1"/>
  <c r="B10" i="5"/>
  <c r="B62" i="5" a="1"/>
  <c r="B62" i="5"/>
  <c r="B29" i="5" a="1"/>
  <c r="B29" i="5"/>
  <c r="B48" i="5" a="1"/>
  <c r="B48" i="5"/>
  <c r="B16" i="5" a="1"/>
  <c r="B16" i="5"/>
  <c r="B39" i="5" a="1"/>
  <c r="B39" i="5"/>
  <c r="B7" i="5" a="1"/>
  <c r="B7" i="5"/>
  <c r="B60" i="5" a="1"/>
  <c r="B60" i="5"/>
  <c r="B26" i="5" a="1"/>
  <c r="B26" i="5"/>
  <c r="B41" i="5" a="1"/>
  <c r="B41" i="5"/>
  <c r="B9" i="5" a="1"/>
  <c r="B9" i="5"/>
  <c r="B59" i="5" a="1"/>
  <c r="B59" i="5"/>
  <c r="B28" i="5" a="1"/>
  <c r="B28" i="5"/>
  <c r="B6" i="5" a="1"/>
  <c r="B6" i="5"/>
  <c r="B12" i="5" a="1"/>
  <c r="B12" i="5"/>
  <c r="B57" i="5" a="1"/>
  <c r="B57" i="5"/>
  <c r="B42" i="5" a="1"/>
  <c r="B42" i="5"/>
  <c r="B23" i="5" a="1"/>
  <c r="B23" i="5"/>
  <c r="B14" i="5" a="1"/>
  <c r="B14" i="5"/>
  <c r="B64" i="5" a="1"/>
  <c r="B64" i="5"/>
  <c r="B45" i="5" a="1"/>
  <c r="B45" i="5"/>
  <c r="B30" i="5" a="1"/>
  <c r="B30" i="5"/>
  <c r="B11" i="5" a="1"/>
  <c r="B11" i="5"/>
  <c r="B51" i="5" a="1"/>
  <c r="B51" i="5"/>
  <c r="B33" i="5" a="1"/>
  <c r="B33" i="5"/>
  <c r="B18" i="5" a="1"/>
  <c r="B18" i="5"/>
  <c r="B61" i="5" a="1"/>
  <c r="B61" i="5"/>
  <c r="B40" i="5" a="1"/>
  <c r="B40" i="5"/>
  <c r="B21" i="5" a="1"/>
  <c r="B21" i="5"/>
  <c r="B50" i="5" a="1"/>
  <c r="B50" i="5"/>
  <c r="B44" i="5" a="1"/>
  <c r="B44" i="5"/>
  <c r="B25" i="5" a="1"/>
  <c r="B25" i="5"/>
  <c r="B2" i="5" a="1"/>
  <c r="B2" i="5"/>
  <c r="B53" i="5" a="1"/>
  <c r="B53" i="5"/>
  <c r="B32" i="5" a="1"/>
  <c r="B32" i="5"/>
  <c r="B13" i="5" a="1"/>
  <c r="B13" i="5"/>
  <c r="B63" i="5" a="1"/>
  <c r="B63" i="5"/>
  <c r="B43" i="5" a="1"/>
  <c r="B43" i="5"/>
  <c r="B20" i="5" a="1"/>
  <c r="B20" i="5"/>
  <c r="B65" i="5" a="1"/>
  <c r="B65" i="5"/>
  <c r="B52" i="5" a="1"/>
  <c r="B52" i="5"/>
  <c r="B31" i="5" a="1"/>
  <c r="B31" i="5"/>
  <c r="B8" i="5" a="1"/>
  <c r="B8" i="5"/>
  <c r="B54" i="5" a="1"/>
  <c r="B54" i="5"/>
  <c r="B38" i="5" a="1"/>
  <c r="B38" i="5"/>
  <c r="B19" i="5" a="1"/>
  <c r="B19" i="5"/>
  <c r="AF47" i="6"/>
  <c r="AB47" i="6"/>
  <c r="X47" i="6"/>
  <c r="T47" i="6"/>
  <c r="P47" i="6"/>
  <c r="L47" i="6"/>
  <c r="H47" i="6"/>
  <c r="AI47" i="6"/>
  <c r="AA47" i="6"/>
  <c r="S47" i="6"/>
  <c r="K47" i="6"/>
  <c r="AG47" i="6"/>
  <c r="AC47" i="6"/>
  <c r="Y47" i="6"/>
  <c r="U47" i="6"/>
  <c r="Q47" i="6"/>
  <c r="M47" i="6"/>
  <c r="I47" i="6"/>
  <c r="AE47" i="6"/>
  <c r="W47" i="6"/>
  <c r="O47" i="6"/>
  <c r="G47" i="6"/>
  <c r="Z47" i="6"/>
  <c r="J47" i="6"/>
  <c r="AH47" i="6"/>
  <c r="N47" i="6"/>
  <c r="V47" i="6"/>
  <c r="F47" i="6"/>
  <c r="R47" i="6"/>
  <c r="AD47" i="6"/>
  <c r="B6" i="6"/>
  <c r="AE80" i="6"/>
  <c r="H80" i="6"/>
  <c r="L80" i="6"/>
  <c r="F80" i="6"/>
  <c r="J80" i="6"/>
  <c r="W80" i="6"/>
  <c r="Q80" i="6"/>
  <c r="AG80" i="6"/>
  <c r="AI80" i="6"/>
  <c r="T80" i="6"/>
  <c r="V80" i="6"/>
  <c r="Z80" i="6"/>
  <c r="U80" i="6"/>
  <c r="K80" i="6"/>
  <c r="X80" i="6"/>
  <c r="AD80" i="6"/>
  <c r="N80" i="6"/>
  <c r="G80" i="6"/>
  <c r="I80" i="6"/>
  <c r="Y80" i="6"/>
  <c r="S80" i="6"/>
  <c r="AB80" i="6"/>
  <c r="AI49" i="6"/>
  <c r="AE49" i="6"/>
  <c r="AA49" i="6"/>
  <c r="W49" i="6"/>
  <c r="S49" i="6"/>
  <c r="AH49" i="6"/>
  <c r="AC49" i="6"/>
  <c r="X49" i="6"/>
  <c r="R49" i="6"/>
  <c r="N49" i="6"/>
  <c r="J49" i="6"/>
  <c r="F49" i="6"/>
  <c r="AG49" i="6"/>
  <c r="V49" i="6"/>
  <c r="M49" i="6"/>
  <c r="AD49" i="6"/>
  <c r="Y49" i="6"/>
  <c r="T49" i="6"/>
  <c r="O49" i="6"/>
  <c r="K49" i="6"/>
  <c r="G49" i="6"/>
  <c r="AB49" i="6"/>
  <c r="Q49" i="6"/>
  <c r="I49" i="6"/>
  <c r="AF49" i="6"/>
  <c r="L49" i="6"/>
  <c r="P49" i="6"/>
  <c r="Z49" i="6"/>
  <c r="H49" i="6"/>
  <c r="U49" i="6"/>
  <c r="R80" i="6"/>
  <c r="AH80" i="6"/>
  <c r="O80" i="6"/>
  <c r="M80" i="6"/>
  <c r="AC80" i="6"/>
  <c r="AA80" i="6"/>
  <c r="P80" i="6"/>
  <c r="AF80" i="6"/>
  <c r="B80" i="6"/>
  <c r="AK80" i="6"/>
  <c r="Z61" i="6"/>
  <c r="V61" i="6"/>
  <c r="R61" i="6"/>
  <c r="N61" i="6"/>
  <c r="J61" i="6"/>
  <c r="F61" i="6"/>
  <c r="F62" i="6"/>
  <c r="U61" i="6"/>
  <c r="P61" i="6"/>
  <c r="K61" i="6"/>
  <c r="Y61" i="6"/>
  <c r="T61" i="6"/>
  <c r="O61" i="6"/>
  <c r="W61" i="6"/>
  <c r="L61" i="6"/>
  <c r="S61" i="6"/>
  <c r="X61" i="6"/>
  <c r="M61" i="6"/>
  <c r="G61" i="6"/>
  <c r="I61" i="6"/>
  <c r="Q61" i="6"/>
  <c r="H61" i="6"/>
  <c r="G62" i="6"/>
  <c r="H62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H55" i="6"/>
  <c r="AG55" i="6"/>
  <c r="AC55" i="6"/>
  <c r="Y55" i="6"/>
  <c r="U55" i="6"/>
  <c r="Q55" i="6"/>
  <c r="M55" i="6"/>
  <c r="I55" i="6"/>
  <c r="AE55" i="6"/>
  <c r="Z55" i="6"/>
  <c r="T55" i="6"/>
  <c r="O55" i="6"/>
  <c r="J55" i="6"/>
  <c r="AD55" i="6"/>
  <c r="N55" i="6"/>
  <c r="AF55" i="6"/>
  <c r="AA55" i="6"/>
  <c r="V55" i="6"/>
  <c r="P55" i="6"/>
  <c r="K55" i="6"/>
  <c r="F55" i="6"/>
  <c r="X55" i="6"/>
  <c r="S55" i="6"/>
  <c r="H55" i="6"/>
  <c r="AI55" i="6"/>
  <c r="L55" i="6"/>
  <c r="W55" i="6"/>
  <c r="AB55" i="6"/>
  <c r="G55" i="6"/>
  <c r="R55" i="6"/>
  <c r="J4" i="7"/>
  <c r="B14" i="7"/>
  <c r="E16" i="7"/>
  <c r="E15" i="7"/>
  <c r="F15" i="7"/>
  <c r="N3" i="6"/>
  <c r="O3" i="6"/>
  <c r="B34" i="7"/>
  <c r="B35" i="7"/>
  <c r="F16" i="7"/>
  <c r="N4" i="6"/>
  <c r="O4" i="6"/>
  <c r="O13" i="6"/>
  <c r="O10" i="6"/>
  <c r="O14" i="6"/>
  <c r="N13" i="6"/>
  <c r="O16" i="6"/>
  <c r="O15" i="6"/>
  <c r="O17" i="6"/>
  <c r="O20" i="6"/>
  <c r="O18" i="6"/>
  <c r="O22" i="6"/>
  <c r="O19" i="6"/>
  <c r="O21" i="6"/>
  <c r="O23" i="6"/>
  <c r="O24" i="6"/>
  <c r="O26" i="6"/>
  <c r="H5" i="6"/>
  <c r="O25" i="6"/>
  <c r="B4" i="6"/>
  <c r="I5" i="6"/>
  <c r="I8" i="6"/>
  <c r="O29" i="6"/>
  <c r="B5" i="6"/>
  <c r="C46" i="6"/>
  <c r="C45" i="6"/>
  <c r="O27" i="6"/>
  <c r="E43" i="6"/>
  <c r="AI43" i="6"/>
  <c r="C41" i="6"/>
  <c r="O30" i="6"/>
  <c r="E41" i="6"/>
  <c r="D41" i="6"/>
  <c r="J7" i="6"/>
  <c r="B11" i="6"/>
  <c r="J44" i="6"/>
  <c r="F45" i="6"/>
  <c r="D46" i="6"/>
  <c r="D45" i="6"/>
  <c r="D70" i="6"/>
  <c r="C70" i="6"/>
  <c r="K58" i="6"/>
  <c r="L58" i="6"/>
  <c r="M58" i="6"/>
  <c r="I58" i="6"/>
  <c r="J58" i="6"/>
  <c r="G58" i="6"/>
  <c r="F58" i="6"/>
  <c r="H58" i="6"/>
  <c r="O44" i="6"/>
  <c r="F44" i="6"/>
  <c r="F46" i="6"/>
  <c r="G45" i="6"/>
  <c r="L44" i="6"/>
  <c r="M44" i="6"/>
  <c r="I44" i="6"/>
  <c r="N44" i="6"/>
  <c r="G44" i="6"/>
  <c r="G46" i="6"/>
  <c r="H45" i="6"/>
  <c r="H44" i="6"/>
  <c r="H46" i="6"/>
  <c r="I45" i="6"/>
  <c r="I46" i="6"/>
  <c r="K44" i="6"/>
  <c r="F63" i="6"/>
  <c r="F65" i="6"/>
  <c r="F66" i="6"/>
  <c r="E46" i="6"/>
  <c r="E45" i="6"/>
  <c r="E70" i="6"/>
  <c r="G63" i="6"/>
  <c r="F59" i="6"/>
  <c r="G59" i="6"/>
  <c r="H59" i="6"/>
  <c r="I59" i="6"/>
  <c r="J59" i="6"/>
  <c r="K59" i="6"/>
  <c r="L59" i="6"/>
  <c r="M59" i="6"/>
  <c r="G64" i="6"/>
  <c r="G65" i="6"/>
  <c r="H64" i="6"/>
  <c r="J45" i="6"/>
  <c r="J63" i="6"/>
  <c r="F79" i="6"/>
  <c r="F67" i="6"/>
  <c r="F69" i="6"/>
  <c r="I63" i="6"/>
  <c r="H63" i="6"/>
  <c r="G66" i="6"/>
  <c r="G79" i="6"/>
  <c r="H65" i="6"/>
  <c r="J46" i="6"/>
  <c r="G67" i="6"/>
  <c r="G69" i="6"/>
  <c r="H66" i="6"/>
  <c r="I64" i="6"/>
  <c r="I65" i="6"/>
  <c r="K45" i="6"/>
  <c r="K63" i="6"/>
  <c r="K46" i="6"/>
  <c r="L45" i="6"/>
  <c r="H79" i="6"/>
  <c r="H67" i="6"/>
  <c r="H69" i="6"/>
  <c r="I66" i="6"/>
  <c r="J64" i="6"/>
  <c r="J65" i="6"/>
  <c r="L63" i="6"/>
  <c r="L46" i="6"/>
  <c r="M45" i="6"/>
  <c r="M63" i="6"/>
  <c r="J66" i="6"/>
  <c r="K64" i="6"/>
  <c r="K65" i="6"/>
  <c r="I67" i="6"/>
  <c r="I69" i="6"/>
  <c r="I79" i="6"/>
  <c r="M46" i="6"/>
  <c r="N45" i="6"/>
  <c r="J79" i="6"/>
  <c r="J67" i="6"/>
  <c r="J69" i="6"/>
  <c r="L64" i="6"/>
  <c r="L65" i="6"/>
  <c r="K66" i="6"/>
  <c r="N63" i="6"/>
  <c r="N46" i="6"/>
  <c r="O45" i="6"/>
  <c r="O63" i="6"/>
  <c r="K79" i="6"/>
  <c r="K67" i="6"/>
  <c r="K69" i="6"/>
  <c r="L66" i="6"/>
  <c r="M64" i="6"/>
  <c r="M65" i="6"/>
  <c r="N64" i="6"/>
  <c r="N65" i="6"/>
  <c r="M66" i="6"/>
  <c r="L79" i="6"/>
  <c r="L67" i="6"/>
  <c r="L69" i="6"/>
  <c r="O46" i="6"/>
  <c r="P45" i="6"/>
  <c r="P63" i="6"/>
  <c r="N66" i="6"/>
  <c r="O64" i="6"/>
  <c r="O65" i="6"/>
  <c r="M79" i="6"/>
  <c r="M67" i="6"/>
  <c r="M69" i="6"/>
  <c r="P46" i="6"/>
  <c r="Q45" i="6"/>
  <c r="Q63" i="6"/>
  <c r="P64" i="6"/>
  <c r="P65" i="6"/>
  <c r="O66" i="6"/>
  <c r="N79" i="6"/>
  <c r="N67" i="6"/>
  <c r="N69" i="6"/>
  <c r="Q46" i="6"/>
  <c r="R45" i="6"/>
  <c r="R63" i="6"/>
  <c r="P66" i="6"/>
  <c r="Q64" i="6"/>
  <c r="Q65" i="6"/>
  <c r="O67" i="6"/>
  <c r="O69" i="6"/>
  <c r="O79" i="6"/>
  <c r="R46" i="6"/>
  <c r="S45" i="6"/>
  <c r="S63" i="6"/>
  <c r="Q66" i="6"/>
  <c r="R64" i="6"/>
  <c r="R65" i="6"/>
  <c r="P79" i="6"/>
  <c r="P67" i="6"/>
  <c r="P69" i="6"/>
  <c r="S46" i="6"/>
  <c r="T45" i="6"/>
  <c r="T63" i="6"/>
  <c r="Q79" i="6"/>
  <c r="Q67" i="6"/>
  <c r="Q69" i="6"/>
  <c r="R66" i="6"/>
  <c r="S64" i="6"/>
  <c r="S65" i="6"/>
  <c r="T46" i="6"/>
  <c r="U45" i="6"/>
  <c r="U63" i="6"/>
  <c r="S66" i="6"/>
  <c r="T64" i="6"/>
  <c r="T65" i="6"/>
  <c r="R79" i="6"/>
  <c r="R67" i="6"/>
  <c r="R69" i="6"/>
  <c r="U46" i="6"/>
  <c r="V45" i="6"/>
  <c r="V63" i="6"/>
  <c r="U64" i="6"/>
  <c r="U65" i="6"/>
  <c r="T66" i="6"/>
  <c r="S79" i="6"/>
  <c r="S67" i="6"/>
  <c r="S69" i="6"/>
  <c r="V46" i="6"/>
  <c r="W45" i="6"/>
  <c r="W63" i="6"/>
  <c r="V64" i="6"/>
  <c r="V65" i="6"/>
  <c r="U66" i="6"/>
  <c r="T67" i="6"/>
  <c r="T69" i="6"/>
  <c r="T79" i="6"/>
  <c r="V66" i="6"/>
  <c r="W64" i="6"/>
  <c r="W65" i="6"/>
  <c r="W46" i="6"/>
  <c r="U67" i="6"/>
  <c r="U69" i="6"/>
  <c r="U79" i="6"/>
  <c r="W66" i="6"/>
  <c r="X64" i="6"/>
  <c r="X45" i="6"/>
  <c r="X63" i="6"/>
  <c r="V79" i="6"/>
  <c r="V67" i="6"/>
  <c r="V69" i="6"/>
  <c r="X46" i="6"/>
  <c r="Y45" i="6"/>
  <c r="X65" i="6"/>
  <c r="Y64" i="6"/>
  <c r="W79" i="6"/>
  <c r="W67" i="6"/>
  <c r="W69" i="6"/>
  <c r="AI45" i="6"/>
  <c r="AI46" i="6"/>
  <c r="Y63" i="6"/>
  <c r="Y65" i="6"/>
  <c r="Y66" i="6"/>
  <c r="Y46" i="6"/>
  <c r="Z45" i="6"/>
  <c r="Z63" i="6"/>
  <c r="X66" i="6"/>
  <c r="X79" i="6"/>
  <c r="AI64" i="6"/>
  <c r="AI63" i="6"/>
  <c r="AI65" i="6"/>
  <c r="AI66" i="6"/>
  <c r="AI79" i="6"/>
  <c r="AI70" i="6"/>
  <c r="Z64" i="6"/>
  <c r="Z65" i="6"/>
  <c r="Z66" i="6"/>
  <c r="X67" i="6"/>
  <c r="X69" i="6"/>
  <c r="Z46" i="6"/>
  <c r="AA45" i="6"/>
  <c r="AA63" i="6"/>
  <c r="Y79" i="6"/>
  <c r="Y67" i="6"/>
  <c r="Y69" i="6"/>
  <c r="AI67" i="6"/>
  <c r="AI69" i="6"/>
  <c r="AA46" i="6"/>
  <c r="AB45" i="6"/>
  <c r="AB63" i="6"/>
  <c r="AA64" i="6"/>
  <c r="AA65" i="6"/>
  <c r="Z79" i="6"/>
  <c r="Z67" i="6"/>
  <c r="Z69" i="6"/>
  <c r="AB46" i="6"/>
  <c r="AC45" i="6"/>
  <c r="AA66" i="6"/>
  <c r="AB64" i="6"/>
  <c r="AB65" i="6"/>
  <c r="AC63" i="6"/>
  <c r="AC46" i="6"/>
  <c r="AD45" i="6"/>
  <c r="AD63" i="6"/>
  <c r="AC64" i="6"/>
  <c r="AB66" i="6"/>
  <c r="AA79" i="6"/>
  <c r="AA67" i="6"/>
  <c r="AA69" i="6"/>
  <c r="AC65" i="6"/>
  <c r="AC66" i="6"/>
  <c r="AB67" i="6"/>
  <c r="AB69" i="6"/>
  <c r="AB79" i="6"/>
  <c r="AD46" i="6"/>
  <c r="AD64" i="6"/>
  <c r="AD65" i="6"/>
  <c r="AD66" i="6"/>
  <c r="AE45" i="6"/>
  <c r="AE63" i="6"/>
  <c r="AC79" i="6"/>
  <c r="AC67" i="6"/>
  <c r="AC69" i="6"/>
  <c r="AE64" i="6"/>
  <c r="AE65" i="6"/>
  <c r="AE66" i="6"/>
  <c r="AE46" i="6"/>
  <c r="AF45" i="6"/>
  <c r="AF63" i="6"/>
  <c r="AD79" i="6"/>
  <c r="AD67" i="6"/>
  <c r="AD69" i="6"/>
  <c r="AF64" i="6"/>
  <c r="AF65" i="6"/>
  <c r="AE79" i="6"/>
  <c r="AE67" i="6"/>
  <c r="AE69" i="6"/>
  <c r="AF46" i="6"/>
  <c r="AG45" i="6"/>
  <c r="AG63" i="6"/>
  <c r="AG64" i="6"/>
  <c r="AF66" i="6"/>
  <c r="AG46" i="6"/>
  <c r="AH45" i="6"/>
  <c r="AH63" i="6"/>
  <c r="AF79" i="6"/>
  <c r="AF67" i="6"/>
  <c r="AF69" i="6"/>
  <c r="AG65" i="6"/>
  <c r="AH46" i="6"/>
  <c r="AH64" i="6"/>
  <c r="AH65" i="6"/>
  <c r="AH66" i="6"/>
  <c r="AG66" i="6"/>
  <c r="AG79" i="6"/>
  <c r="AG67" i="6"/>
  <c r="AG69" i="6"/>
  <c r="AH67" i="6"/>
  <c r="AH69" i="6"/>
  <c r="AH79" i="6"/>
  <c r="B79" i="6"/>
  <c r="B69" i="6"/>
  <c r="E71" i="6"/>
  <c r="B37" i="6"/>
</calcChain>
</file>

<file path=xl/comments1.xml><?xml version="1.0" encoding="utf-8"?>
<comments xmlns="http://schemas.openxmlformats.org/spreadsheetml/2006/main">
  <authors>
    <author>ewarner</author>
  </authors>
  <commentList>
    <comment ref="K2" authorId="0">
      <text>
        <r>
          <rPr>
            <b/>
            <sz val="9"/>
            <color indexed="81"/>
            <rFont val="Tahoma"/>
            <family val="2"/>
          </rPr>
          <t>ewarner:</t>
        </r>
        <r>
          <rPr>
            <sz val="9"/>
            <color indexed="81"/>
            <rFont val="Tahoma"/>
            <family val="2"/>
          </rPr>
          <t xml:space="preserve">
85% of production</t>
        </r>
      </text>
    </comment>
  </commentList>
</comments>
</file>

<file path=xl/comments2.xml><?xml version="1.0" encoding="utf-8"?>
<comments xmlns="http://schemas.openxmlformats.org/spreadsheetml/2006/main">
  <authors>
    <author>ewarner</author>
  </authors>
  <commentList>
    <comment ref="K3" authorId="0">
      <text>
        <r>
          <rPr>
            <b/>
            <sz val="9"/>
            <color indexed="81"/>
            <rFont val="Tahoma"/>
            <family val="2"/>
          </rPr>
          <t>ewarner:</t>
        </r>
        <r>
          <rPr>
            <sz val="9"/>
            <color indexed="81"/>
            <rFont val="Tahoma"/>
            <family val="2"/>
          </rPr>
          <t xml:space="preserve">
85% of production</t>
        </r>
      </text>
    </comment>
  </commentList>
</comments>
</file>

<file path=xl/comments3.xml><?xml version="1.0" encoding="utf-8"?>
<comments xmlns="http://schemas.openxmlformats.org/spreadsheetml/2006/main">
  <authors>
    <author>mruth</author>
  </authors>
  <commentList>
    <comment ref="B79" authorId="0">
      <text>
        <r>
          <rPr>
            <b/>
            <sz val="8"/>
            <color indexed="81"/>
            <rFont val="Tahoma"/>
            <family val="2"/>
          </rPr>
          <t>mruth:</t>
        </r>
        <r>
          <rPr>
            <sz val="8"/>
            <color indexed="81"/>
            <rFont val="Tahoma"/>
            <family val="2"/>
          </rPr>
          <t xml:space="preserve">
Sum of NPV of Income Tax</t>
        </r>
      </text>
    </comment>
    <comment ref="B80" authorId="0">
      <text>
        <r>
          <rPr>
            <b/>
            <sz val="8"/>
            <color indexed="81"/>
            <rFont val="Tahoma"/>
            <family val="2"/>
          </rPr>
          <t>mruth:</t>
        </r>
        <r>
          <rPr>
            <sz val="8"/>
            <color indexed="81"/>
            <rFont val="Tahoma"/>
            <family val="2"/>
          </rPr>
          <t xml:space="preserve">
Sum of NPV of Ethanol Income</t>
        </r>
      </text>
    </comment>
  </commentList>
</comments>
</file>

<file path=xl/comments4.xml><?xml version="1.0" encoding="utf-8"?>
<comments xmlns="http://schemas.openxmlformats.org/spreadsheetml/2006/main">
  <authors>
    <author>Ryan Davis</author>
    <author>NREL</author>
  </authors>
  <commentList>
    <comment ref="C7" authorId="0">
      <text>
        <r>
          <rPr>
            <b/>
            <sz val="8"/>
            <color indexed="81"/>
            <rFont val="Tahoma"/>
            <family val="2"/>
          </rPr>
          <t>Ryan Davis:</t>
        </r>
        <r>
          <rPr>
            <sz val="8"/>
            <color indexed="81"/>
            <rFont val="Tahoma"/>
            <family val="2"/>
          </rPr>
          <t xml:space="preserve">
assumes all non-water components = sludge = total solids content</t>
        </r>
      </text>
    </comment>
    <comment ref="E18" authorId="1">
      <text>
        <r>
          <rPr>
            <b/>
            <sz val="8"/>
            <color indexed="81"/>
            <rFont val="Tahoma"/>
            <family val="2"/>
          </rPr>
          <t>NREL:</t>
        </r>
        <r>
          <rPr>
            <sz val="8"/>
            <color indexed="81"/>
            <rFont val="Tahoma"/>
            <family val="2"/>
          </rPr>
          <t xml:space="preserve">
Assumed 0..01% sulfur in the gas flow</t>
        </r>
      </text>
    </comment>
    <comment ref="C19" authorId="1">
      <text>
        <r>
          <rPr>
            <b/>
            <sz val="8"/>
            <color indexed="81"/>
            <rFont val="Tahoma"/>
            <family val="2"/>
          </rPr>
          <t>NREL:</t>
        </r>
        <r>
          <rPr>
            <sz val="8"/>
            <color indexed="81"/>
            <rFont val="Tahoma"/>
            <family val="2"/>
          </rPr>
          <t xml:space="preserve">
MMBTU biogas/yr</t>
        </r>
      </text>
    </comment>
  </commentList>
</comments>
</file>

<file path=xl/sharedStrings.xml><?xml version="1.0" encoding="utf-8"?>
<sst xmlns="http://schemas.openxmlformats.org/spreadsheetml/2006/main" count="10805" uniqueCount="1140">
  <si>
    <t>Methane production (m3/yr/op)</t>
  </si>
  <si>
    <t>AD system</t>
  </si>
  <si>
    <t>CL</t>
  </si>
  <si>
    <t>CM</t>
  </si>
  <si>
    <t>PF</t>
  </si>
  <si>
    <t>System Size</t>
  </si>
  <si>
    <t>Small</t>
  </si>
  <si>
    <t>Medium</t>
  </si>
  <si>
    <t>Large</t>
  </si>
  <si>
    <t>Capital Investment $2011</t>
  </si>
  <si>
    <t>Operating Cost per Year $2011</t>
  </si>
  <si>
    <t>AD System</t>
  </si>
  <si>
    <t>Farm Type</t>
  </si>
  <si>
    <t>Dairy</t>
  </si>
  <si>
    <t>Size</t>
  </si>
  <si>
    <t>Swine</t>
  </si>
  <si>
    <t>Beef</t>
  </si>
  <si>
    <t>Farm type</t>
  </si>
  <si>
    <t>NA</t>
  </si>
  <si>
    <t>Compressor TEA</t>
  </si>
  <si>
    <t>Transmission cost USD per MMBTU</t>
  </si>
  <si>
    <t>Pipeline Cost USD per mile</t>
  </si>
  <si>
    <t>Pipeline Costs</t>
  </si>
  <si>
    <t>Table 5. Number of livestock operations, number of livestock, and total and average number of livestock by operation size.</t>
  </si>
  <si>
    <t>Number of Operations</t>
  </si>
  <si>
    <t>Operation Size</t>
  </si>
  <si>
    <t>Cattle</t>
  </si>
  <si>
    <t>Less than 100 head</t>
  </si>
  <si>
    <t>100–499 head</t>
  </si>
  <si>
    <t>500–999 head</t>
  </si>
  <si>
    <t>1,000–1,999 head</t>
  </si>
  <si>
    <t>2,000–4,999 head</t>
  </si>
  <si>
    <t>5,000–9,999 head</t>
  </si>
  <si>
    <t>10,000–19,000 head</t>
  </si>
  <si>
    <t>20,000+ head</t>
  </si>
  <si>
    <t>Total</t>
  </si>
  <si>
    <t>Small (500–999)</t>
  </si>
  <si>
    <t>Medium (1000-1999)</t>
  </si>
  <si>
    <t>Large (&gt;2000)</t>
  </si>
  <si>
    <t>Table 6. Costs associated with biogas production from anaerobic digestion of dairy, swine, and beef manure.</t>
  </si>
  <si>
    <t>Source</t>
  </si>
  <si>
    <t># of Operations</t>
  </si>
  <si>
    <t># of Total Operations</t>
  </si>
  <si>
    <t>Digester</t>
  </si>
  <si>
    <t>AgStar Data on AD Projects. Excluded projects that did not fit into these categories.</t>
  </si>
  <si>
    <t>Operating Costs AD per year ($/yr/op)</t>
  </si>
  <si>
    <t>Gas Clean up per year ($/yr/op)</t>
  </si>
  <si>
    <t>Solids Clean up per year
($/yr/op)</t>
  </si>
  <si>
    <t>Utility Costs per year
($/yr/op)</t>
  </si>
  <si>
    <t>Energy Production</t>
  </si>
  <si>
    <t>Electricity</t>
  </si>
  <si>
    <t>CNG</t>
  </si>
  <si>
    <t>NG</t>
  </si>
  <si>
    <t>GJ/m3</t>
  </si>
  <si>
    <t>mmbtu/m3</t>
  </si>
  <si>
    <t>mmbtu/GJ</t>
  </si>
  <si>
    <t>CONSTANTS:</t>
  </si>
  <si>
    <t>Miles</t>
  </si>
  <si>
    <t>Range: 1-15</t>
  </si>
  <si>
    <t>CALCULATED:</t>
  </si>
  <si>
    <t># of Non-AD Operations:</t>
  </si>
  <si>
    <t>Total FCI ($/op)</t>
  </si>
  <si>
    <t>Pipeline Transmission Costs ($/yr/op)</t>
  </si>
  <si>
    <t>Compressor Unit Costs ($/yr/op)</t>
  </si>
  <si>
    <t>Total Infrastructure Operating Costs ($/yr/op)</t>
  </si>
  <si>
    <t>2% - from BSM</t>
  </si>
  <si>
    <t>http://www.epa.gov/sites/production/files/2014-12/documents/agstar-handbook.pdf</t>
  </si>
  <si>
    <t>US-EPA, 2007. A protocol for quantifying and reporting the performance of anaerobic digestion systems for lvestock manures. United States Environmental Protection Agency.</t>
  </si>
  <si>
    <t xml:space="preserve"> This is based on IRS guidelines for electricity and fuel pipeline projects.  It might be different for CNG/LNG projects, but the user manual does not have information about this.</t>
  </si>
  <si>
    <t>term of loan</t>
  </si>
  <si>
    <t>8-15 years, using original BSM value of 10 to be consistent with landfill</t>
  </si>
  <si>
    <t>Expected Tax Rate</t>
  </si>
  <si>
    <t>http://www3.epa.gov/climatechange/Downloads/EPAactivities/MAC_Report_2013-III_Waste.pdf</t>
  </si>
  <si>
    <t>Good approximation for about 1.5 years as it takes &lt;1 for permits + &lt;1 for construction</t>
  </si>
  <si>
    <t>Expected Equity Fraction</t>
  </si>
  <si>
    <t>Variable</t>
  </si>
  <si>
    <t>Value</t>
  </si>
  <si>
    <t>Range/Notes</t>
  </si>
  <si>
    <t>12-18% for banks, 15-20% for investors</t>
  </si>
  <si>
    <t>Plant Economic lifetime (yr)</t>
  </si>
  <si>
    <t>depreciation period (%)</t>
  </si>
  <si>
    <t>Reqd Rate of Return (%)</t>
  </si>
  <si>
    <t>Debt Interest Rate (%)</t>
  </si>
  <si>
    <t>development dwell time (yr)</t>
  </si>
  <si>
    <t>Data Source:</t>
  </si>
  <si>
    <t>None.</t>
  </si>
  <si>
    <t>Number of Potential Operations</t>
  </si>
  <si>
    <t>Total Number of Livestock in Potential Operations</t>
  </si>
  <si>
    <t>Methane production (m3/head/yr)</t>
  </si>
  <si>
    <t>Pipeline Costs
($/op)</t>
  </si>
  <si>
    <t>Fixed Capital Investment for AD
($/op)</t>
  </si>
  <si>
    <t>Average Population Feeding Digester (head/op)</t>
  </si>
  <si>
    <t>METHODS</t>
  </si>
  <si>
    <t>calc</t>
  </si>
  <si>
    <t>Murray 2014 Table 5</t>
  </si>
  <si>
    <t>Murray 2014 Table 6</t>
  </si>
  <si>
    <t>Murray 2014</t>
  </si>
  <si>
    <r>
      <t xml:space="preserve">Compressor unit Capital cost
</t>
    </r>
    <r>
      <rPr>
        <b/>
        <sz val="11"/>
        <color theme="1"/>
        <rFont val="Calibri"/>
        <family val="2"/>
        <scheme val="minor"/>
      </rPr>
      <t>($/op)</t>
    </r>
  </si>
  <si>
    <r>
      <t xml:space="preserve">Methane collected
</t>
    </r>
    <r>
      <rPr>
        <b/>
        <sz val="11"/>
        <color theme="1"/>
        <rFont val="Calibri"/>
        <family val="2"/>
        <scheme val="minor"/>
      </rPr>
      <t>(m3/yr/op)</t>
    </r>
  </si>
  <si>
    <t>Murray 2014 pg. 26</t>
  </si>
  <si>
    <t>??? Murray Spreadsheet</t>
  </si>
  <si>
    <t>per facility CH4 collection[beef,small,lagoonElec]</t>
  </si>
  <si>
    <t>per facility CH4 collection[beef,small,lagoonCNG]</t>
  </si>
  <si>
    <t>per facility CH4 collection[beef,small,lagoonNG]</t>
  </si>
  <si>
    <t>per facility CH4 collection[beef,small,lagoonBiofuel]</t>
  </si>
  <si>
    <t>per facility CH4 collection[beef,small,CSRElec]</t>
  </si>
  <si>
    <t>per facility CH4 collection[beef,small,CSRCNG]</t>
  </si>
  <si>
    <t>per facility CH4 collection[beef,small,CSRNG]</t>
  </si>
  <si>
    <t>per facility CH4 collection[beef,small,CSRBiofuel]</t>
  </si>
  <si>
    <t>per facility CH4 collection[beef,small,plugflowElec]</t>
  </si>
  <si>
    <t>per facility CH4 collection[beef,small,plugflowCNG]</t>
  </si>
  <si>
    <t>per facility CH4 collection[beef,small,plugflowNG]</t>
  </si>
  <si>
    <t>per facility CH4 collection[beef,small,plugflowBiofuel]</t>
  </si>
  <si>
    <t>per facility CH4 collection[dairy,small,lagoonElec]</t>
  </si>
  <si>
    <t>per facility CH4 collection[dairy,small,lagoonCNG]</t>
  </si>
  <si>
    <t>per facility CH4 collection[dairy,small,lagoonNG]</t>
  </si>
  <si>
    <t>per facility CH4 collection[dairy,small,lagoonBiofuel]</t>
  </si>
  <si>
    <t>per facility CH4 collection[dairy,small,CSRElec]</t>
  </si>
  <si>
    <t>per facility CH4 collection[dairy,small,CSRCNG]</t>
  </si>
  <si>
    <t>per facility CH4 collection[dairy,small,CSRNG]</t>
  </si>
  <si>
    <t>per facility CH4 collection[dairy,small,CSRBiofuel]</t>
  </si>
  <si>
    <t>per facility CH4 collection[dairy,small,plugflowElec]</t>
  </si>
  <si>
    <t>per facility CH4 collection[dairy,small,plugflowCNG]</t>
  </si>
  <si>
    <t>per facility CH4 collection[dairy,small,plugflowNG]</t>
  </si>
  <si>
    <t>per facility CH4 collection[dairy,small,plugflowBiofuel]</t>
  </si>
  <si>
    <t>per facility CH4 collection[swine,small,lagoonElec]</t>
  </si>
  <si>
    <t>per facility CH4 collection[swine,small,lagoonCNG]</t>
  </si>
  <si>
    <t>per facility CH4 collection[swine,small,lagoonNG]</t>
  </si>
  <si>
    <t>per facility CH4 collection[swine,small,lagoonBiofuel]</t>
  </si>
  <si>
    <t>per facility CH4 collection[swine,small,CSRElec]</t>
  </si>
  <si>
    <t>per facility CH4 collection[swine,small,CSRCNG]</t>
  </si>
  <si>
    <t>per facility CH4 collection[swine,small,CSRNG]</t>
  </si>
  <si>
    <t>per facility CH4 collection[swine,small,CSRBiofuel]</t>
  </si>
  <si>
    <t>per facility CH4 collection[swine,small,plugflowElec]</t>
  </si>
  <si>
    <t>per facility CH4 collection[swine,small,plugflowCNG]</t>
  </si>
  <si>
    <t>per facility CH4 collection[swine,small,plugflowNG]</t>
  </si>
  <si>
    <t>per facility CH4 collection[swine,small,plugflowBiofuel]</t>
  </si>
  <si>
    <t>per facility CH4 collection[beef,medium,lagoonElec]</t>
  </si>
  <si>
    <t>per facility CH4 collection[beef,medium,lagoonCNG]</t>
  </si>
  <si>
    <t>per facility CH4 collection[beef,medium,lagoonNG]</t>
  </si>
  <si>
    <t>per facility CH4 collection[beef,medium,lagoonBiofuel]</t>
  </si>
  <si>
    <t>per facility CH4 collection[beef,medium,CSRElec]</t>
  </si>
  <si>
    <t>per facility CH4 collection[beef,medium,CSRCNG]</t>
  </si>
  <si>
    <t>per facility CH4 collection[beef,medium,CSRNG]</t>
  </si>
  <si>
    <t>per facility CH4 collection[beef,medium,CSRBiofuel]</t>
  </si>
  <si>
    <t>per facility CH4 collection[beef,medium,plugflowElec]</t>
  </si>
  <si>
    <t>per facility CH4 collection[beef,medium,plugflowCNG]</t>
  </si>
  <si>
    <t>per facility CH4 collection[beef,medium,plugflowNG]</t>
  </si>
  <si>
    <t>per facility CH4 collection[beef,medium,plugflowBiofuel]</t>
  </si>
  <si>
    <t>per facility CH4 collection[dairy,medium,lagoonElec]</t>
  </si>
  <si>
    <t>per facility CH4 collection[dairy,medium,lagoonCNG]</t>
  </si>
  <si>
    <t>per facility CH4 collection[dairy,medium,lagoonNG]</t>
  </si>
  <si>
    <t>per facility CH4 collection[dairy,medium,lagoonBiofuel]</t>
  </si>
  <si>
    <t>per facility CH4 collection[dairy,medium,CSRElec]</t>
  </si>
  <si>
    <t>per facility CH4 collection[dairy,medium,CSRCNG]</t>
  </si>
  <si>
    <t>per facility CH4 collection[dairy,medium,CSRNG]</t>
  </si>
  <si>
    <t>per facility CH4 collection[dairy,medium,CSRBiofuel]</t>
  </si>
  <si>
    <t>per facility CH4 collection[dairy,medium,plugflowElec]</t>
  </si>
  <si>
    <t>per facility CH4 collection[dairy,medium,plugflowCNG]</t>
  </si>
  <si>
    <t>per facility CH4 collection[dairy,medium,plugflowNG]</t>
  </si>
  <si>
    <t>per facility CH4 collection[dairy,medium,plugflowBiofuel]</t>
  </si>
  <si>
    <t>per facility CH4 collection[swine,medium,lagoonElec]</t>
  </si>
  <si>
    <t>per facility CH4 collection[swine,medium,lagoonCNG]</t>
  </si>
  <si>
    <t>per facility CH4 collection[swine,medium,lagoonNG]</t>
  </si>
  <si>
    <t>per facility CH4 collection[swine,medium,lagoonBiofuel]</t>
  </si>
  <si>
    <t>per facility CH4 collection[swine,medium,CSRElec]</t>
  </si>
  <si>
    <t>per facility CH4 collection[swine,medium,CSRCNG]</t>
  </si>
  <si>
    <t>per facility CH4 collection[swine,medium,CSRNG]</t>
  </si>
  <si>
    <t>per facility CH4 collection[swine,medium,CSRBiofuel]</t>
  </si>
  <si>
    <t>per facility CH4 collection[swine,medium,plugflowElec]</t>
  </si>
  <si>
    <t>per facility CH4 collection[swine,medium,plugflowCNG]</t>
  </si>
  <si>
    <t>per facility CH4 collection[swine,medium,plugflowNG]</t>
  </si>
  <si>
    <t>per facility CH4 collection[swine,medium,plugflowBiofuel]</t>
  </si>
  <si>
    <t>per facility CH4 collection[beef,large,lagoonElec]</t>
  </si>
  <si>
    <t>per facility CH4 collection[beef,large,lagoonCNG]</t>
  </si>
  <si>
    <t>per facility CH4 collection[beef,large,lagoonNG]</t>
  </si>
  <si>
    <t>per facility CH4 collection[beef,large,lagoonBiofuel]</t>
  </si>
  <si>
    <t>per facility CH4 collection[beef,large,CSRElec]</t>
  </si>
  <si>
    <t>per facility CH4 collection[beef,large,CSRCNG]</t>
  </si>
  <si>
    <t>per facility CH4 collection[beef,large,CSRNG]</t>
  </si>
  <si>
    <t>per facility CH4 collection[beef,large,CSRBiofuel]</t>
  </si>
  <si>
    <t>per facility CH4 collection[beef,large,plugflowElec]</t>
  </si>
  <si>
    <t>per facility CH4 collection[beef,large,plugflowCNG]</t>
  </si>
  <si>
    <t>per facility CH4 collection[beef,large,plugflowNG]</t>
  </si>
  <si>
    <t>per facility CH4 collection[beef,large,plugflowBiofuel]</t>
  </si>
  <si>
    <t>per facility CH4 collection[dairy,large,lagoonElec]</t>
  </si>
  <si>
    <t>per facility CH4 collection[dairy,large,lagoonCNG]</t>
  </si>
  <si>
    <t>per facility CH4 collection[dairy,large,lagoonNG]</t>
  </si>
  <si>
    <t>per facility CH4 collection[dairy,large,lagoonBiofuel]</t>
  </si>
  <si>
    <t>per facility CH4 collection[dairy,large,CSRElec]</t>
  </si>
  <si>
    <t>per facility CH4 collection[dairy,large,CSRCNG]</t>
  </si>
  <si>
    <t>per facility CH4 collection[dairy,large,CSRNG]</t>
  </si>
  <si>
    <t>per facility CH4 collection[dairy,large,CSRBiofuel]</t>
  </si>
  <si>
    <t>per facility CH4 collection[dairy,large,plugflowElec]</t>
  </si>
  <si>
    <t>per facility CH4 collection[dairy,large,plugflowCNG]</t>
  </si>
  <si>
    <t>per facility CH4 collection[dairy,large,plugflowNG]</t>
  </si>
  <si>
    <t>per facility CH4 collection[dairy,large,plugflowBiofuel]</t>
  </si>
  <si>
    <t>per facility CH4 collection[swine,large,lagoonElec]</t>
  </si>
  <si>
    <t>per facility CH4 collection[swine,large,lagoonCNG]</t>
  </si>
  <si>
    <t>per facility CH4 collection[swine,large,lagoonNG]</t>
  </si>
  <si>
    <t>per facility CH4 collection[swine,large,lagoonBiofuel]</t>
  </si>
  <si>
    <t>per facility CH4 collection[swine,large,CSRElec]</t>
  </si>
  <si>
    <t>per facility CH4 collection[swine,large,CSRCNG]</t>
  </si>
  <si>
    <t>per facility CH4 collection[swine,large,CSRNG]</t>
  </si>
  <si>
    <t>per facility CH4 collection[swine,large,CSRBiofuel]</t>
  </si>
  <si>
    <t>per facility CH4 collection[swine,large,plugflowElec]</t>
  </si>
  <si>
    <t>per facility CH4 collection[swine,large,plugflowCNG]</t>
  </si>
  <si>
    <t>per facility CH4 collection[swine,large,plugflowNG]</t>
  </si>
  <si>
    <t>per facility CH4 collection[swine,large,plugflowBiofuel]</t>
  </si>
  <si>
    <t>Expected Op Cost[beef,small,lagoonElec]</t>
  </si>
  <si>
    <t>Expected Op Cost[beef,small,lagoonCNG]</t>
  </si>
  <si>
    <t>Expected Op Cost[beef,small,lagoonNG]</t>
  </si>
  <si>
    <t>Expected Op Cost[beef,small,lagoonBiofuel]</t>
  </si>
  <si>
    <t>Expected Op Cost[beef,small,CSRElec]</t>
  </si>
  <si>
    <t>Expected Op Cost[beef,small,CSRCNG]</t>
  </si>
  <si>
    <t>Expected Op Cost[beef,small,CSRNG]</t>
  </si>
  <si>
    <t>Expected Op Cost[beef,small,CSRBiofuel]</t>
  </si>
  <si>
    <t>Expected Op Cost[beef,small,plugflowElec]</t>
  </si>
  <si>
    <t>Expected Op Cost[beef,small,plugflowCNG]</t>
  </si>
  <si>
    <t>Expected Op Cost[beef,small,plugflowNG]</t>
  </si>
  <si>
    <t>Expected Op Cost[beef,small,plugflowBiofuel]</t>
  </si>
  <si>
    <t>Expected Op Cost[dairy,small,lagoonElec]</t>
  </si>
  <si>
    <t>Expected Op Cost[dairy,small,lagoonCNG]</t>
  </si>
  <si>
    <t>Expected Op Cost[dairy,small,lagoonNG]</t>
  </si>
  <si>
    <t>Expected Op Cost[dairy,small,lagoonBiofuel]</t>
  </si>
  <si>
    <t>Expected Op Cost[dairy,small,CSRElec]</t>
  </si>
  <si>
    <t>Expected Op Cost[dairy,small,CSRCNG]</t>
  </si>
  <si>
    <t>Expected Op Cost[dairy,small,CSRNG]</t>
  </si>
  <si>
    <t>Expected Op Cost[dairy,small,CSRBiofuel]</t>
  </si>
  <si>
    <t>Expected Op Cost[dairy,small,plugflowElec]</t>
  </si>
  <si>
    <t>Expected Op Cost[dairy,small,plugflowCNG]</t>
  </si>
  <si>
    <t>Expected Op Cost[dairy,small,plugflowNG]</t>
  </si>
  <si>
    <t>Expected Op Cost[dairy,small,plugflowBiofuel]</t>
  </si>
  <si>
    <t>Expected Op Cost[swine,small,lagoonElec]</t>
  </si>
  <si>
    <t>Expected Op Cost[swine,small,lagoonCNG]</t>
  </si>
  <si>
    <t>Expected Op Cost[swine,small,lagoonNG]</t>
  </si>
  <si>
    <t>Expected Op Cost[swine,small,lagoonBiofuel]</t>
  </si>
  <si>
    <t>Expected Op Cost[swine,small,CSRElec]</t>
  </si>
  <si>
    <t>Expected Op Cost[swine,small,CSRCNG]</t>
  </si>
  <si>
    <t>Expected Op Cost[swine,small,CSRNG]</t>
  </si>
  <si>
    <t>Expected Op Cost[swine,small,CSRBiofuel]</t>
  </si>
  <si>
    <t>Expected Op Cost[swine,small,plugflowElec]</t>
  </si>
  <si>
    <t>Expected Op Cost[swine,small,plugflowCNG]</t>
  </si>
  <si>
    <t>Expected Op Cost[swine,small,plugflowNG]</t>
  </si>
  <si>
    <t>Expected Op Cost[swine,small,plugflowBiofuel]</t>
  </si>
  <si>
    <t>Expected Op Cost[beef,medium,lagoonElec]</t>
  </si>
  <si>
    <t>Expected Op Cost[beef,medium,lagoonCNG]</t>
  </si>
  <si>
    <t>Expected Op Cost[beef,medium,lagoonNG]</t>
  </si>
  <si>
    <t>Expected Op Cost[beef,medium,lagoonBiofuel]</t>
  </si>
  <si>
    <t>Expected Op Cost[beef,medium,CSRElec]</t>
  </si>
  <si>
    <t>Expected Op Cost[beef,medium,CSRCNG]</t>
  </si>
  <si>
    <t>Expected Op Cost[beef,medium,CSRNG]</t>
  </si>
  <si>
    <t>Expected Op Cost[beef,medium,CSRBiofuel]</t>
  </si>
  <si>
    <t>Expected Op Cost[beef,medium,plugflowElec]</t>
  </si>
  <si>
    <t>Expected Op Cost[beef,medium,plugflowCNG]</t>
  </si>
  <si>
    <t>Expected Op Cost[beef,medium,plugflowNG]</t>
  </si>
  <si>
    <t>Expected Op Cost[beef,medium,plugflowBiofuel]</t>
  </si>
  <si>
    <t>Expected Op Cost[dairy,medium,lagoonElec]</t>
  </si>
  <si>
    <t>Expected Op Cost[dairy,medium,lagoonCNG]</t>
  </si>
  <si>
    <t>Expected Op Cost[dairy,medium,lagoonNG]</t>
  </si>
  <si>
    <t>Expected Op Cost[dairy,medium,lagoonBiofuel]</t>
  </si>
  <si>
    <t>Expected Op Cost[dairy,medium,CSRElec]</t>
  </si>
  <si>
    <t>Expected Op Cost[dairy,medium,CSRCNG]</t>
  </si>
  <si>
    <t>Expected Op Cost[dairy,medium,CSRNG]</t>
  </si>
  <si>
    <t>Expected Op Cost[dairy,medium,CSRBiofuel]</t>
  </si>
  <si>
    <t>Expected Op Cost[dairy,medium,plugflowElec]</t>
  </si>
  <si>
    <t>Expected Op Cost[dairy,medium,plugflowCNG]</t>
  </si>
  <si>
    <t>Expected Op Cost[dairy,medium,plugflowNG]</t>
  </si>
  <si>
    <t>Expected Op Cost[dairy,medium,plugflowBiofuel]</t>
  </si>
  <si>
    <t>Expected Op Cost[swine,medium,lagoonElec]</t>
  </si>
  <si>
    <t>Expected Op Cost[swine,medium,lagoonCNG]</t>
  </si>
  <si>
    <t>Expected Op Cost[swine,medium,lagoonNG]</t>
  </si>
  <si>
    <t>Expected Op Cost[swine,medium,lagoonBiofuel]</t>
  </si>
  <si>
    <t>Expected Op Cost[swine,medium,CSRElec]</t>
  </si>
  <si>
    <t>Expected Op Cost[swine,medium,CSRCNG]</t>
  </si>
  <si>
    <t>Expected Op Cost[swine,medium,CSRNG]</t>
  </si>
  <si>
    <t>Expected Op Cost[swine,medium,CSRBiofuel]</t>
  </si>
  <si>
    <t>Expected Op Cost[swine,medium,plugflowElec]</t>
  </si>
  <si>
    <t>Expected Op Cost[swine,medium,plugflowCNG]</t>
  </si>
  <si>
    <t>Expected Op Cost[swine,medium,plugflowNG]</t>
  </si>
  <si>
    <t>Expected Op Cost[swine,medium,plugflowBiofuel]</t>
  </si>
  <si>
    <t>Expected Op Cost[beef,large,lagoonElec]</t>
  </si>
  <si>
    <t>Expected Op Cost[beef,large,lagoonCNG]</t>
  </si>
  <si>
    <t>Expected Op Cost[beef,large,lagoonNG]</t>
  </si>
  <si>
    <t>Expected Op Cost[beef,large,lagoonBiofuel]</t>
  </si>
  <si>
    <t>Expected Op Cost[beef,large,CSRElec]</t>
  </si>
  <si>
    <t>Expected Op Cost[beef,large,CSRCNG]</t>
  </si>
  <si>
    <t>Expected Op Cost[beef,large,CSRNG]</t>
  </si>
  <si>
    <t>Expected Op Cost[beef,large,CSRBiofuel]</t>
  </si>
  <si>
    <t>Expected Op Cost[beef,large,plugflowElec]</t>
  </si>
  <si>
    <t>Expected Op Cost[beef,large,plugflowCNG]</t>
  </si>
  <si>
    <t>Expected Op Cost[beef,large,plugflowNG]</t>
  </si>
  <si>
    <t>Expected Op Cost[beef,large,plugflowBiofuel]</t>
  </si>
  <si>
    <t>Expected Op Cost[dairy,large,lagoonElec]</t>
  </si>
  <si>
    <t>Expected Op Cost[dairy,large,lagoonCNG]</t>
  </si>
  <si>
    <t>Expected Op Cost[dairy,large,lagoonNG]</t>
  </si>
  <si>
    <t>Expected Op Cost[dairy,large,lagoonBiofuel]</t>
  </si>
  <si>
    <t>Expected Op Cost[dairy,large,CSRElec]</t>
  </si>
  <si>
    <t>Expected Op Cost[dairy,large,CSRCNG]</t>
  </si>
  <si>
    <t>Expected Op Cost[dairy,large,CSRNG]</t>
  </si>
  <si>
    <t>Expected Op Cost[dairy,large,CSRBiofuel]</t>
  </si>
  <si>
    <t>Expected Op Cost[dairy,large,plugflowElec]</t>
  </si>
  <si>
    <t>Expected Op Cost[dairy,large,plugflowCNG]</t>
  </si>
  <si>
    <t>Expected Op Cost[dairy,large,plugflowNG]</t>
  </si>
  <si>
    <t>Expected Op Cost[dairy,large,plugflowBiofuel]</t>
  </si>
  <si>
    <t>Expected Op Cost[swine,large,lagoonElec]</t>
  </si>
  <si>
    <t>Expected Op Cost[swine,large,lagoonCNG]</t>
  </si>
  <si>
    <t>Expected Op Cost[swine,large,lagoonNG]</t>
  </si>
  <si>
    <t>Expected Op Cost[swine,large,lagoonBiofuel]</t>
  </si>
  <si>
    <t>Expected Op Cost[swine,large,CSRElec]</t>
  </si>
  <si>
    <t>Expected Op Cost[swine,large,CSRCNG]</t>
  </si>
  <si>
    <t>Expected Op Cost[swine,large,CSRNG]</t>
  </si>
  <si>
    <t>Expected Op Cost[swine,large,CSRBiofuel]</t>
  </si>
  <si>
    <t>Expected Op Cost[swine,large,plugflowElec]</t>
  </si>
  <si>
    <t>Expected Op Cost[swine,large,plugflowCNG]</t>
  </si>
  <si>
    <t>Expected Op Cost[swine,large,plugflowNG]</t>
  </si>
  <si>
    <t>Expected Op Cost[swine,large,plugflowBiofuel]</t>
  </si>
  <si>
    <t>Expected Gas Clean Up Cost[beef,small,lagoonElec]</t>
  </si>
  <si>
    <t>Expected Gas Clean Up Cost[beef,small,lagoonCNG]</t>
  </si>
  <si>
    <t>Expected Gas Clean Up Cost[beef,small,lagoonNG]</t>
  </si>
  <si>
    <t>Expected Gas Clean Up Cost[beef,small,lagoonBiofuel]</t>
  </si>
  <si>
    <t>Expected Gas Clean Up Cost[beef,small,CSRElec]</t>
  </si>
  <si>
    <t>Expected Gas Clean Up Cost[beef,small,CSRCNG]</t>
  </si>
  <si>
    <t>Expected Gas Clean Up Cost[beef,small,CSRNG]</t>
  </si>
  <si>
    <t>Expected Gas Clean Up Cost[beef,small,CSRBiofuel]</t>
  </si>
  <si>
    <t>Expected Gas Clean Up Cost[beef,small,plugflowElec]</t>
  </si>
  <si>
    <t>Expected Gas Clean Up Cost[beef,small,plugflowCNG]</t>
  </si>
  <si>
    <t>Expected Gas Clean Up Cost[beef,small,plugflowNG]</t>
  </si>
  <si>
    <t>Expected Gas Clean Up Cost[beef,small,plugflowBiofuel]</t>
  </si>
  <si>
    <t>Expected Gas Clean Up Cost[dairy,small,lagoonElec]</t>
  </si>
  <si>
    <t>Expected Gas Clean Up Cost[dairy,small,lagoonCNG]</t>
  </si>
  <si>
    <t>Expected Gas Clean Up Cost[dairy,small,lagoonNG]</t>
  </si>
  <si>
    <t>Expected Gas Clean Up Cost[dairy,small,lagoonBiofuel]</t>
  </si>
  <si>
    <t>Expected Gas Clean Up Cost[dairy,small,CSRElec]</t>
  </si>
  <si>
    <t>Expected Gas Clean Up Cost[dairy,small,CSRCNG]</t>
  </si>
  <si>
    <t>Expected Gas Clean Up Cost[dairy,small,CSRNG]</t>
  </si>
  <si>
    <t>Expected Gas Clean Up Cost[dairy,small,CSRBiofuel]</t>
  </si>
  <si>
    <t>Expected Gas Clean Up Cost[dairy,small,plugflowElec]</t>
  </si>
  <si>
    <t>Expected Gas Clean Up Cost[dairy,small,plugflowCNG]</t>
  </si>
  <si>
    <t>Expected Gas Clean Up Cost[dairy,small,plugflowNG]</t>
  </si>
  <si>
    <t>Expected Gas Clean Up Cost[dairy,small,plugflowBiofuel]</t>
  </si>
  <si>
    <t>Expected Gas Clean Up Cost[swine,small,lagoonElec]</t>
  </si>
  <si>
    <t>Expected Gas Clean Up Cost[swine,small,lagoonCNG]</t>
  </si>
  <si>
    <t>Expected Gas Clean Up Cost[swine,small,lagoonNG]</t>
  </si>
  <si>
    <t>Expected Gas Clean Up Cost[swine,small,lagoonBiofuel]</t>
  </si>
  <si>
    <t>Expected Gas Clean Up Cost[swine,small,CSRElec]</t>
  </si>
  <si>
    <t>Expected Gas Clean Up Cost[swine,small,CSRCNG]</t>
  </si>
  <si>
    <t>Expected Gas Clean Up Cost[swine,small,CSRNG]</t>
  </si>
  <si>
    <t>Expected Gas Clean Up Cost[swine,small,CSRBiofuel]</t>
  </si>
  <si>
    <t>Expected Gas Clean Up Cost[swine,small,plugflowElec]</t>
  </si>
  <si>
    <t>Expected Gas Clean Up Cost[swine,small,plugflowCNG]</t>
  </si>
  <si>
    <t>Expected Gas Clean Up Cost[swine,small,plugflowNG]</t>
  </si>
  <si>
    <t>Expected Gas Clean Up Cost[swine,small,plugflowBiofuel]</t>
  </si>
  <si>
    <t>Expected Gas Clean Up Cost[beef,medium,lagoonElec]</t>
  </si>
  <si>
    <t>Expected Gas Clean Up Cost[beef,medium,lagoonCNG]</t>
  </si>
  <si>
    <t>Expected Gas Clean Up Cost[beef,medium,lagoonNG]</t>
  </si>
  <si>
    <t>Expected Gas Clean Up Cost[beef,medium,lagoonBiofuel]</t>
  </si>
  <si>
    <t>Expected Gas Clean Up Cost[beef,medium,CSRElec]</t>
  </si>
  <si>
    <t>Expected Gas Clean Up Cost[beef,medium,CSRCNG]</t>
  </si>
  <si>
    <t>Expected Gas Clean Up Cost[beef,medium,CSRNG]</t>
  </si>
  <si>
    <t>Expected Gas Clean Up Cost[beef,medium,CSRBiofuel]</t>
  </si>
  <si>
    <t>Expected Gas Clean Up Cost[beef,medium,plugflowElec]</t>
  </si>
  <si>
    <t>Expected Gas Clean Up Cost[beef,medium,plugflowCNG]</t>
  </si>
  <si>
    <t>Expected Gas Clean Up Cost[beef,medium,plugflowNG]</t>
  </si>
  <si>
    <t>Expected Gas Clean Up Cost[beef,medium,plugflowBiofuel]</t>
  </si>
  <si>
    <t>Expected Gas Clean Up Cost[dairy,medium,lagoonElec]</t>
  </si>
  <si>
    <t>Expected Gas Clean Up Cost[dairy,medium,lagoonCNG]</t>
  </si>
  <si>
    <t>Expected Gas Clean Up Cost[dairy,medium,lagoonNG]</t>
  </si>
  <si>
    <t>Expected Gas Clean Up Cost[dairy,medium,lagoonBiofuel]</t>
  </si>
  <si>
    <t>Expected Gas Clean Up Cost[dairy,medium,CSRElec]</t>
  </si>
  <si>
    <t>Expected Gas Clean Up Cost[dairy,medium,CSRCNG]</t>
  </si>
  <si>
    <t>Expected Gas Clean Up Cost[dairy,medium,CSRNG]</t>
  </si>
  <si>
    <t>Expected Gas Clean Up Cost[dairy,medium,CSRBiofuel]</t>
  </si>
  <si>
    <t>Expected Gas Clean Up Cost[dairy,medium,plugflowElec]</t>
  </si>
  <si>
    <t>Expected Gas Clean Up Cost[dairy,medium,plugflowCNG]</t>
  </si>
  <si>
    <t>Expected Gas Clean Up Cost[dairy,medium,plugflowNG]</t>
  </si>
  <si>
    <t>Expected Gas Clean Up Cost[dairy,medium,plugflowBiofuel]</t>
  </si>
  <si>
    <t>Expected Gas Clean Up Cost[swine,medium,lagoonElec]</t>
  </si>
  <si>
    <t>Expected Gas Clean Up Cost[swine,medium,lagoonCNG]</t>
  </si>
  <si>
    <t>Expected Gas Clean Up Cost[swine,medium,lagoonNG]</t>
  </si>
  <si>
    <t>Expected Gas Clean Up Cost[swine,medium,lagoonBiofuel]</t>
  </si>
  <si>
    <t>Expected Gas Clean Up Cost[swine,medium,CSRElec]</t>
  </si>
  <si>
    <t>Expected Gas Clean Up Cost[swine,medium,CSRCNG]</t>
  </si>
  <si>
    <t>Expected Gas Clean Up Cost[swine,medium,CSRNG]</t>
  </si>
  <si>
    <t>Expected Gas Clean Up Cost[swine,medium,CSRBiofuel]</t>
  </si>
  <si>
    <t>Expected Gas Clean Up Cost[swine,medium,plugflowElec]</t>
  </si>
  <si>
    <t>Expected Gas Clean Up Cost[swine,medium,plugflowCNG]</t>
  </si>
  <si>
    <t>Expected Gas Clean Up Cost[swine,medium,plugflowNG]</t>
  </si>
  <si>
    <t>Expected Gas Clean Up Cost[swine,medium,plugflowBiofuel]</t>
  </si>
  <si>
    <t>Expected Gas Clean Up Cost[beef,large,lagoonElec]</t>
  </si>
  <si>
    <t>Expected Gas Clean Up Cost[beef,large,lagoonCNG]</t>
  </si>
  <si>
    <t>Expected Gas Clean Up Cost[beef,large,lagoonNG]</t>
  </si>
  <si>
    <t>Expected Gas Clean Up Cost[beef,large,lagoonBiofuel]</t>
  </si>
  <si>
    <t>Expected Gas Clean Up Cost[beef,large,CSRElec]</t>
  </si>
  <si>
    <t>Expected Gas Clean Up Cost[beef,large,CSRCNG]</t>
  </si>
  <si>
    <t>Expected Gas Clean Up Cost[beef,large,CSRNG]</t>
  </si>
  <si>
    <t>Expected Gas Clean Up Cost[beef,large,CSRBiofuel]</t>
  </si>
  <si>
    <t>Expected Gas Clean Up Cost[beef,large,plugflowElec]</t>
  </si>
  <si>
    <t>Expected Gas Clean Up Cost[beef,large,plugflowCNG]</t>
  </si>
  <si>
    <t>Expected Gas Clean Up Cost[beef,large,plugflowNG]</t>
  </si>
  <si>
    <t>Expected Gas Clean Up Cost[beef,large,plugflowBiofuel]</t>
  </si>
  <si>
    <t>Expected Gas Clean Up Cost[dairy,large,lagoonElec]</t>
  </si>
  <si>
    <t>Expected Gas Clean Up Cost[dairy,large,lagoonCNG]</t>
  </si>
  <si>
    <t>Expected Gas Clean Up Cost[dairy,large,lagoonNG]</t>
  </si>
  <si>
    <t>Expected Gas Clean Up Cost[dairy,large,lagoonBiofuel]</t>
  </si>
  <si>
    <t>Expected Gas Clean Up Cost[dairy,large,CSRElec]</t>
  </si>
  <si>
    <t>Expected Gas Clean Up Cost[dairy,large,CSRCNG]</t>
  </si>
  <si>
    <t>Expected Gas Clean Up Cost[dairy,large,CSRNG]</t>
  </si>
  <si>
    <t>Expected Gas Clean Up Cost[dairy,large,CSRBiofuel]</t>
  </si>
  <si>
    <t>Expected Gas Clean Up Cost[dairy,large,plugflowElec]</t>
  </si>
  <si>
    <t>Expected Gas Clean Up Cost[dairy,large,plugflowCNG]</t>
  </si>
  <si>
    <t>Expected Gas Clean Up Cost[dairy,large,plugflowNG]</t>
  </si>
  <si>
    <t>Expected Gas Clean Up Cost[dairy,large,plugflowBiofuel]</t>
  </si>
  <si>
    <t>Expected Gas Clean Up Cost[swine,large,lagoonElec]</t>
  </si>
  <si>
    <t>Expected Gas Clean Up Cost[swine,large,lagoonCNG]</t>
  </si>
  <si>
    <t>Expected Gas Clean Up Cost[swine,large,lagoonNG]</t>
  </si>
  <si>
    <t>Expected Gas Clean Up Cost[swine,large,lagoonBiofuel]</t>
  </si>
  <si>
    <t>Expected Gas Clean Up Cost[swine,large,CSRElec]</t>
  </si>
  <si>
    <t>Expected Gas Clean Up Cost[swine,large,CSRCNG]</t>
  </si>
  <si>
    <t>Expected Gas Clean Up Cost[swine,large,CSRNG]</t>
  </si>
  <si>
    <t>Expected Gas Clean Up Cost[swine,large,CSRBiofuel]</t>
  </si>
  <si>
    <t>Expected Gas Clean Up Cost[swine,large,plugflowElec]</t>
  </si>
  <si>
    <t>Expected Gas Clean Up Cost[swine,large,plugflowCNG]</t>
  </si>
  <si>
    <t>Expected Gas Clean Up Cost[swine,large,plugflowNG]</t>
  </si>
  <si>
    <t>Expected Gas Clean Up Cost[swine,large,plugflowBiofuel]</t>
  </si>
  <si>
    <t>Expected Utility Costs[beef,small,lagoonElec]</t>
  </si>
  <si>
    <t>Expected Utility Costs[beef,small,lagoonCNG]</t>
  </si>
  <si>
    <t>Expected Utility Costs[beef,small,lagoonNG]</t>
  </si>
  <si>
    <t>Expected Utility Costs[beef,small,lagoonBiofuel]</t>
  </si>
  <si>
    <t>Expected Utility Costs[beef,small,CSRElec]</t>
  </si>
  <si>
    <t>Expected Utility Costs[beef,small,CSRCNG]</t>
  </si>
  <si>
    <t>Expected Utility Costs[beef,small,CSRNG]</t>
  </si>
  <si>
    <t>Expected Utility Costs[beef,small,CSRBiofuel]</t>
  </si>
  <si>
    <t>Expected Utility Costs[beef,small,plugflowElec]</t>
  </si>
  <si>
    <t>Expected Utility Costs[beef,small,plugflowCNG]</t>
  </si>
  <si>
    <t>Expected Utility Costs[beef,small,plugflowNG]</t>
  </si>
  <si>
    <t>Expected Utility Costs[beef,small,plugflowBiofuel]</t>
  </si>
  <si>
    <t>Expected Utility Costs[dairy,small,lagoonElec]</t>
  </si>
  <si>
    <t>Expected Utility Costs[dairy,small,lagoonCNG]</t>
  </si>
  <si>
    <t>Expected Utility Costs[dairy,small,lagoonNG]</t>
  </si>
  <si>
    <t>Expected Utility Costs[dairy,small,lagoonBiofuel]</t>
  </si>
  <si>
    <t>Expected Utility Costs[dairy,small,CSRElec]</t>
  </si>
  <si>
    <t>Expected Utility Costs[dairy,small,CSRCNG]</t>
  </si>
  <si>
    <t>Expected Utility Costs[dairy,small,CSRNG]</t>
  </si>
  <si>
    <t>Expected Utility Costs[dairy,small,CSRBiofuel]</t>
  </si>
  <si>
    <t>Expected Utility Costs[dairy,small,plugflowElec]</t>
  </si>
  <si>
    <t>Expected Utility Costs[dairy,small,plugflowCNG]</t>
  </si>
  <si>
    <t>Expected Utility Costs[dairy,small,plugflowNG]</t>
  </si>
  <si>
    <t>Expected Utility Costs[dairy,small,plugflowBiofuel]</t>
  </si>
  <si>
    <t>Expected Utility Costs[swine,small,lagoonElec]</t>
  </si>
  <si>
    <t>Expected Utility Costs[swine,small,lagoonCNG]</t>
  </si>
  <si>
    <t>Expected Utility Costs[swine,small,lagoonNG]</t>
  </si>
  <si>
    <t>Expected Utility Costs[swine,small,lagoonBiofuel]</t>
  </si>
  <si>
    <t>Expected Utility Costs[swine,small,CSRElec]</t>
  </si>
  <si>
    <t>Expected Utility Costs[swine,small,CSRCNG]</t>
  </si>
  <si>
    <t>Expected Utility Costs[swine,small,CSRNG]</t>
  </si>
  <si>
    <t>Expected Utility Costs[swine,small,CSRBiofuel]</t>
  </si>
  <si>
    <t>Expected Utility Costs[swine,small,plugflowElec]</t>
  </si>
  <si>
    <t>Expected Utility Costs[swine,small,plugflowCNG]</t>
  </si>
  <si>
    <t>Expected Utility Costs[swine,small,plugflowNG]</t>
  </si>
  <si>
    <t>Expected Utility Costs[swine,small,plugflowBiofuel]</t>
  </si>
  <si>
    <t>Expected Utility Costs[beef,medium,lagoonElec]</t>
  </si>
  <si>
    <t>Expected Utility Costs[beef,medium,lagoonCNG]</t>
  </si>
  <si>
    <t>Expected Utility Costs[beef,medium,lagoonNG]</t>
  </si>
  <si>
    <t>Expected Utility Costs[beef,medium,lagoonBiofuel]</t>
  </si>
  <si>
    <t>Expected Utility Costs[beef,medium,CSRElec]</t>
  </si>
  <si>
    <t>Expected Utility Costs[beef,medium,CSRCNG]</t>
  </si>
  <si>
    <t>Expected Utility Costs[beef,medium,CSRNG]</t>
  </si>
  <si>
    <t>Expected Utility Costs[beef,medium,CSRBiofuel]</t>
  </si>
  <si>
    <t>Expected Utility Costs[beef,medium,plugflowElec]</t>
  </si>
  <si>
    <t>Expected Utility Costs[beef,medium,plugflowCNG]</t>
  </si>
  <si>
    <t>Expected Utility Costs[beef,medium,plugflowNG]</t>
  </si>
  <si>
    <t>Expected Utility Costs[beef,medium,plugflowBiofuel]</t>
  </si>
  <si>
    <t>Expected Utility Costs[dairy,medium,lagoonElec]</t>
  </si>
  <si>
    <t>Expected Utility Costs[dairy,medium,lagoonCNG]</t>
  </si>
  <si>
    <t>Expected Utility Costs[dairy,medium,lagoonNG]</t>
  </si>
  <si>
    <t>Expected Utility Costs[dairy,medium,lagoonBiofuel]</t>
  </si>
  <si>
    <t>Expected Utility Costs[dairy,medium,CSRElec]</t>
  </si>
  <si>
    <t>Expected Utility Costs[dairy,medium,CSRCNG]</t>
  </si>
  <si>
    <t>Expected Utility Costs[dairy,medium,CSRNG]</t>
  </si>
  <si>
    <t>Expected Utility Costs[dairy,medium,CSRBiofuel]</t>
  </si>
  <si>
    <t>Expected Utility Costs[dairy,medium,plugflowElec]</t>
  </si>
  <si>
    <t>Expected Utility Costs[dairy,medium,plugflowCNG]</t>
  </si>
  <si>
    <t>Expected Utility Costs[dairy,medium,plugflowNG]</t>
  </si>
  <si>
    <t>Expected Utility Costs[dairy,medium,plugflowBiofuel]</t>
  </si>
  <si>
    <t>Expected Utility Costs[swine,medium,lagoonElec]</t>
  </si>
  <si>
    <t>Expected Utility Costs[swine,medium,lagoonCNG]</t>
  </si>
  <si>
    <t>Expected Utility Costs[swine,medium,lagoonNG]</t>
  </si>
  <si>
    <t>Expected Utility Costs[swine,medium,lagoonBiofuel]</t>
  </si>
  <si>
    <t>Expected Utility Costs[swine,medium,CSRElec]</t>
  </si>
  <si>
    <t>Expected Utility Costs[swine,medium,CSRCNG]</t>
  </si>
  <si>
    <t>Expected Utility Costs[swine,medium,CSRNG]</t>
  </si>
  <si>
    <t>Expected Utility Costs[swine,medium,CSRBiofuel]</t>
  </si>
  <si>
    <t>Expected Utility Costs[swine,medium,plugflowElec]</t>
  </si>
  <si>
    <t>Expected Utility Costs[swine,medium,plugflowCNG]</t>
  </si>
  <si>
    <t>Expected Utility Costs[swine,medium,plugflowNG]</t>
  </si>
  <si>
    <t>Expected Utility Costs[swine,medium,plugflowBiofuel]</t>
  </si>
  <si>
    <t>Expected Utility Costs[beef,large,lagoonElec]</t>
  </si>
  <si>
    <t>Expected Utility Costs[beef,large,lagoonCNG]</t>
  </si>
  <si>
    <t>Expected Utility Costs[beef,large,lagoonNG]</t>
  </si>
  <si>
    <t>Expected Utility Costs[beef,large,lagoonBiofuel]</t>
  </si>
  <si>
    <t>Expected Utility Costs[beef,large,CSRElec]</t>
  </si>
  <si>
    <t>Expected Utility Costs[beef,large,CSRCNG]</t>
  </si>
  <si>
    <t>Expected Utility Costs[beef,large,CSRNG]</t>
  </si>
  <si>
    <t>Expected Utility Costs[beef,large,CSRBiofuel]</t>
  </si>
  <si>
    <t>Expected Utility Costs[beef,large,plugflowElec]</t>
  </si>
  <si>
    <t>Expected Utility Costs[beef,large,plugflowCNG]</t>
  </si>
  <si>
    <t>Expected Utility Costs[beef,large,plugflowNG]</t>
  </si>
  <si>
    <t>Expected Utility Costs[beef,large,plugflowBiofuel]</t>
  </si>
  <si>
    <t>Expected Utility Costs[dairy,large,lagoonElec]</t>
  </si>
  <si>
    <t>Expected Utility Costs[dairy,large,lagoonCNG]</t>
  </si>
  <si>
    <t>Expected Utility Costs[dairy,large,lagoonNG]</t>
  </si>
  <si>
    <t>Expected Utility Costs[dairy,large,lagoonBiofuel]</t>
  </si>
  <si>
    <t>Expected Utility Costs[dairy,large,CSRElec]</t>
  </si>
  <si>
    <t>Expected Utility Costs[dairy,large,CSRCNG]</t>
  </si>
  <si>
    <t>Expected Utility Costs[dairy,large,CSRNG]</t>
  </si>
  <si>
    <t>Expected Utility Costs[dairy,large,CSRBiofuel]</t>
  </si>
  <si>
    <t>Expected Utility Costs[dairy,large,plugflowElec]</t>
  </si>
  <si>
    <t>Expected Utility Costs[dairy,large,plugflowCNG]</t>
  </si>
  <si>
    <t>Expected Utility Costs[dairy,large,plugflowNG]</t>
  </si>
  <si>
    <t>Expected Utility Costs[dairy,large,plugflowBiofuel]</t>
  </si>
  <si>
    <t>Expected Utility Costs[swine,large,lagoonElec]</t>
  </si>
  <si>
    <t>Expected Utility Costs[swine,large,lagoonCNG]</t>
  </si>
  <si>
    <t>Expected Utility Costs[swine,large,lagoonNG]</t>
  </si>
  <si>
    <t>Expected Utility Costs[swine,large,lagoonBiofuel]</t>
  </si>
  <si>
    <t>Expected Utility Costs[swine,large,CSRElec]</t>
  </si>
  <si>
    <t>Expected Utility Costs[swine,large,CSRCNG]</t>
  </si>
  <si>
    <t>Expected Utility Costs[swine,large,CSRNG]</t>
  </si>
  <si>
    <t>Expected Utility Costs[swine,large,CSRBiofuel]</t>
  </si>
  <si>
    <t>Expected Utility Costs[swine,large,plugflowElec]</t>
  </si>
  <si>
    <t>Expected Utility Costs[swine,large,plugflowCNG]</t>
  </si>
  <si>
    <t>Expected Utility Costs[swine,large,plugflowNG]</t>
  </si>
  <si>
    <t>Expected Utility Costs[swine,large,plugflowBiofuel]</t>
  </si>
  <si>
    <t>Expected Solids Clean Up Cost[beef,small,lagoonElec]</t>
  </si>
  <si>
    <t>Expected Solids Clean Up Cost[beef,small,lagoonCNG]</t>
  </si>
  <si>
    <t>Expected Solids Clean Up Cost[beef,small,lagoonNG]</t>
  </si>
  <si>
    <t>Expected Solids Clean Up Cost[beef,small,lagoonBiofuel]</t>
  </si>
  <si>
    <t>Expected Solids Clean Up Cost[beef,small,CSRElec]</t>
  </si>
  <si>
    <t>Expected Solids Clean Up Cost[beef,small,CSRCNG]</t>
  </si>
  <si>
    <t>Expected Solids Clean Up Cost[beef,small,CSRNG]</t>
  </si>
  <si>
    <t>Expected Solids Clean Up Cost[beef,small,CSRBiofuel]</t>
  </si>
  <si>
    <t>Expected Solids Clean Up Cost[beef,small,plugflowElec]</t>
  </si>
  <si>
    <t>Expected Solids Clean Up Cost[beef,small,plugflowCNG]</t>
  </si>
  <si>
    <t>Expected Solids Clean Up Cost[beef,small,plugflowNG]</t>
  </si>
  <si>
    <t>Expected Solids Clean Up Cost[beef,small,plugflowBiofuel]</t>
  </si>
  <si>
    <t>Expected Solids Clean Up Cost[dairy,small,lagoonElec]</t>
  </si>
  <si>
    <t>Expected Solids Clean Up Cost[dairy,small,lagoonCNG]</t>
  </si>
  <si>
    <t>Expected Solids Clean Up Cost[dairy,small,lagoonNG]</t>
  </si>
  <si>
    <t>Expected Solids Clean Up Cost[dairy,small,lagoonBiofuel]</t>
  </si>
  <si>
    <t>Expected Solids Clean Up Cost[dairy,small,CSRElec]</t>
  </si>
  <si>
    <t>Expected Solids Clean Up Cost[dairy,small,CSRCNG]</t>
  </si>
  <si>
    <t>Expected Solids Clean Up Cost[dairy,small,CSRNG]</t>
  </si>
  <si>
    <t>Expected Solids Clean Up Cost[dairy,small,CSRBiofuel]</t>
  </si>
  <si>
    <t>Expected Solids Clean Up Cost[dairy,small,plugflowElec]</t>
  </si>
  <si>
    <t>Expected Solids Clean Up Cost[dairy,small,plugflowCNG]</t>
  </si>
  <si>
    <t>Expected Solids Clean Up Cost[dairy,small,plugflowNG]</t>
  </si>
  <si>
    <t>Expected Solids Clean Up Cost[dairy,small,plugflowBiofuel]</t>
  </si>
  <si>
    <t>Expected Solids Clean Up Cost[swine,small,lagoonElec]</t>
  </si>
  <si>
    <t>Expected Solids Clean Up Cost[swine,small,lagoonCNG]</t>
  </si>
  <si>
    <t>Expected Solids Clean Up Cost[swine,small,lagoonNG]</t>
  </si>
  <si>
    <t>Expected Solids Clean Up Cost[swine,small,lagoonBiofuel]</t>
  </si>
  <si>
    <t>Expected Solids Clean Up Cost[swine,small,CSRElec]</t>
  </si>
  <si>
    <t>Expected Solids Clean Up Cost[swine,small,CSRCNG]</t>
  </si>
  <si>
    <t>Expected Solids Clean Up Cost[swine,small,CSRNG]</t>
  </si>
  <si>
    <t>Expected Solids Clean Up Cost[swine,small,CSRBiofuel]</t>
  </si>
  <si>
    <t>Expected Solids Clean Up Cost[swine,small,plugflowElec]</t>
  </si>
  <si>
    <t>Expected Solids Clean Up Cost[swine,small,plugflowCNG]</t>
  </si>
  <si>
    <t>Expected Solids Clean Up Cost[swine,small,plugflowNG]</t>
  </si>
  <si>
    <t>Expected Solids Clean Up Cost[swine,small,plugflowBiofuel]</t>
  </si>
  <si>
    <t>Expected Solids Clean Up Cost[beef,medium,lagoonElec]</t>
  </si>
  <si>
    <t>Expected Solids Clean Up Cost[beef,medium,lagoonCNG]</t>
  </si>
  <si>
    <t>Expected Solids Clean Up Cost[beef,medium,lagoonNG]</t>
  </si>
  <si>
    <t>Expected Solids Clean Up Cost[beef,medium,lagoonBiofuel]</t>
  </si>
  <si>
    <t>Expected Solids Clean Up Cost[beef,medium,CSRElec]</t>
  </si>
  <si>
    <t>Expected Solids Clean Up Cost[beef,medium,CSRCNG]</t>
  </si>
  <si>
    <t>Expected Solids Clean Up Cost[beef,medium,CSRNG]</t>
  </si>
  <si>
    <t>Expected Solids Clean Up Cost[beef,medium,CSRBiofuel]</t>
  </si>
  <si>
    <t>Expected Solids Clean Up Cost[beef,medium,plugflowElec]</t>
  </si>
  <si>
    <t>Expected Solids Clean Up Cost[beef,medium,plugflowCNG]</t>
  </si>
  <si>
    <t>Expected Solids Clean Up Cost[beef,medium,plugflowNG]</t>
  </si>
  <si>
    <t>Expected Solids Clean Up Cost[beef,medium,plugflowBiofuel]</t>
  </si>
  <si>
    <t>Expected Solids Clean Up Cost[dairy,medium,lagoonElec]</t>
  </si>
  <si>
    <t>Expected Solids Clean Up Cost[dairy,medium,lagoonCNG]</t>
  </si>
  <si>
    <t>Expected Solids Clean Up Cost[dairy,medium,lagoonNG]</t>
  </si>
  <si>
    <t>Expected Solids Clean Up Cost[dairy,medium,lagoonBiofuel]</t>
  </si>
  <si>
    <t>Expected Solids Clean Up Cost[dairy,medium,CSRElec]</t>
  </si>
  <si>
    <t>Expected Solids Clean Up Cost[dairy,medium,CSRCNG]</t>
  </si>
  <si>
    <t>Expected Solids Clean Up Cost[dairy,medium,CSRNG]</t>
  </si>
  <si>
    <t>Expected Solids Clean Up Cost[dairy,medium,CSRBiofuel]</t>
  </si>
  <si>
    <t>Expected Solids Clean Up Cost[dairy,medium,plugflowElec]</t>
  </si>
  <si>
    <t>Expected Solids Clean Up Cost[dairy,medium,plugflowCNG]</t>
  </si>
  <si>
    <t>Expected Solids Clean Up Cost[dairy,medium,plugflowNG]</t>
  </si>
  <si>
    <t>Expected Solids Clean Up Cost[dairy,medium,plugflowBiofuel]</t>
  </si>
  <si>
    <t>Expected Solids Clean Up Cost[swine,medium,lagoonElec]</t>
  </si>
  <si>
    <t>Expected Solids Clean Up Cost[swine,medium,lagoonCNG]</t>
  </si>
  <si>
    <t>Expected Solids Clean Up Cost[swine,medium,lagoonNG]</t>
  </si>
  <si>
    <t>Expected Solids Clean Up Cost[swine,medium,lagoonBiofuel]</t>
  </si>
  <si>
    <t>Expected Solids Clean Up Cost[swine,medium,CSRElec]</t>
  </si>
  <si>
    <t>Expected Solids Clean Up Cost[swine,medium,CSRCNG]</t>
  </si>
  <si>
    <t>Expected Solids Clean Up Cost[swine,medium,CSRNG]</t>
  </si>
  <si>
    <t>Expected Solids Clean Up Cost[swine,medium,CSRBiofuel]</t>
  </si>
  <si>
    <t>Expected Solids Clean Up Cost[swine,medium,plugflowElec]</t>
  </si>
  <si>
    <t>Expected Solids Clean Up Cost[swine,medium,plugflowCNG]</t>
  </si>
  <si>
    <t>Expected Solids Clean Up Cost[swine,medium,plugflowNG]</t>
  </si>
  <si>
    <t>Expected Solids Clean Up Cost[swine,medium,plugflowBiofuel]</t>
  </si>
  <si>
    <t>Expected Solids Clean Up Cost[beef,large,lagoonElec]</t>
  </si>
  <si>
    <t>Expected Solids Clean Up Cost[beef,large,lagoonCNG]</t>
  </si>
  <si>
    <t>Expected Solids Clean Up Cost[beef,large,lagoonNG]</t>
  </si>
  <si>
    <t>Expected Solids Clean Up Cost[beef,large,lagoonBiofuel]</t>
  </si>
  <si>
    <t>Expected Solids Clean Up Cost[beef,large,CSRElec]</t>
  </si>
  <si>
    <t>Expected Solids Clean Up Cost[beef,large,CSRCNG]</t>
  </si>
  <si>
    <t>Expected Solids Clean Up Cost[beef,large,CSRNG]</t>
  </si>
  <si>
    <t>Expected Solids Clean Up Cost[beef,large,CSRBiofuel]</t>
  </si>
  <si>
    <t>Expected Solids Clean Up Cost[beef,large,plugflowElec]</t>
  </si>
  <si>
    <t>Expected Solids Clean Up Cost[beef,large,plugflowCNG]</t>
  </si>
  <si>
    <t>Expected Solids Clean Up Cost[beef,large,plugflowNG]</t>
  </si>
  <si>
    <t>Expected Solids Clean Up Cost[beef,large,plugflowBiofuel]</t>
  </si>
  <si>
    <t>Expected Solids Clean Up Cost[dairy,large,lagoonElec]</t>
  </si>
  <si>
    <t>Expected Solids Clean Up Cost[dairy,large,lagoonCNG]</t>
  </si>
  <si>
    <t>Expected Solids Clean Up Cost[dairy,large,lagoonNG]</t>
  </si>
  <si>
    <t>Expected Solids Clean Up Cost[dairy,large,lagoonBiofuel]</t>
  </si>
  <si>
    <t>Expected Solids Clean Up Cost[dairy,large,CSRElec]</t>
  </si>
  <si>
    <t>Expected Solids Clean Up Cost[dairy,large,CSRCNG]</t>
  </si>
  <si>
    <t>Expected Solids Clean Up Cost[dairy,large,CSRNG]</t>
  </si>
  <si>
    <t>Expected Solids Clean Up Cost[dairy,large,CSRBiofuel]</t>
  </si>
  <si>
    <t>Expected Solids Clean Up Cost[dairy,large,plugflowElec]</t>
  </si>
  <si>
    <t>Expected Solids Clean Up Cost[dairy,large,plugflowCNG]</t>
  </si>
  <si>
    <t>Expected Solids Clean Up Cost[dairy,large,plugflowNG]</t>
  </si>
  <si>
    <t>Expected Solids Clean Up Cost[dairy,large,plugflowBiofuel]</t>
  </si>
  <si>
    <t>Expected Solids Clean Up Cost[swine,large,lagoonElec]</t>
  </si>
  <si>
    <t>Expected Solids Clean Up Cost[swine,large,lagoonCNG]</t>
  </si>
  <si>
    <t>Expected Solids Clean Up Cost[swine,large,lagoonNG]</t>
  </si>
  <si>
    <t>Expected Solids Clean Up Cost[swine,large,lagoonBiofuel]</t>
  </si>
  <si>
    <t>Expected Solids Clean Up Cost[swine,large,CSRElec]</t>
  </si>
  <si>
    <t>Expected Solids Clean Up Cost[swine,large,CSRCNG]</t>
  </si>
  <si>
    <t>Expected Solids Clean Up Cost[swine,large,CSRNG]</t>
  </si>
  <si>
    <t>Expected Solids Clean Up Cost[swine,large,CSRBiofuel]</t>
  </si>
  <si>
    <t>Expected Solids Clean Up Cost[swine,large,plugflowElec]</t>
  </si>
  <si>
    <t>Expected Solids Clean Up Cost[swine,large,plugflowCNG]</t>
  </si>
  <si>
    <t>Expected Solids Clean Up Cost[swine,large,plugflowNG]</t>
  </si>
  <si>
    <t>Expected Solids Clean Up Cost[swine,large,plugflowBiofuel]</t>
  </si>
  <si>
    <t>Expected FCI[beef,small,lagoonElec]</t>
  </si>
  <si>
    <t>Expected FCI[beef,small,lagoonCNG]</t>
  </si>
  <si>
    <t>Expected FCI[beef,small,lagoonNG]</t>
  </si>
  <si>
    <t>Expected FCI[beef,small,lagoonBiofuel]</t>
  </si>
  <si>
    <t>Expected FCI[beef,small,CSRElec]</t>
  </si>
  <si>
    <t>Expected FCI[beef,small,CSRCNG]</t>
  </si>
  <si>
    <t>Expected FCI[beef,small,CSRNG]</t>
  </si>
  <si>
    <t>Expected FCI[beef,small,CSRBiofuel]</t>
  </si>
  <si>
    <t>Expected FCI[beef,small,plugflowElec]</t>
  </si>
  <si>
    <t>Expected FCI[beef,small,plugflowCNG]</t>
  </si>
  <si>
    <t>Expected FCI[beef,small,plugflowNG]</t>
  </si>
  <si>
    <t>Expected FCI[beef,small,plugflowBiofuel]</t>
  </si>
  <si>
    <t>Expected FCI[dairy,small,lagoonElec]</t>
  </si>
  <si>
    <t>Expected FCI[dairy,small,lagoonCNG]</t>
  </si>
  <si>
    <t>Expected FCI[dairy,small,lagoonNG]</t>
  </si>
  <si>
    <t>Expected FCI[dairy,small,lagoonBiofuel]</t>
  </si>
  <si>
    <t>Expected FCI[dairy,small,CSRElec]</t>
  </si>
  <si>
    <t>Expected FCI[dairy,small,CSRCNG]</t>
  </si>
  <si>
    <t>Expected FCI[dairy,small,CSRNG]</t>
  </si>
  <si>
    <t>Expected FCI[dairy,small,CSRBiofuel]</t>
  </si>
  <si>
    <t>Expected FCI[dairy,small,plugflowElec]</t>
  </si>
  <si>
    <t>Expected FCI[dairy,small,plugflowCNG]</t>
  </si>
  <si>
    <t>Expected FCI[dairy,small,plugflowNG]</t>
  </si>
  <si>
    <t>Expected FCI[dairy,small,plugflowBiofuel]</t>
  </si>
  <si>
    <t>Expected FCI[swine,small,lagoonElec]</t>
  </si>
  <si>
    <t>Expected FCI[swine,small,lagoonCNG]</t>
  </si>
  <si>
    <t>Expected FCI[swine,small,lagoonNG]</t>
  </si>
  <si>
    <t>Expected FCI[swine,small,lagoonBiofuel]</t>
  </si>
  <si>
    <t>Expected FCI[swine,small,CSRElec]</t>
  </si>
  <si>
    <t>Expected FCI[swine,small,CSRCNG]</t>
  </si>
  <si>
    <t>Expected FCI[swine,small,CSRNG]</t>
  </si>
  <si>
    <t>Expected FCI[swine,small,CSRBiofuel]</t>
  </si>
  <si>
    <t>Expected FCI[swine,small,plugflowElec]</t>
  </si>
  <si>
    <t>Expected FCI[swine,small,plugflowCNG]</t>
  </si>
  <si>
    <t>Expected FCI[swine,small,plugflowNG]</t>
  </si>
  <si>
    <t>Expected FCI[swine,small,plugflowBiofuel]</t>
  </si>
  <si>
    <t>Expected FCI[beef,medium,lagoonElec]</t>
  </si>
  <si>
    <t>Expected FCI[beef,medium,lagoonCNG]</t>
  </si>
  <si>
    <t>Expected FCI[beef,medium,lagoonNG]</t>
  </si>
  <si>
    <t>Expected FCI[beef,medium,lagoonBiofuel]</t>
  </si>
  <si>
    <t>Expected FCI[beef,medium,CSRElec]</t>
  </si>
  <si>
    <t>Expected FCI[beef,medium,CSRCNG]</t>
  </si>
  <si>
    <t>Expected FCI[beef,medium,CSRNG]</t>
  </si>
  <si>
    <t>Expected FCI[beef,medium,CSRBiofuel]</t>
  </si>
  <si>
    <t>Expected FCI[beef,medium,plugflowElec]</t>
  </si>
  <si>
    <t>Expected FCI[beef,medium,plugflowCNG]</t>
  </si>
  <si>
    <t>Expected FCI[beef,medium,plugflowNG]</t>
  </si>
  <si>
    <t>Expected FCI[beef,medium,plugflowBiofuel]</t>
  </si>
  <si>
    <t>Expected FCI[dairy,medium,lagoonElec]</t>
  </si>
  <si>
    <t>Expected FCI[dairy,medium,lagoonCNG]</t>
  </si>
  <si>
    <t>Expected FCI[dairy,medium,lagoonNG]</t>
  </si>
  <si>
    <t>Expected FCI[dairy,medium,lagoonBiofuel]</t>
  </si>
  <si>
    <t>Expected FCI[dairy,medium,CSRElec]</t>
  </si>
  <si>
    <t>Expected FCI[dairy,medium,CSRCNG]</t>
  </si>
  <si>
    <t>Expected FCI[dairy,medium,CSRNG]</t>
  </si>
  <si>
    <t>Expected FCI[dairy,medium,CSRBiofuel]</t>
  </si>
  <si>
    <t>Expected FCI[dairy,medium,plugflowElec]</t>
  </si>
  <si>
    <t>Expected FCI[dairy,medium,plugflowCNG]</t>
  </si>
  <si>
    <t>Expected FCI[dairy,medium,plugflowNG]</t>
  </si>
  <si>
    <t>Expected FCI[dairy,medium,plugflowBiofuel]</t>
  </si>
  <si>
    <t>Expected FCI[swine,medium,lagoonElec]</t>
  </si>
  <si>
    <t>Expected FCI[swine,medium,lagoonCNG]</t>
  </si>
  <si>
    <t>Expected FCI[swine,medium,lagoonNG]</t>
  </si>
  <si>
    <t>Expected FCI[swine,medium,lagoonBiofuel]</t>
  </si>
  <si>
    <t>Expected FCI[swine,medium,CSRElec]</t>
  </si>
  <si>
    <t>Expected FCI[swine,medium,CSRCNG]</t>
  </si>
  <si>
    <t>Expected FCI[swine,medium,CSRNG]</t>
  </si>
  <si>
    <t>Expected FCI[swine,medium,CSRBiofuel]</t>
  </si>
  <si>
    <t>Expected FCI[swine,medium,plugflowElec]</t>
  </si>
  <si>
    <t>Expected FCI[swine,medium,plugflowCNG]</t>
  </si>
  <si>
    <t>Expected FCI[swine,medium,plugflowNG]</t>
  </si>
  <si>
    <t>Expected FCI[swine,medium,plugflowBiofuel]</t>
  </si>
  <si>
    <t>Expected FCI[beef,large,lagoonElec]</t>
  </si>
  <si>
    <t>Expected FCI[beef,large,lagoonCNG]</t>
  </si>
  <si>
    <t>Expected FCI[beef,large,lagoonNG]</t>
  </si>
  <si>
    <t>Expected FCI[beef,large,lagoonBiofuel]</t>
  </si>
  <si>
    <t>Expected FCI[beef,large,CSRElec]</t>
  </si>
  <si>
    <t>Expected FCI[beef,large,CSRCNG]</t>
  </si>
  <si>
    <t>Expected FCI[beef,large,CSRNG]</t>
  </si>
  <si>
    <t>Expected FCI[beef,large,CSRBiofuel]</t>
  </si>
  <si>
    <t>Expected FCI[beef,large,plugflowElec]</t>
  </si>
  <si>
    <t>Expected FCI[beef,large,plugflowCNG]</t>
  </si>
  <si>
    <t>Expected FCI[beef,large,plugflowNG]</t>
  </si>
  <si>
    <t>Expected FCI[beef,large,plugflowBiofuel]</t>
  </si>
  <si>
    <t>Expected FCI[dairy,large,lagoonElec]</t>
  </si>
  <si>
    <t>Expected FCI[dairy,large,lagoonCNG]</t>
  </si>
  <si>
    <t>Expected FCI[dairy,large,lagoonNG]</t>
  </si>
  <si>
    <t>Expected FCI[dairy,large,lagoonBiofuel]</t>
  </si>
  <si>
    <t>Expected FCI[dairy,large,CSRElec]</t>
  </si>
  <si>
    <t>Expected FCI[dairy,large,CSRCNG]</t>
  </si>
  <si>
    <t>Expected FCI[dairy,large,CSRNG]</t>
  </si>
  <si>
    <t>Expected FCI[dairy,large,CSRBiofuel]</t>
  </si>
  <si>
    <t>Expected FCI[dairy,large,plugflowElec]</t>
  </si>
  <si>
    <t>Expected FCI[dairy,large,plugflowCNG]</t>
  </si>
  <si>
    <t>Expected FCI[dairy,large,plugflowNG]</t>
  </si>
  <si>
    <t>Expected FCI[dairy,large,plugflowBiofuel]</t>
  </si>
  <si>
    <t>Expected FCI[swine,large,lagoonElec]</t>
  </si>
  <si>
    <t>Expected FCI[swine,large,lagoonCNG]</t>
  </si>
  <si>
    <t>Expected FCI[swine,large,lagoonNG]</t>
  </si>
  <si>
    <t>Expected FCI[swine,large,lagoonBiofuel]</t>
  </si>
  <si>
    <t>Expected FCI[swine,large,CSRElec]</t>
  </si>
  <si>
    <t>Expected FCI[swine,large,CSRCNG]</t>
  </si>
  <si>
    <t>Expected FCI[swine,large,CSRNG]</t>
  </si>
  <si>
    <t>Expected FCI[swine,large,CSRBiofuel]</t>
  </si>
  <si>
    <t>Expected FCI[swine,large,plugflowElec]</t>
  </si>
  <si>
    <t>Expected FCI[swine,large,plugflowCNG]</t>
  </si>
  <si>
    <t>Expected FCI[swine,large,plugflowNG]</t>
  </si>
  <si>
    <t>Expected FCI[swine,large,plugflowBiofuel]</t>
  </si>
  <si>
    <t>Varialbe</t>
  </si>
  <si>
    <t>Parameter</t>
  </si>
  <si>
    <t>Type</t>
  </si>
  <si>
    <t>Config</t>
  </si>
  <si>
    <t>beef</t>
  </si>
  <si>
    <t>small</t>
  </si>
  <si>
    <t>dairy</t>
  </si>
  <si>
    <t>swine</t>
  </si>
  <si>
    <t>medium</t>
  </si>
  <si>
    <t>large</t>
  </si>
  <si>
    <t>Size Range</t>
  </si>
  <si>
    <t>(500–999)</t>
  </si>
  <si>
    <t>(1000-1999)</t>
  </si>
  <si>
    <t xml:space="preserve"> (&gt;2000)</t>
  </si>
  <si>
    <t>Murray 2014
Table 6</t>
  </si>
  <si>
    <t>Methane collected (MMBTU/yr/op)</t>
  </si>
  <si>
    <t>Solids Clean up per year ($/MMBTU)</t>
  </si>
  <si>
    <t>Gas Clean up per year ($/MMBTU)</t>
  </si>
  <si>
    <t>Utility Costs per year($/MMBTU)</t>
  </si>
  <si>
    <t>Total Infrastructure Operating Costs ($/MMBTU)</t>
  </si>
  <si>
    <t>Assumptions</t>
  </si>
  <si>
    <t>Fixed Capital Investment</t>
  </si>
  <si>
    <t xml:space="preserve">   General Plant</t>
  </si>
  <si>
    <t xml:space="preserve">   Steam Plant</t>
  </si>
  <si>
    <t>Equity</t>
  </si>
  <si>
    <t xml:space="preserve">   Loan Interest</t>
  </si>
  <si>
    <t xml:space="preserve">   Loan Term, years</t>
  </si>
  <si>
    <t xml:space="preserve">   Annual Loan Payment</t>
  </si>
  <si>
    <t>Periodic expenses</t>
  </si>
  <si>
    <t>No. Bags</t>
  </si>
  <si>
    <t xml:space="preserve">   Baghouse Bags (5 yr life, Ryton MOC)</t>
  </si>
  <si>
    <t>Bag Cost</t>
  </si>
  <si>
    <t>Quote year</t>
  </si>
  <si>
    <t>Working Capital (% of FCI)</t>
  </si>
  <si>
    <t>Salvage Value</t>
  </si>
  <si>
    <t>Not permitted since 2002</t>
  </si>
  <si>
    <t>Depreciation Period (Years)</t>
  </si>
  <si>
    <t>IRS Pub 946</t>
  </si>
  <si>
    <t xml:space="preserve">   Steam/Electricity System</t>
  </si>
  <si>
    <t>Construction Period (Years)</t>
  </si>
  <si>
    <t xml:space="preserve">   % Spent in Year -2</t>
  </si>
  <si>
    <t xml:space="preserve">   % Spent in Year -1</t>
  </si>
  <si>
    <t xml:space="preserve">   % Spent in Year 0</t>
  </si>
  <si>
    <t>Start-up Time (Years)</t>
  </si>
  <si>
    <t xml:space="preserve">  EtOH production/Feedstock use (% of Normal)</t>
  </si>
  <si>
    <t xml:space="preserve">  Variable Costs (% of Normal)</t>
  </si>
  <si>
    <t xml:space="preserve">  Fixed Cost (% of Normal)</t>
  </si>
  <si>
    <t>Discount Rate (Internal Rate of Return [IRR])</t>
  </si>
  <si>
    <t>Short et. al</t>
  </si>
  <si>
    <t>Income Tax Rate</t>
  </si>
  <si>
    <t>ASPEN</t>
  </si>
  <si>
    <t>Cost Year for Analysis</t>
  </si>
  <si>
    <t>Minimum Biogas Selling Price ($/MMBTU)</t>
  </si>
  <si>
    <t>Manipulated Value</t>
  </si>
  <si>
    <t>Net Present Value</t>
  </si>
  <si>
    <t>Targeted Value</t>
  </si>
  <si>
    <t>DCFROR Worksheet</t>
  </si>
  <si>
    <t>Year</t>
  </si>
  <si>
    <t>Land</t>
  </si>
  <si>
    <t>Working Capital</t>
  </si>
  <si>
    <t xml:space="preserve"> </t>
  </si>
  <si>
    <t>Loan Payment</t>
  </si>
  <si>
    <t xml:space="preserve">   Loan Interest Payment</t>
  </si>
  <si>
    <t xml:space="preserve">   Loan Principal</t>
  </si>
  <si>
    <t>Biogas  Sales</t>
  </si>
  <si>
    <t xml:space="preserve">   By-Product Credit</t>
  </si>
  <si>
    <t>Total Annual Sales</t>
  </si>
  <si>
    <t>Annual Manufacturing Cost</t>
  </si>
  <si>
    <t xml:space="preserve">   Feedstock</t>
  </si>
  <si>
    <t xml:space="preserve">   Baghouse Bags</t>
  </si>
  <si>
    <t xml:space="preserve">   Other Variable Costs</t>
  </si>
  <si>
    <t xml:space="preserve">   Fixed Operating Costs</t>
  </si>
  <si>
    <t>Total Product Cost</t>
  </si>
  <si>
    <t>Annual Depreciation</t>
  </si>
  <si>
    <t>General Plant Writedown</t>
  </si>
  <si>
    <t xml:space="preserve">     Depreciation Charge</t>
  </si>
  <si>
    <t xml:space="preserve">     Remaining Value</t>
  </si>
  <si>
    <t>Steam Plant Writedown</t>
  </si>
  <si>
    <t>Net Revenue</t>
  </si>
  <si>
    <t>Losses Forward</t>
  </si>
  <si>
    <t>Taxable Income</t>
  </si>
  <si>
    <t>Income Tax</t>
  </si>
  <si>
    <t>Annual Cash Income</t>
  </si>
  <si>
    <t>Discount Factor</t>
  </si>
  <si>
    <t>Annual Present Value</t>
  </si>
  <si>
    <t>Total Capital Investment + Interest</t>
  </si>
  <si>
    <t>Net Present Worth</t>
  </si>
  <si>
    <t>If taxable income &lt; 0, tax = $0</t>
  </si>
  <si>
    <t>Loan Interest subtracted from taxable income.</t>
  </si>
  <si>
    <t>Loan payment subtracted from annual cash income</t>
  </si>
  <si>
    <t>Interest on construction loan added to investment</t>
  </si>
  <si>
    <t>NPV of Income Tax</t>
  </si>
  <si>
    <t>NPV of Ethanol Income</t>
  </si>
  <si>
    <t>Biogas Production Rate (MM MMBTU/yr)</t>
  </si>
  <si>
    <t>OPEX</t>
  </si>
  <si>
    <t>Corn Stover Design Report Case: 2012 model DW1102A</t>
  </si>
  <si>
    <t>CALC</t>
  </si>
  <si>
    <t>Total FCI ($/MMBTU)</t>
  </si>
  <si>
    <t>Total Capital Investment</t>
  </si>
  <si>
    <t>Process Area</t>
  </si>
  <si>
    <t>Purchased Cost</t>
  </si>
  <si>
    <t>Installed Cost</t>
  </si>
  <si>
    <t>Area 100: Feedstock handling*</t>
  </si>
  <si>
    <t>Area 500:AD</t>
  </si>
  <si>
    <t>Area 800: Boiler</t>
  </si>
  <si>
    <t>Area 900: Utilities</t>
  </si>
  <si>
    <t>Totals (Excl. Area 100)</t>
  </si>
  <si>
    <t xml:space="preserve">   Warehouse</t>
  </si>
  <si>
    <t>of ISBL</t>
  </si>
  <si>
    <t xml:space="preserve">   Site Development</t>
  </si>
  <si>
    <t xml:space="preserve">   Additional Piping</t>
  </si>
  <si>
    <t>Total Direct Costs (TDC)</t>
  </si>
  <si>
    <t xml:space="preserve">   Prorateable Expenses</t>
  </si>
  <si>
    <t>of TDC</t>
  </si>
  <si>
    <t xml:space="preserve">   Field Expenses</t>
  </si>
  <si>
    <t xml:space="preserve">   Home Office &amp; Construction Fee</t>
  </si>
  <si>
    <t xml:space="preserve">   Project Contingency</t>
  </si>
  <si>
    <t xml:space="preserve">   Other Costs (Start-Up, Permits, etc.)</t>
  </si>
  <si>
    <t>Total Indirect Costs</t>
  </si>
  <si>
    <t>Fixed Capital Investment (FCI)</t>
  </si>
  <si>
    <t xml:space="preserve">   Land</t>
  </si>
  <si>
    <t xml:space="preserve">   Working Capital</t>
  </si>
  <si>
    <t>of FCI</t>
  </si>
  <si>
    <t>Total Capital Investment (TCI)</t>
  </si>
  <si>
    <t>Lang Factor (FCI/Purchased Equip Cost)</t>
  </si>
  <si>
    <t>TCI per annual gallon</t>
  </si>
  <si>
    <t>*Feedstock Handling not included in this calculation</t>
  </si>
  <si>
    <t>ISBL</t>
  </si>
  <si>
    <t>Anaerobic Digester Sizing Calcs</t>
  </si>
  <si>
    <t>Sensitivity Setting</t>
  </si>
  <si>
    <t>kg VS/m3_d</t>
  </si>
  <si>
    <t>HRT</t>
  </si>
  <si>
    <t>#AD units</t>
  </si>
  <si>
    <t>sizing and costing calculations for anaerobic digestion</t>
  </si>
  <si>
    <t>ref: Wang et al, "Biosolids Tmt Processes"</t>
  </si>
  <si>
    <t>Biogas production rate</t>
  </si>
  <si>
    <t>m3/m3_d</t>
  </si>
  <si>
    <t>range: 1.5-3.5</t>
  </si>
  <si>
    <t>HRT_min</t>
  </si>
  <si>
    <t>days</t>
  </si>
  <si>
    <t>Biogas density</t>
  </si>
  <si>
    <t>kg/m3</t>
  </si>
  <si>
    <t>HRT_max</t>
  </si>
  <si>
    <t xml:space="preserve">Temperature F             </t>
  </si>
  <si>
    <t>kg/h</t>
  </si>
  <si>
    <t>mass %</t>
  </si>
  <si>
    <t>CH4 m3/kg VS</t>
  </si>
  <si>
    <t>CH4 kg/kg VS</t>
  </si>
  <si>
    <t>min</t>
  </si>
  <si>
    <t xml:space="preserve">Pressure    psia          </t>
  </si>
  <si>
    <t>water</t>
  </si>
  <si>
    <t>max</t>
  </si>
  <si>
    <t xml:space="preserve">Vapor Frac                </t>
  </si>
  <si>
    <t>total</t>
  </si>
  <si>
    <t>step_size</t>
  </si>
  <si>
    <t xml:space="preserve">Mole Flow   lbmol/hr      </t>
  </si>
  <si>
    <t>kg/hr VS</t>
  </si>
  <si>
    <t>#running</t>
  </si>
  <si>
    <t xml:space="preserve">Mass Flow   lb/hr         </t>
  </si>
  <si>
    <t>Temp</t>
  </si>
  <si>
    <t>C</t>
  </si>
  <si>
    <t xml:space="preserve">Volume Flow cuft/hr       </t>
  </si>
  <si>
    <t>revised to 20 days min per discussions with Ed Frank (typical in literature for algae AD)</t>
  </si>
  <si>
    <t xml:space="preserve">Enthalpy    MMBtu/hr      </t>
  </si>
  <si>
    <t>VS loading factor</t>
  </si>
  <si>
    <t>volume</t>
  </si>
  <si>
    <t>m3 volume for digester</t>
  </si>
  <si>
    <t xml:space="preserve">  H2O                     </t>
  </si>
  <si>
    <t>MM gal total vol for digester</t>
  </si>
  <si>
    <t xml:space="preserve">  ETHANOL                 </t>
  </si>
  <si>
    <t>max volume per digester</t>
  </si>
  <si>
    <t>MM gal</t>
  </si>
  <si>
    <t xml:space="preserve">  GLUCOSE                 </t>
  </si>
  <si>
    <t>MM gal per digester</t>
  </si>
  <si>
    <t xml:space="preserve">  GALACTOS                </t>
  </si>
  <si>
    <t xml:space="preserve">  MANNOSE                 </t>
  </si>
  <si>
    <t>Lookup tables:</t>
  </si>
  <si>
    <t>from Wang et al, "Biosolids Treatment Processes"</t>
  </si>
  <si>
    <t>Volatile solids loading factor (kg/day/m3 volume)</t>
  </si>
  <si>
    <t xml:space="preserve">  XYLOSE                  </t>
  </si>
  <si>
    <t>HRT (days):</t>
  </si>
  <si>
    <t xml:space="preserve">  ARABINOS                </t>
  </si>
  <si>
    <t>Temp °C</t>
  </si>
  <si>
    <t>HRT (days)</t>
  </si>
  <si>
    <t>sludge concentration (%)</t>
  </si>
  <si>
    <t xml:space="preserve">  CELLOB                  </t>
  </si>
  <si>
    <t xml:space="preserve">  SUCROSE                 </t>
  </si>
  <si>
    <t xml:space="preserve">  GLUCOLIG                </t>
  </si>
  <si>
    <t xml:space="preserve">  GALAOLIG                </t>
  </si>
  <si>
    <t xml:space="preserve">  MANOLIG                 </t>
  </si>
  <si>
    <t>Legend</t>
  </si>
  <si>
    <t xml:space="preserve">  XYLOLIG                 </t>
  </si>
  <si>
    <t>Formula from ASPEN</t>
  </si>
  <si>
    <t xml:space="preserve">  ARABOLIG                </t>
  </si>
  <si>
    <t>USER defined</t>
  </si>
  <si>
    <t xml:space="preserve">  EXTRACT                 </t>
  </si>
  <si>
    <t>ASPEN Values</t>
  </si>
  <si>
    <t xml:space="preserve">  LGNSOL                  </t>
  </si>
  <si>
    <t xml:space="preserve">  HMF                     </t>
  </si>
  <si>
    <t>Digester Cost</t>
  </si>
  <si>
    <t>ref: scaling from 2011 NREL biochemical ethanol model and ww subcontract</t>
  </si>
  <si>
    <t xml:space="preserve">  FURFURAL                </t>
  </si>
  <si>
    <t xml:space="preserve">  AACID                   </t>
  </si>
  <si>
    <t>digester volume</t>
  </si>
  <si>
    <t>gallon/digester</t>
  </si>
  <si>
    <t xml:space="preserve">  LACID                   </t>
  </si>
  <si>
    <t>number of units</t>
  </si>
  <si>
    <t xml:space="preserve">  XYLITOL                 </t>
  </si>
  <si>
    <t xml:space="preserve">  GLYCEROL                </t>
  </si>
  <si>
    <t xml:space="preserve">  SUCCACID                </t>
  </si>
  <si>
    <t xml:space="preserve">  NH3                     </t>
  </si>
  <si>
    <t xml:space="preserve">  H2SO4                   </t>
  </si>
  <si>
    <t xml:space="preserve">  NH4SO4                  </t>
  </si>
  <si>
    <t xml:space="preserve">  NH4ACET                 </t>
  </si>
  <si>
    <t xml:space="preserve">  DAP                     </t>
  </si>
  <si>
    <t xml:space="preserve">  HNO3                    </t>
  </si>
  <si>
    <t xml:space="preserve">  NANO3                   </t>
  </si>
  <si>
    <t xml:space="preserve">  NAOH                    </t>
  </si>
  <si>
    <t xml:space="preserve">  CNUTR                   </t>
  </si>
  <si>
    <t xml:space="preserve">  WNUTR                   </t>
  </si>
  <si>
    <t xml:space="preserve">  DENAT                   </t>
  </si>
  <si>
    <t xml:space="preserve">  OIL                     </t>
  </si>
  <si>
    <t xml:space="preserve">  O2                      </t>
  </si>
  <si>
    <t xml:space="preserve">  N2                      </t>
  </si>
  <si>
    <t xml:space="preserve">  NO                      </t>
  </si>
  <si>
    <t xml:space="preserve">  NO2                     </t>
  </si>
  <si>
    <t xml:space="preserve">  CO                      </t>
  </si>
  <si>
    <t xml:space="preserve">  CO2                     </t>
  </si>
  <si>
    <t xml:space="preserve">  CH4                     </t>
  </si>
  <si>
    <t xml:space="preserve">  H2S                     </t>
  </si>
  <si>
    <t xml:space="preserve">  SO2                     </t>
  </si>
  <si>
    <t xml:space="preserve">  CELLULOS                </t>
  </si>
  <si>
    <t xml:space="preserve">  GALACTAN                </t>
  </si>
  <si>
    <t xml:space="preserve">  MANNAN                  </t>
  </si>
  <si>
    <t xml:space="preserve">  XYLAN                   </t>
  </si>
  <si>
    <t xml:space="preserve">  ARABINAN                </t>
  </si>
  <si>
    <t xml:space="preserve">  LIGNIN                  </t>
  </si>
  <si>
    <t xml:space="preserve">  ACETATE                 </t>
  </si>
  <si>
    <t xml:space="preserve">  PROTEIN                 </t>
  </si>
  <si>
    <t xml:space="preserve">  ASH                     </t>
  </si>
  <si>
    <t xml:space="preserve">  ENZYME                  </t>
  </si>
  <si>
    <t xml:space="preserve">  DENZ                    </t>
  </si>
  <si>
    <t xml:space="preserve">  ZYMO                    </t>
  </si>
  <si>
    <t xml:space="preserve">  TRICHO                  </t>
  </si>
  <si>
    <t xml:space="preserve">  BIOMASS                 </t>
  </si>
  <si>
    <t xml:space="preserve">  TAR                     </t>
  </si>
  <si>
    <t xml:space="preserve">  LIME                    </t>
  </si>
  <si>
    <t xml:space="preserve">  CASO4                   </t>
  </si>
  <si>
    <t xml:space="preserve">  C                       </t>
  </si>
  <si>
    <t xml:space="preserve">  S                       </t>
  </si>
  <si>
    <t xml:space="preserve">  FEO                     </t>
  </si>
  <si>
    <t xml:space="preserve">  AL2O3                   </t>
  </si>
  <si>
    <t xml:space="preserve">  PE                      </t>
  </si>
  <si>
    <t xml:space="preserve">  PS                      </t>
  </si>
  <si>
    <t xml:space="preserve">  PP                      </t>
  </si>
  <si>
    <t xml:space="preserve">  PVC                     </t>
  </si>
  <si>
    <t xml:space="preserve">  GLASS                   </t>
  </si>
  <si>
    <t xml:space="preserve">  CUO                     </t>
  </si>
  <si>
    <t xml:space="preserve">  RUBBER                  </t>
  </si>
  <si>
    <t xml:space="preserve">  TEXTILES                </t>
  </si>
  <si>
    <t xml:space="preserve">  PAPER                   </t>
  </si>
  <si>
    <t xml:space="preserve">  OTHER1                  </t>
  </si>
  <si>
    <t xml:space="preserve">  WOOD                    </t>
  </si>
  <si>
    <t xml:space="preserve">  LIPID                   </t>
  </si>
  <si>
    <t xml:space="preserve">  FATTY                   </t>
  </si>
  <si>
    <t xml:space="preserve">  C5H7N-01                </t>
  </si>
  <si>
    <t xml:space="preserve">  PROPIONA                </t>
  </si>
  <si>
    <t xml:space="preserve">  H2                      </t>
  </si>
  <si>
    <t xml:space="preserve">  AMINE                   </t>
  </si>
  <si>
    <t xml:space="preserve">Mole Frac                 </t>
  </si>
  <si>
    <t>kgVS/day/m3 volume</t>
  </si>
  <si>
    <t>Anaerobic Basin</t>
  </si>
  <si>
    <t>PUMP</t>
  </si>
  <si>
    <t>compressor</t>
  </si>
  <si>
    <t>CH4 kg/hr</t>
  </si>
  <si>
    <t>Pipeline</t>
  </si>
  <si>
    <t>PRODUCTION (MMBTU/yr)</t>
  </si>
  <si>
    <t xml:space="preserve">FCI </t>
  </si>
  <si>
    <t>Total production cost ($/MMBTU)</t>
  </si>
  <si>
    <t>$/MMBTU</t>
  </si>
  <si>
    <t>Others</t>
  </si>
  <si>
    <t>WESyS Module</t>
  </si>
  <si>
    <t>Status</t>
  </si>
  <si>
    <t>Anaerobic Digestion System</t>
  </si>
  <si>
    <t>Technology</t>
  </si>
  <si>
    <t>Operation Counts</t>
  </si>
  <si>
    <t>Methane Collection</t>
  </si>
  <si>
    <t>Conversion Efficiency</t>
  </si>
  <si>
    <t>Gas Collection (and flaring) Equipment</t>
  </si>
  <si>
    <t>Conditioning Unit
(H2S Treatment)</t>
  </si>
  <si>
    <t>Compressor unit</t>
  </si>
  <si>
    <t>Pipeline Connection</t>
  </si>
  <si>
    <t>Fuel Conversion</t>
  </si>
  <si>
    <t>Total Non-AD FCI</t>
  </si>
  <si>
    <t>Total AD Fixed Costs</t>
  </si>
  <si>
    <t>Compressor Unit</t>
  </si>
  <si>
    <t>Pipeline Transmission</t>
  </si>
  <si>
    <t xml:space="preserve">Total Non-AD Fixed Operating Costs </t>
  </si>
  <si>
    <t>Total Co-product Revenue</t>
  </si>
  <si>
    <t>#</t>
  </si>
  <si>
    <t>m3/op/yr (CAFO and WWTP) or m3/ton/yr (landfill)</t>
  </si>
  <si>
    <t>MMBTU/op/yr (CAFO and WWTP) or m3/ton/yr (landfill)</t>
  </si>
  <si>
    <t>%</t>
  </si>
  <si>
    <t>$/op</t>
  </si>
  <si>
    <t xml:space="preserve"> $/op</t>
  </si>
  <si>
    <t>$/yr/op</t>
  </si>
  <si>
    <t>CAFO</t>
  </si>
  <si>
    <t>n/a</t>
  </si>
  <si>
    <t>500–999</t>
  </si>
  <si>
    <t>None</t>
  </si>
  <si>
    <t>1000-1999</t>
  </si>
  <si>
    <t xml:space="preserve"> &gt;2000</t>
  </si>
  <si>
    <t>CHP</t>
  </si>
  <si>
    <t>PNG</t>
  </si>
  <si>
    <t>Biochem. Fuel</t>
  </si>
  <si>
    <t>Thermochem. Fuel</t>
  </si>
  <si>
    <t>Landfill</t>
  </si>
  <si>
    <t>Candidate</t>
  </si>
  <si>
    <t>active</t>
  </si>
  <si>
    <t>&lt;42,000 scfh</t>
  </si>
  <si>
    <t>?</t>
  </si>
  <si>
    <t>&gt;42,000 scfh</t>
  </si>
  <si>
    <t>Potential</t>
  </si>
  <si>
    <t>inactive</t>
  </si>
  <si>
    <t>Existing flare</t>
  </si>
  <si>
    <t>No flare</t>
  </si>
  <si>
    <t>WWTP</t>
  </si>
  <si>
    <t>&gt;200</t>
  </si>
  <si>
    <t>&gt;200 MGD</t>
  </si>
  <si>
    <t>100-200</t>
  </si>
  <si>
    <t>100-200 MGD</t>
  </si>
  <si>
    <t>75-100</t>
  </si>
  <si>
    <t>75-100 MGD</t>
  </si>
  <si>
    <t>50-75</t>
  </si>
  <si>
    <t>50-75 MGD</t>
  </si>
  <si>
    <t>20-50</t>
  </si>
  <si>
    <t>20-50 MGD</t>
  </si>
  <si>
    <t>10-20</t>
  </si>
  <si>
    <t>10-20 MGD</t>
  </si>
  <si>
    <t>5-10</t>
  </si>
  <si>
    <t>5-10 MGD</t>
  </si>
  <si>
    <t>1-5</t>
  </si>
  <si>
    <t>1-5 MGD</t>
  </si>
  <si>
    <t>Digester Only</t>
  </si>
  <si>
    <t>Landfill Output Category (scfh)</t>
  </si>
  <si>
    <t># of Landfills</t>
  </si>
  <si>
    <t>Total Methane generation (MMBTU/day)</t>
  </si>
  <si>
    <t>Total Methane generation (m3/op/yr)</t>
  </si>
  <si>
    <t>Total Methane generation (MMBTU/op/yr)</t>
  </si>
  <si>
    <t>Gas Collection FCI</t>
  </si>
  <si>
    <t>Gas Collection O&amp;M</t>
  </si>
  <si>
    <t>AD FCI</t>
  </si>
  <si>
    <t>AD Op</t>
  </si>
  <si>
    <t>Gas Collection FCI ($/MMBTU)</t>
  </si>
  <si>
    <t>AD FCI ($/MMBTU)</t>
  </si>
  <si>
    <t>FCI+OP ($/MMBTU)</t>
  </si>
  <si>
    <t>&lt;6000</t>
  </si>
  <si>
    <t>6000-21000</t>
  </si>
  <si>
    <t>21000-42000</t>
  </si>
  <si>
    <t>42000-72000</t>
  </si>
  <si>
    <t>72000-120000</t>
  </si>
  <si>
    <t>120000-300000</t>
  </si>
  <si>
    <t>&gt;300000</t>
  </si>
  <si>
    <t>WWTP Output Category (MGD)</t>
  </si>
  <si>
    <t>Total Methane generation (scfh)</t>
  </si>
  <si>
    <t>m3/ft3</t>
  </si>
  <si>
    <t>Input from TEA tab (m3/yr)</t>
  </si>
  <si>
    <t>Input from TEA tab (BTU/yr)</t>
  </si>
  <si>
    <t>0p</t>
  </si>
  <si>
    <t>Sulfur Remover</t>
  </si>
  <si>
    <t>Area 600: Gas Compression</t>
  </si>
  <si>
    <t>Area 700: Gas Cleanup</t>
  </si>
  <si>
    <t>$/op (Calc)</t>
  </si>
  <si>
    <t>FT Synthesis</t>
  </si>
  <si>
    <t>FY Synthesis</t>
  </si>
  <si>
    <t>45-46%</t>
  </si>
  <si>
    <t>Fuel yield (BTU basis)</t>
  </si>
  <si>
    <t>AD OPEX</t>
  </si>
  <si>
    <t>AD Post-digestion solids separation system</t>
  </si>
  <si>
    <t>AD CAPEX</t>
  </si>
  <si>
    <t xml:space="preserve"> -  </t>
  </si>
  <si>
    <t>Size Class</t>
  </si>
  <si>
    <t>Number of Animal Units</t>
  </si>
  <si>
    <t xml:space="preserve">Average Number of Head </t>
  </si>
  <si>
    <t>Data Source</t>
  </si>
  <si>
    <t xml:space="preserve">Dairy </t>
  </si>
  <si>
    <t>500-999</t>
  </si>
  <si>
    <t>Seiple 2016</t>
  </si>
  <si>
    <t>&gt; 2000</t>
  </si>
  <si>
    <t>Methane collected (m^3/yr/op)</t>
  </si>
  <si>
    <t xml:space="preserve">A.U.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</si>
</sst>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#,##0.00"/>
    <numFmt numFmtId="166" formatCode="[$-F400]h:mm:ss\ AM/PM"/>
    <numFmt numFmtId="167" formatCode="_(&quot;$&quot;* #,##0_);_(&quot;$&quot;* \(#,##0\);_(&quot;$&quot;* &quot;-&quot;??_);_(@_)"/>
    <numFmt numFmtId="168" formatCode="0.0%"/>
    <numFmt numFmtId="169" formatCode="#,##0.0_);\(#,##0.0\)"/>
    <numFmt numFmtId="170" formatCode="#,##0.0000"/>
    <numFmt numFmtId="171" formatCode="&quot;$&quot;#,##0.0000_);[Red]\(&quot;$&quot;#,##0.00\)"/>
    <numFmt numFmtId="172" formatCode="&quot;$&quot;#,##0"/>
    <numFmt numFmtId="173" formatCode="0.0000"/>
    <numFmt numFmtId="174" formatCode="General_)"/>
    <numFmt numFmtId="175" formatCode="0.00000"/>
    <numFmt numFmtId="176" formatCode="0.000"/>
    <numFmt numFmtId="177" formatCode="_(* #,##0.0_);_(* \(#,##0.0\);_(* &quot;-&quot;??_);_(@_)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Verdana"/>
      <family val="2"/>
    </font>
    <font>
      <sz val="10"/>
      <name val="Verdana"/>
      <family val="2"/>
    </font>
    <font>
      <b/>
      <sz val="14"/>
      <name val="Verdana"/>
      <family val="2"/>
    </font>
    <font>
      <sz val="8"/>
      <name val="Verdan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theme="1"/>
      <name val="Calibri"/>
      <family val="2"/>
      <scheme val="minor"/>
    </font>
    <font>
      <u/>
      <sz val="11.5"/>
      <color indexed="12"/>
      <name val="Courier"/>
      <family val="3"/>
    </font>
    <font>
      <sz val="10"/>
      <name val="Courier"/>
      <family val="3"/>
    </font>
    <font>
      <sz val="10"/>
      <name val="Arial Narrow"/>
      <family val="2"/>
    </font>
    <font>
      <b/>
      <sz val="10"/>
      <color theme="0"/>
      <name val="Verdana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b/>
      <sz val="10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mbria"/>
    </font>
    <font>
      <b/>
      <sz val="12"/>
      <color theme="1"/>
      <name val="Cambria"/>
    </font>
    <font>
      <i/>
      <sz val="12"/>
      <color theme="1"/>
      <name val="Cambria"/>
    </font>
  </fonts>
  <fills count="2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CCC0DA"/>
        <bgColor rgb="FF000000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</borders>
  <cellStyleXfs count="37071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43" fontId="8" fillId="0" borderId="0" applyFont="0" applyFill="0" applyBorder="0" applyAlignment="0" applyProtection="0"/>
    <xf numFmtId="166" fontId="9" fillId="0" borderId="0"/>
    <xf numFmtId="166" fontId="9" fillId="0" borderId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16" fillId="0" borderId="0" applyFont="0" applyFill="0" applyBorder="0" applyAlignment="0" applyProtection="0"/>
    <xf numFmtId="0" fontId="17" fillId="0" borderId="0" applyNumberFormat="0" applyFill="0" applyBorder="0" applyAlignment="0" applyProtection="0">
      <alignment vertical="top"/>
      <protection locked="0"/>
    </xf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0" fontId="9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74" fontId="1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0" fontId="9" fillId="0" borderId="0"/>
    <xf numFmtId="174" fontId="1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6" fontId="9" fillId="0" borderId="0"/>
    <xf numFmtId="174" fontId="19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74" fontId="1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0" fontId="18" fillId="5" borderId="10" applyNumberFormat="0" applyFont="0" applyAlignment="0" applyProtection="0"/>
    <xf numFmtId="9" fontId="16" fillId="0" borderId="0" applyFont="0" applyFill="0" applyBorder="0" applyAlignment="0" applyProtection="0"/>
    <xf numFmtId="0" fontId="8" fillId="6" borderId="0" applyNumberFormat="0" applyBorder="0" applyAlignment="0" applyProtection="0"/>
    <xf numFmtId="0" fontId="24" fillId="16" borderId="0" applyNumberFormat="0" applyBorder="0" applyAlignment="0" applyProtection="0"/>
    <xf numFmtId="0" fontId="8" fillId="17" borderId="0" applyNumberFormat="0" applyBorder="0" applyAlignment="0" applyProtection="0"/>
    <xf numFmtId="44" fontId="8" fillId="0" borderId="0" applyFont="0" applyFill="0" applyBorder="0" applyAlignment="0" applyProtection="0"/>
    <xf numFmtId="0" fontId="26" fillId="20" borderId="0" applyNumberFormat="0" applyBorder="0" applyAlignment="0" applyProtection="0"/>
    <xf numFmtId="0" fontId="26" fillId="21" borderId="0" applyNumberFormat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</cellStyleXfs>
  <cellXfs count="426">
    <xf numFmtId="0" fontId="0" fillId="0" borderId="0" xfId="0"/>
    <xf numFmtId="0" fontId="0" fillId="0" borderId="0" xfId="0" applyFill="1" applyBorder="1"/>
    <xf numFmtId="0" fontId="0" fillId="0" borderId="2" xfId="0" applyBorder="1"/>
    <xf numFmtId="0" fontId="0" fillId="0" borderId="2" xfId="0" applyFill="1" applyBorder="1"/>
    <xf numFmtId="49" fontId="1" fillId="0" borderId="0" xfId="0" applyNumberFormat="1" applyFont="1" applyBorder="1" applyAlignment="1" applyProtection="1">
      <alignment vertical="center" wrapText="1"/>
      <protection locked="0"/>
    </xf>
    <xf numFmtId="3" fontId="0" fillId="0" borderId="0" xfId="0" applyNumberFormat="1"/>
    <xf numFmtId="49" fontId="1" fillId="0" borderId="0" xfId="0" applyNumberFormat="1" applyFont="1" applyAlignment="1">
      <alignment wrapText="1"/>
    </xf>
    <xf numFmtId="0" fontId="1" fillId="0" borderId="0" xfId="0" applyFont="1" applyAlignment="1">
      <alignment wrapText="1"/>
    </xf>
    <xf numFmtId="3" fontId="0" fillId="0" borderId="2" xfId="0" applyNumberFormat="1" applyBorder="1"/>
    <xf numFmtId="49" fontId="1" fillId="0" borderId="1" xfId="0" applyNumberFormat="1" applyFont="1" applyBorder="1" applyAlignment="1" applyProtection="1">
      <alignment vertical="center" wrapText="1"/>
      <protection locked="0"/>
    </xf>
    <xf numFmtId="49" fontId="1" fillId="0" borderId="1" xfId="0" applyNumberFormat="1" applyFont="1" applyBorder="1" applyAlignment="1" applyProtection="1">
      <alignment horizontal="center" vertical="center" wrapText="1"/>
      <protection locked="0"/>
    </xf>
    <xf numFmtId="0" fontId="1" fillId="0" borderId="0" xfId="0" applyFont="1"/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/>
    <xf numFmtId="0" fontId="4" fillId="0" borderId="0" xfId="2" applyFill="1"/>
    <xf numFmtId="0" fontId="4" fillId="0" borderId="0" xfId="2"/>
    <xf numFmtId="0" fontId="0" fillId="0" borderId="0" xfId="0" applyAlignment="1">
      <alignment horizontal="center"/>
    </xf>
    <xf numFmtId="49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9" fontId="0" fillId="0" borderId="0" xfId="0" applyNumberFormat="1" applyFill="1"/>
    <xf numFmtId="0" fontId="0" fillId="0" borderId="0" xfId="0" applyAlignment="1">
      <alignment horizontal="left"/>
    </xf>
    <xf numFmtId="0" fontId="5" fillId="3" borderId="1" xfId="1" quotePrefix="1" applyNumberFormat="1" applyFont="1" applyFill="1" applyBorder="1" applyAlignment="1">
      <alignment horizontal="center" vertical="center" wrapText="1"/>
    </xf>
    <xf numFmtId="49" fontId="1" fillId="0" borderId="7" xfId="0" applyNumberFormat="1" applyFont="1" applyBorder="1" applyAlignment="1" applyProtection="1">
      <alignment vertical="center" wrapText="1"/>
      <protection locked="0"/>
    </xf>
    <xf numFmtId="49" fontId="1" fillId="0" borderId="7" xfId="0" applyNumberFormat="1" applyFont="1" applyBorder="1" applyAlignment="1" applyProtection="1">
      <alignment horizontal="center" vertical="center" wrapText="1"/>
      <protection locked="0"/>
    </xf>
    <xf numFmtId="0" fontId="5" fillId="3" borderId="7" xfId="1" quotePrefix="1" applyNumberFormat="1" applyFont="1" applyFill="1" applyBorder="1" applyAlignment="1">
      <alignment horizontal="center" vertical="center" wrapText="1"/>
    </xf>
    <xf numFmtId="49" fontId="1" fillId="3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8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7" xfId="0" quotePrefix="1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0" xfId="0" applyFill="1" applyBorder="1" applyAlignment="1">
      <alignment wrapText="1"/>
    </xf>
    <xf numFmtId="0" fontId="0" fillId="0" borderId="0" xfId="0" applyBorder="1" applyAlignment="1">
      <alignment wrapText="1"/>
    </xf>
    <xf numFmtId="3" fontId="0" fillId="2" borderId="0" xfId="0" applyNumberFormat="1" applyFill="1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3" fontId="0" fillId="2" borderId="1" xfId="0" applyNumberFormat="1" applyFill="1" applyBorder="1" applyAlignment="1">
      <alignment wrapText="1"/>
    </xf>
    <xf numFmtId="0" fontId="1" fillId="0" borderId="0" xfId="0" applyFont="1" applyFill="1" applyBorder="1" applyAlignment="1">
      <alignment wrapText="1"/>
    </xf>
    <xf numFmtId="3" fontId="0" fillId="0" borderId="0" xfId="0" applyNumberFormat="1" applyAlignment="1">
      <alignment wrapText="1"/>
    </xf>
    <xf numFmtId="3" fontId="0" fillId="0" borderId="1" xfId="0" applyNumberFormat="1" applyBorder="1" applyAlignment="1">
      <alignment wrapText="1"/>
    </xf>
    <xf numFmtId="0" fontId="1" fillId="0" borderId="0" xfId="0" applyFont="1" applyAlignment="1">
      <alignment horizontal="center" wrapText="1"/>
    </xf>
    <xf numFmtId="0" fontId="0" fillId="4" borderId="0" xfId="0" applyFill="1" applyAlignment="1">
      <alignment wrapText="1"/>
    </xf>
    <xf numFmtId="0" fontId="3" fillId="0" borderId="0" xfId="0" applyFont="1" applyAlignment="1">
      <alignment wrapText="1"/>
    </xf>
    <xf numFmtId="0" fontId="0" fillId="0" borderId="0" xfId="0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1" fontId="0" fillId="3" borderId="0" xfId="0" applyNumberFormat="1" applyFill="1" applyBorder="1" applyAlignment="1">
      <alignment horizontal="center" vertical="center" wrapText="1"/>
    </xf>
    <xf numFmtId="3" fontId="0" fillId="3" borderId="0" xfId="0" applyNumberFormat="1" applyFill="1" applyBorder="1" applyAlignment="1">
      <alignment horizontal="center" vertical="center" wrapText="1"/>
    </xf>
    <xf numFmtId="3" fontId="0" fillId="2" borderId="4" xfId="0" applyNumberFormat="1" applyFill="1" applyBorder="1" applyAlignment="1">
      <alignment horizontal="center" vertical="center" wrapText="1"/>
    </xf>
    <xf numFmtId="3" fontId="0" fillId="2" borderId="0" xfId="0" applyNumberForma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3" fontId="0" fillId="3" borderId="1" xfId="0" applyNumberFormat="1" applyFill="1" applyBorder="1" applyAlignment="1">
      <alignment horizontal="center" vertical="center" wrapText="1"/>
    </xf>
    <xf numFmtId="3" fontId="0" fillId="2" borderId="5" xfId="0" applyNumberFormat="1" applyFill="1" applyBorder="1" applyAlignment="1">
      <alignment horizontal="center" vertical="center" wrapText="1"/>
    </xf>
    <xf numFmtId="3" fontId="0" fillId="2" borderId="1" xfId="0" applyNumberFormat="1" applyFill="1" applyBorder="1" applyAlignment="1">
      <alignment horizontal="center" vertical="center" wrapText="1"/>
    </xf>
    <xf numFmtId="3" fontId="0" fillId="3" borderId="0" xfId="0" applyNumberFormat="1" applyFill="1" applyAlignment="1">
      <alignment horizontal="center" vertical="center" wrapText="1"/>
    </xf>
    <xf numFmtId="3" fontId="0" fillId="2" borderId="0" xfId="0" applyNumberFormat="1" applyFill="1" applyAlignment="1">
      <alignment horizontal="center" vertical="center" wrapText="1"/>
    </xf>
    <xf numFmtId="3" fontId="0" fillId="2" borderId="6" xfId="0" applyNumberForma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" fontId="0" fillId="3" borderId="1" xfId="0" applyNumberFormat="1" applyFill="1" applyBorder="1" applyAlignment="1">
      <alignment horizontal="center" vertical="center" wrapText="1"/>
    </xf>
    <xf numFmtId="164" fontId="0" fillId="3" borderId="0" xfId="3" applyNumberFormat="1" applyFont="1" applyFill="1" applyBorder="1" applyAlignment="1">
      <alignment horizontal="center" vertical="center" wrapText="1"/>
    </xf>
    <xf numFmtId="164" fontId="0" fillId="3" borderId="1" xfId="3" applyNumberFormat="1" applyFont="1" applyFill="1" applyBorder="1" applyAlignment="1">
      <alignment horizontal="center" vertical="center" wrapText="1"/>
    </xf>
    <xf numFmtId="164" fontId="0" fillId="3" borderId="0" xfId="3" applyNumberFormat="1" applyFont="1" applyFill="1" applyAlignment="1">
      <alignment horizontal="center" vertical="center" wrapText="1"/>
    </xf>
    <xf numFmtId="164" fontId="0" fillId="2" borderId="4" xfId="3" applyNumberFormat="1" applyFont="1" applyFill="1" applyBorder="1" applyAlignment="1">
      <alignment horizontal="center" vertical="center" wrapText="1"/>
    </xf>
    <xf numFmtId="164" fontId="0" fillId="2" borderId="5" xfId="3" applyNumberFormat="1" applyFont="1" applyFill="1" applyBorder="1" applyAlignment="1">
      <alignment horizontal="center" vertical="center" wrapText="1"/>
    </xf>
    <xf numFmtId="49" fontId="1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1" fillId="7" borderId="7" xfId="0" applyNumberFormat="1" applyFont="1" applyFill="1" applyBorder="1" applyAlignment="1" applyProtection="1">
      <alignment horizontal="center" vertical="center" wrapText="1"/>
      <protection locked="0"/>
    </xf>
    <xf numFmtId="3" fontId="0" fillId="7" borderId="0" xfId="0" applyNumberFormat="1" applyFill="1" applyBorder="1" applyAlignment="1">
      <alignment horizontal="center" vertical="center" wrapText="1"/>
    </xf>
    <xf numFmtId="3" fontId="0" fillId="7" borderId="9" xfId="0" applyNumberFormat="1" applyFill="1" applyBorder="1" applyAlignment="1">
      <alignment horizontal="center" vertical="center" wrapText="1"/>
    </xf>
    <xf numFmtId="165" fontId="0" fillId="7" borderId="0" xfId="0" applyNumberFormat="1" applyFill="1" applyBorder="1" applyAlignment="1">
      <alignment horizontal="center" vertical="center" wrapText="1"/>
    </xf>
    <xf numFmtId="165" fontId="0" fillId="7" borderId="9" xfId="0" applyNumberFormat="1" applyFill="1" applyBorder="1" applyAlignment="1">
      <alignment horizontal="center" vertical="center" wrapText="1"/>
    </xf>
    <xf numFmtId="49" fontId="1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7" borderId="0" xfId="0" applyNumberFormat="1" applyFont="1" applyFill="1" applyBorder="1" applyAlignment="1" applyProtection="1">
      <alignment horizontal="center" vertical="center" wrapText="1"/>
      <protection locked="0"/>
    </xf>
    <xf numFmtId="165" fontId="0" fillId="7" borderId="0" xfId="0" applyNumberFormat="1" applyFill="1" applyBorder="1" applyAlignment="1">
      <alignment wrapText="1"/>
    </xf>
    <xf numFmtId="0" fontId="0" fillId="8" borderId="1" xfId="0" applyFill="1" applyBorder="1" applyAlignment="1">
      <alignment wrapText="1"/>
    </xf>
    <xf numFmtId="0" fontId="0" fillId="8" borderId="1" xfId="0" applyFill="1" applyBorder="1" applyAlignment="1">
      <alignment horizontal="center" vertical="center" wrapText="1"/>
    </xf>
    <xf numFmtId="164" fontId="0" fillId="8" borderId="1" xfId="3" applyNumberFormat="1" applyFont="1" applyFill="1" applyBorder="1" applyAlignment="1">
      <alignment horizontal="center" vertical="center" wrapText="1"/>
    </xf>
    <xf numFmtId="1" fontId="0" fillId="8" borderId="1" xfId="0" applyNumberFormat="1" applyFill="1" applyBorder="1" applyAlignment="1">
      <alignment horizontal="center" vertical="center" wrapText="1"/>
    </xf>
    <xf numFmtId="3" fontId="0" fillId="8" borderId="5" xfId="0" applyNumberFormat="1" applyFill="1" applyBorder="1" applyAlignment="1">
      <alignment horizontal="center" vertical="center" wrapText="1"/>
    </xf>
    <xf numFmtId="3" fontId="0" fillId="8" borderId="9" xfId="0" applyNumberFormat="1" applyFill="1" applyBorder="1" applyAlignment="1">
      <alignment horizontal="center" vertical="center" wrapText="1"/>
    </xf>
    <xf numFmtId="164" fontId="0" fillId="8" borderId="5" xfId="3" applyNumberFormat="1" applyFont="1" applyFill="1" applyBorder="1" applyAlignment="1">
      <alignment horizontal="center" vertical="center" wrapText="1"/>
    </xf>
    <xf numFmtId="3" fontId="0" fillId="8" borderId="1" xfId="0" applyNumberFormat="1" applyFill="1" applyBorder="1" applyAlignment="1">
      <alignment horizontal="center" vertical="center" wrapText="1"/>
    </xf>
    <xf numFmtId="165" fontId="0" fillId="8" borderId="9" xfId="0" applyNumberFormat="1" applyFill="1" applyBorder="1" applyAlignment="1">
      <alignment horizontal="center" vertical="center" wrapText="1"/>
    </xf>
    <xf numFmtId="3" fontId="0" fillId="8" borderId="1" xfId="0" applyNumberFormat="1" applyFill="1" applyBorder="1" applyAlignment="1">
      <alignment wrapText="1"/>
    </xf>
    <xf numFmtId="165" fontId="0" fillId="8" borderId="0" xfId="0" applyNumberFormat="1" applyFill="1" applyBorder="1" applyAlignment="1">
      <alignment wrapText="1"/>
    </xf>
    <xf numFmtId="0" fontId="0" fillId="8" borderId="0" xfId="0" applyFill="1" applyBorder="1" applyAlignment="1">
      <alignment wrapText="1"/>
    </xf>
    <xf numFmtId="166" fontId="10" fillId="0" borderId="0" xfId="4" applyNumberFormat="1" applyFont="1" applyAlignment="1">
      <alignment horizontal="left" vertical="center"/>
    </xf>
    <xf numFmtId="166" fontId="11" fillId="0" borderId="0" xfId="4" applyNumberFormat="1" applyFont="1" applyAlignment="1">
      <alignment vertical="center"/>
    </xf>
    <xf numFmtId="166" fontId="11" fillId="0" borderId="0" xfId="4" applyNumberFormat="1" applyFont="1" applyAlignment="1">
      <alignment horizontal="centerContinuous" vertical="center"/>
    </xf>
    <xf numFmtId="2" fontId="11" fillId="0" borderId="0" xfId="4" applyNumberFormat="1" applyFont="1" applyAlignment="1">
      <alignment horizontal="centerContinuous" vertical="center"/>
    </xf>
    <xf numFmtId="2" fontId="11" fillId="0" borderId="0" xfId="4" applyNumberFormat="1" applyFont="1" applyAlignment="1">
      <alignment vertical="center"/>
    </xf>
    <xf numFmtId="2" fontId="11" fillId="0" borderId="0" xfId="4" applyNumberFormat="1" applyFont="1"/>
    <xf numFmtId="166" fontId="11" fillId="0" borderId="0" xfId="4" applyNumberFormat="1" applyFont="1"/>
    <xf numFmtId="166" fontId="11" fillId="0" borderId="0" xfId="4" applyFont="1"/>
    <xf numFmtId="166" fontId="10" fillId="0" borderId="0" xfId="4" applyNumberFormat="1" applyFont="1" applyAlignment="1">
      <alignment horizontal="center" vertical="center"/>
    </xf>
    <xf numFmtId="166" fontId="11" fillId="0" borderId="0" xfId="4" applyNumberFormat="1" applyFont="1" applyAlignment="1">
      <alignment horizontal="left" vertical="center"/>
    </xf>
    <xf numFmtId="5" fontId="11" fillId="0" borderId="0" xfId="4" applyNumberFormat="1" applyFont="1" applyFill="1" applyAlignment="1">
      <alignment horizontal="right" vertical="center"/>
    </xf>
    <xf numFmtId="1" fontId="11" fillId="0" borderId="0" xfId="4" applyNumberFormat="1" applyFont="1" applyAlignment="1">
      <alignment vertical="center"/>
    </xf>
    <xf numFmtId="6" fontId="11" fillId="0" borderId="0" xfId="4" applyNumberFormat="1" applyFont="1" applyAlignment="1">
      <alignment vertical="center"/>
    </xf>
    <xf numFmtId="2" fontId="11" fillId="0" borderId="0" xfId="4" quotePrefix="1" applyNumberFormat="1" applyFont="1" applyAlignment="1">
      <alignment vertical="center"/>
    </xf>
    <xf numFmtId="9" fontId="11" fillId="8" borderId="0" xfId="4" applyNumberFormat="1" applyFont="1" applyFill="1" applyAlignment="1">
      <alignment horizontal="right" vertical="center"/>
    </xf>
    <xf numFmtId="168" fontId="11" fillId="9" borderId="0" xfId="4" applyNumberFormat="1" applyFont="1" applyFill="1" applyAlignment="1">
      <alignment horizontal="right" vertical="center"/>
    </xf>
    <xf numFmtId="37" fontId="11" fillId="9" borderId="0" xfId="4" applyNumberFormat="1" applyFont="1" applyFill="1" applyAlignment="1">
      <alignment horizontal="right" vertical="center"/>
    </xf>
    <xf numFmtId="5" fontId="11" fillId="0" borderId="0" xfId="4" applyNumberFormat="1" applyFont="1" applyAlignment="1">
      <alignment horizontal="right" vertical="center"/>
    </xf>
    <xf numFmtId="1" fontId="11" fillId="9" borderId="0" xfId="4" applyNumberFormat="1" applyFont="1" applyFill="1" applyAlignment="1">
      <alignment vertical="center"/>
    </xf>
    <xf numFmtId="44" fontId="11" fillId="9" borderId="0" xfId="6" applyFont="1" applyFill="1" applyAlignment="1">
      <alignment vertical="center"/>
    </xf>
    <xf numFmtId="10" fontId="11" fillId="9" borderId="0" xfId="7" applyNumberFormat="1" applyFont="1" applyFill="1" applyAlignment="1">
      <alignment horizontal="right" vertical="center"/>
    </xf>
    <xf numFmtId="166" fontId="11" fillId="0" borderId="0" xfId="4" quotePrefix="1" applyNumberFormat="1" applyFont="1" applyAlignment="1">
      <alignment horizontal="left" vertical="center"/>
    </xf>
    <xf numFmtId="9" fontId="11" fillId="9" borderId="0" xfId="4" applyNumberFormat="1" applyFont="1" applyFill="1" applyAlignment="1">
      <alignment vertical="center"/>
    </xf>
    <xf numFmtId="9" fontId="11" fillId="0" borderId="0" xfId="4" applyNumberFormat="1" applyFont="1" applyAlignment="1">
      <alignment vertical="center"/>
    </xf>
    <xf numFmtId="10" fontId="11" fillId="0" borderId="0" xfId="7" applyNumberFormat="1" applyFont="1" applyAlignment="1">
      <alignment vertical="center"/>
    </xf>
    <xf numFmtId="2" fontId="11" fillId="9" borderId="0" xfId="4" applyNumberFormat="1" applyFont="1" applyFill="1" applyAlignment="1">
      <alignment vertical="center"/>
    </xf>
    <xf numFmtId="10" fontId="11" fillId="8" borderId="0" xfId="4" applyNumberFormat="1" applyFont="1" applyFill="1" applyAlignment="1">
      <alignment vertical="center"/>
    </xf>
    <xf numFmtId="10" fontId="11" fillId="9" borderId="0" xfId="4" applyNumberFormat="1" applyFont="1" applyFill="1" applyAlignment="1">
      <alignment vertical="center"/>
    </xf>
    <xf numFmtId="170" fontId="11" fillId="0" borderId="0" xfId="4" applyNumberFormat="1" applyFont="1" applyAlignment="1">
      <alignment vertical="center"/>
    </xf>
    <xf numFmtId="166" fontId="11" fillId="0" borderId="0" xfId="4" quotePrefix="1" applyNumberFormat="1" applyFont="1" applyBorder="1" applyAlignment="1">
      <alignment horizontal="center" vertical="center"/>
    </xf>
    <xf numFmtId="166" fontId="10" fillId="0" borderId="0" xfId="4" quotePrefix="1" applyNumberFormat="1" applyFont="1" applyAlignment="1">
      <alignment horizontal="left" vertical="center"/>
    </xf>
    <xf numFmtId="171" fontId="10" fillId="10" borderId="0" xfId="4" applyNumberFormat="1" applyFont="1" applyFill="1" applyAlignment="1">
      <alignment vertical="center"/>
    </xf>
    <xf numFmtId="166" fontId="10" fillId="0" borderId="0" xfId="4" applyNumberFormat="1" applyFont="1" applyAlignment="1">
      <alignment vertical="center"/>
    </xf>
    <xf numFmtId="8" fontId="11" fillId="0" borderId="0" xfId="4" applyNumberFormat="1" applyFont="1" applyBorder="1" applyAlignment="1">
      <alignment horizontal="center" vertical="center"/>
    </xf>
    <xf numFmtId="165" fontId="11" fillId="0" borderId="0" xfId="4" applyNumberFormat="1" applyFont="1" applyBorder="1" applyAlignment="1">
      <alignment horizontal="center" vertical="center"/>
    </xf>
    <xf numFmtId="171" fontId="10" fillId="0" borderId="0" xfId="4" applyNumberFormat="1" applyFont="1" applyAlignment="1">
      <alignment vertical="center"/>
    </xf>
    <xf numFmtId="166" fontId="11" fillId="0" borderId="0" xfId="4" applyNumberFormat="1" applyFont="1" applyBorder="1" applyAlignment="1">
      <alignment vertical="center"/>
    </xf>
    <xf numFmtId="165" fontId="11" fillId="0" borderId="0" xfId="4" applyNumberFormat="1" applyFont="1" applyBorder="1" applyAlignment="1">
      <alignment vertical="center"/>
    </xf>
    <xf numFmtId="5" fontId="10" fillId="0" borderId="0" xfId="4" applyNumberFormat="1" applyFont="1" applyAlignment="1">
      <alignment vertical="center"/>
    </xf>
    <xf numFmtId="166" fontId="10" fillId="0" borderId="0" xfId="4" quotePrefix="1" applyNumberFormat="1" applyFont="1" applyAlignment="1">
      <alignment horizontal="left"/>
    </xf>
    <xf numFmtId="5" fontId="11" fillId="0" borderId="0" xfId="4" applyNumberFormat="1" applyFont="1"/>
    <xf numFmtId="1" fontId="11" fillId="11" borderId="12" xfId="4" applyNumberFormat="1" applyFont="1" applyFill="1" applyBorder="1" applyAlignment="1">
      <alignment vertical="center"/>
    </xf>
    <xf numFmtId="1" fontId="10" fillId="11" borderId="12" xfId="4" applyNumberFormat="1" applyFont="1" applyFill="1" applyBorder="1" applyAlignment="1">
      <alignment horizontal="center" vertical="center"/>
    </xf>
    <xf numFmtId="1" fontId="11" fillId="0" borderId="0" xfId="4" applyNumberFormat="1" applyFont="1" applyBorder="1" applyAlignment="1">
      <alignment vertical="center"/>
    </xf>
    <xf numFmtId="172" fontId="11" fillId="0" borderId="0" xfId="4" applyNumberFormat="1" applyFont="1" applyBorder="1" applyAlignment="1">
      <alignment vertical="center"/>
    </xf>
    <xf numFmtId="166" fontId="11" fillId="0" borderId="0" xfId="4" applyFont="1" applyBorder="1" applyAlignment="1">
      <alignment vertical="center"/>
    </xf>
    <xf numFmtId="5" fontId="11" fillId="0" borderId="0" xfId="4" applyNumberFormat="1" applyFont="1" applyAlignment="1">
      <alignment vertical="center"/>
    </xf>
    <xf numFmtId="5" fontId="11" fillId="0" borderId="0" xfId="4" applyNumberFormat="1" applyFont="1" applyBorder="1" applyAlignment="1">
      <alignment vertical="center"/>
    </xf>
    <xf numFmtId="166" fontId="11" fillId="0" borderId="11" xfId="4" applyNumberFormat="1" applyFont="1" applyBorder="1" applyAlignment="1">
      <alignment vertical="center"/>
    </xf>
    <xf numFmtId="5" fontId="11" fillId="0" borderId="11" xfId="4" applyNumberFormat="1" applyFont="1" applyBorder="1" applyAlignment="1">
      <alignment vertical="center"/>
    </xf>
    <xf numFmtId="172" fontId="11" fillId="0" borderId="11" xfId="4" applyNumberFormat="1" applyFont="1" applyBorder="1" applyAlignment="1">
      <alignment vertical="center"/>
    </xf>
    <xf numFmtId="9" fontId="11" fillId="0" borderId="0" xfId="7" applyFont="1" applyAlignment="1">
      <alignment vertical="center"/>
    </xf>
    <xf numFmtId="166" fontId="11" fillId="0" borderId="0" xfId="4" applyFont="1" applyAlignment="1">
      <alignment vertical="center"/>
    </xf>
    <xf numFmtId="166" fontId="11" fillId="0" borderId="11" xfId="4" applyFont="1" applyBorder="1" applyAlignment="1">
      <alignment vertical="center"/>
    </xf>
    <xf numFmtId="173" fontId="11" fillId="0" borderId="0" xfId="4" applyNumberFormat="1" applyFont="1" applyAlignment="1">
      <alignment vertical="center"/>
    </xf>
    <xf numFmtId="173" fontId="11" fillId="0" borderId="0" xfId="4" applyNumberFormat="1" applyFont="1" applyBorder="1" applyAlignment="1">
      <alignment vertical="center"/>
    </xf>
    <xf numFmtId="7" fontId="11" fillId="0" borderId="0" xfId="4" applyNumberFormat="1" applyFont="1" applyAlignment="1">
      <alignment vertical="center"/>
    </xf>
    <xf numFmtId="5" fontId="11" fillId="0" borderId="0" xfId="4" applyNumberFormat="1" applyFont="1" applyFill="1" applyAlignment="1">
      <alignment vertical="center"/>
    </xf>
    <xf numFmtId="166" fontId="11" fillId="0" borderId="0" xfId="4" applyNumberFormat="1" applyFont="1" applyFill="1" applyBorder="1"/>
    <xf numFmtId="168" fontId="11" fillId="0" borderId="0" xfId="7" applyNumberFormat="1" applyFont="1" applyFill="1" applyBorder="1" applyAlignment="1">
      <alignment vertical="center"/>
    </xf>
    <xf numFmtId="166" fontId="11" fillId="0" borderId="0" xfId="5" applyNumberFormat="1" applyFont="1" applyFill="1" applyBorder="1" applyAlignment="1">
      <alignment vertical="center"/>
    </xf>
    <xf numFmtId="168" fontId="11" fillId="0" borderId="0" xfId="5" applyNumberFormat="1" applyFont="1" applyFill="1" applyBorder="1" applyAlignment="1">
      <alignment vertical="center"/>
    </xf>
    <xf numFmtId="5" fontId="12" fillId="0" borderId="0" xfId="5" applyNumberFormat="1" applyFont="1" applyFill="1" applyBorder="1" applyAlignment="1">
      <alignment vertical="center"/>
    </xf>
    <xf numFmtId="166" fontId="10" fillId="0" borderId="0" xfId="5" applyNumberFormat="1" applyFont="1" applyFill="1" applyBorder="1" applyAlignment="1">
      <alignment horizontal="left" vertical="center"/>
    </xf>
    <xf numFmtId="166" fontId="10" fillId="0" borderId="0" xfId="5" applyNumberFormat="1" applyFont="1" applyFill="1" applyBorder="1" applyAlignment="1">
      <alignment horizontal="center" vertical="center"/>
    </xf>
    <xf numFmtId="167" fontId="11" fillId="0" borderId="0" xfId="6" applyNumberFormat="1" applyFont="1" applyFill="1" applyBorder="1" applyAlignment="1">
      <alignment vertical="center"/>
    </xf>
    <xf numFmtId="166" fontId="11" fillId="0" borderId="0" xfId="4" applyFont="1" applyFill="1" applyBorder="1"/>
    <xf numFmtId="166" fontId="10" fillId="0" borderId="0" xfId="5" quotePrefix="1" applyNumberFormat="1" applyFont="1" applyFill="1" applyBorder="1" applyAlignment="1">
      <alignment horizontal="left" vertical="center"/>
    </xf>
    <xf numFmtId="167" fontId="10" fillId="0" borderId="0" xfId="6" applyNumberFormat="1" applyFont="1" applyFill="1" applyBorder="1" applyAlignment="1">
      <alignment vertical="center"/>
    </xf>
    <xf numFmtId="167" fontId="10" fillId="0" borderId="0" xfId="5" applyNumberFormat="1" applyFont="1" applyFill="1" applyBorder="1" applyAlignment="1">
      <alignment vertical="center"/>
    </xf>
    <xf numFmtId="166" fontId="11" fillId="0" borderId="0" xfId="5" quotePrefix="1" applyNumberFormat="1" applyFont="1" applyFill="1" applyBorder="1" applyAlignment="1">
      <alignment horizontal="left" vertical="center"/>
    </xf>
    <xf numFmtId="166" fontId="10" fillId="0" borderId="0" xfId="4" applyNumberFormat="1" applyFont="1" applyFill="1" applyBorder="1"/>
    <xf numFmtId="167" fontId="10" fillId="0" borderId="0" xfId="4" applyNumberFormat="1" applyFont="1" applyFill="1" applyBorder="1"/>
    <xf numFmtId="166" fontId="10" fillId="0" borderId="0" xfId="5" applyNumberFormat="1" applyFont="1" applyFill="1" applyBorder="1" applyAlignment="1">
      <alignment vertical="center"/>
    </xf>
    <xf numFmtId="2" fontId="11" fillId="0" borderId="0" xfId="4" applyNumberFormat="1" applyFont="1" applyFill="1" applyBorder="1"/>
    <xf numFmtId="169" fontId="11" fillId="0" borderId="0" xfId="5" applyNumberFormat="1" applyFont="1" applyFill="1" applyBorder="1" applyAlignment="1">
      <alignment horizontal="right" vertical="center"/>
    </xf>
    <xf numFmtId="39" fontId="11" fillId="0" borderId="0" xfId="5" applyNumberFormat="1" applyFont="1" applyFill="1" applyBorder="1" applyAlignment="1">
      <alignment horizontal="right" vertical="center"/>
    </xf>
    <xf numFmtId="5" fontId="11" fillId="0" borderId="0" xfId="5" applyNumberFormat="1" applyFont="1" applyFill="1" applyBorder="1" applyAlignment="1">
      <alignment horizontal="left" vertical="center"/>
    </xf>
    <xf numFmtId="166" fontId="13" fillId="0" borderId="0" xfId="5" applyNumberFormat="1" applyFont="1" applyFill="1" applyBorder="1" applyAlignment="1">
      <alignment horizontal="right" vertical="center"/>
    </xf>
    <xf numFmtId="165" fontId="11" fillId="0" borderId="0" xfId="4" applyNumberFormat="1" applyFont="1" applyFill="1" applyBorder="1"/>
    <xf numFmtId="165" fontId="0" fillId="7" borderId="0" xfId="3" applyNumberFormat="1" applyFont="1" applyFill="1" applyBorder="1" applyAlignment="1">
      <alignment horizontal="center" vertical="center" wrapText="1"/>
    </xf>
    <xf numFmtId="165" fontId="0" fillId="7" borderId="9" xfId="3" applyNumberFormat="1" applyFont="1" applyFill="1" applyBorder="1" applyAlignment="1">
      <alignment horizontal="center" vertical="center" wrapText="1"/>
    </xf>
    <xf numFmtId="5" fontId="12" fillId="0" borderId="0" xfId="5" applyNumberFormat="1" applyFont="1" applyAlignment="1">
      <alignment vertical="center"/>
    </xf>
    <xf numFmtId="166" fontId="11" fillId="0" borderId="0" xfId="5" applyNumberFormat="1" applyFont="1" applyAlignment="1">
      <alignment vertical="center"/>
    </xf>
    <xf numFmtId="166" fontId="11" fillId="0" borderId="14" xfId="5" applyNumberFormat="1" applyFont="1" applyBorder="1" applyAlignment="1">
      <alignment vertical="center"/>
    </xf>
    <xf numFmtId="166" fontId="11" fillId="0" borderId="15" xfId="4" applyNumberFormat="1" applyFont="1" applyBorder="1"/>
    <xf numFmtId="167" fontId="11" fillId="0" borderId="16" xfId="6" applyNumberFormat="1" applyFont="1" applyBorder="1" applyAlignment="1">
      <alignment vertical="center"/>
    </xf>
    <xf numFmtId="166" fontId="11" fillId="0" borderId="17" xfId="5" applyNumberFormat="1" applyFont="1" applyBorder="1" applyAlignment="1">
      <alignment vertical="center"/>
    </xf>
    <xf numFmtId="166" fontId="11" fillId="0" borderId="0" xfId="4" applyNumberFormat="1" applyFont="1" applyBorder="1"/>
    <xf numFmtId="167" fontId="11" fillId="0" borderId="18" xfId="6" applyNumberFormat="1" applyFont="1" applyBorder="1" applyAlignment="1">
      <alignment vertical="center"/>
    </xf>
    <xf numFmtId="167" fontId="11" fillId="0" borderId="19" xfId="6" applyNumberFormat="1" applyFont="1" applyBorder="1" applyAlignment="1">
      <alignment vertical="center"/>
    </xf>
    <xf numFmtId="166" fontId="11" fillId="0" borderId="18" xfId="4" applyFont="1" applyBorder="1"/>
    <xf numFmtId="166" fontId="11" fillId="0" borderId="20" xfId="5" applyNumberFormat="1" applyFont="1" applyBorder="1" applyAlignment="1">
      <alignment vertical="center"/>
    </xf>
    <xf numFmtId="166" fontId="11" fillId="0" borderId="1" xfId="4" applyNumberFormat="1" applyFont="1" applyBorder="1"/>
    <xf numFmtId="167" fontId="11" fillId="0" borderId="21" xfId="6" applyNumberFormat="1" applyFont="1" applyBorder="1" applyAlignment="1">
      <alignment vertical="center"/>
    </xf>
    <xf numFmtId="166" fontId="10" fillId="13" borderId="22" xfId="5" quotePrefix="1" applyNumberFormat="1" applyFont="1" applyFill="1" applyBorder="1" applyAlignment="1">
      <alignment horizontal="left" vertical="center"/>
    </xf>
    <xf numFmtId="167" fontId="10" fillId="13" borderId="11" xfId="6" applyNumberFormat="1" applyFont="1" applyFill="1" applyBorder="1" applyAlignment="1">
      <alignment vertical="center"/>
    </xf>
    <xf numFmtId="167" fontId="10" fillId="13" borderId="23" xfId="6" applyNumberFormat="1" applyFont="1" applyFill="1" applyBorder="1" applyAlignment="1">
      <alignment vertical="center"/>
    </xf>
    <xf numFmtId="166" fontId="11" fillId="0" borderId="24" xfId="5" quotePrefix="1" applyNumberFormat="1" applyFont="1" applyBorder="1" applyAlignment="1">
      <alignment horizontal="left" vertical="center"/>
    </xf>
    <xf numFmtId="168" fontId="11" fillId="0" borderId="0" xfId="7" applyNumberFormat="1" applyFont="1" applyBorder="1" applyAlignment="1">
      <alignment vertical="center"/>
    </xf>
    <xf numFmtId="166" fontId="11" fillId="0" borderId="0" xfId="5" applyNumberFormat="1" applyFont="1" applyBorder="1" applyAlignment="1">
      <alignment vertical="center"/>
    </xf>
    <xf numFmtId="166" fontId="11" fillId="0" borderId="24" xfId="5" applyNumberFormat="1" applyFont="1" applyBorder="1" applyAlignment="1">
      <alignment vertical="center"/>
    </xf>
    <xf numFmtId="166" fontId="11" fillId="0" borderId="24" xfId="4" applyNumberFormat="1" applyFont="1" applyBorder="1"/>
    <xf numFmtId="166" fontId="10" fillId="0" borderId="24" xfId="5" quotePrefix="1" applyNumberFormat="1" applyFont="1" applyBorder="1" applyAlignment="1">
      <alignment horizontal="left" vertical="center"/>
    </xf>
    <xf numFmtId="168" fontId="11" fillId="0" borderId="0" xfId="5" applyNumberFormat="1" applyFont="1" applyBorder="1" applyAlignment="1">
      <alignment vertical="center"/>
    </xf>
    <xf numFmtId="167" fontId="10" fillId="0" borderId="19" xfId="6" applyNumberFormat="1" applyFont="1" applyBorder="1" applyAlignment="1">
      <alignment vertical="center"/>
    </xf>
    <xf numFmtId="166" fontId="10" fillId="0" borderId="24" xfId="4" applyNumberFormat="1" applyFont="1" applyBorder="1"/>
    <xf numFmtId="167" fontId="10" fillId="0" borderId="19" xfId="4" applyNumberFormat="1" applyFont="1" applyBorder="1"/>
    <xf numFmtId="166" fontId="10" fillId="0" borderId="24" xfId="5" applyNumberFormat="1" applyFont="1" applyBorder="1" applyAlignment="1">
      <alignment horizontal="left" vertical="center"/>
    </xf>
    <xf numFmtId="166" fontId="10" fillId="0" borderId="24" xfId="5" applyNumberFormat="1" applyFont="1" applyBorder="1" applyAlignment="1">
      <alignment vertical="center"/>
    </xf>
    <xf numFmtId="166" fontId="11" fillId="0" borderId="19" xfId="4" applyNumberFormat="1" applyFont="1" applyBorder="1"/>
    <xf numFmtId="169" fontId="11" fillId="0" borderId="19" xfId="5" applyNumberFormat="1" applyFont="1" applyBorder="1" applyAlignment="1">
      <alignment horizontal="right" vertical="center"/>
    </xf>
    <xf numFmtId="39" fontId="11" fillId="0" borderId="19" xfId="5" applyNumberFormat="1" applyFont="1" applyBorder="1" applyAlignment="1">
      <alignment horizontal="right" vertical="center"/>
    </xf>
    <xf numFmtId="5" fontId="11" fillId="0" borderId="24" xfId="5" applyNumberFormat="1" applyFont="1" applyBorder="1" applyAlignment="1">
      <alignment horizontal="left" vertical="center"/>
    </xf>
    <xf numFmtId="166" fontId="11" fillId="0" borderId="22" xfId="4" applyNumberFormat="1" applyFont="1" applyBorder="1"/>
    <xf numFmtId="166" fontId="11" fillId="0" borderId="11" xfId="4" applyNumberFormat="1" applyFont="1" applyBorder="1"/>
    <xf numFmtId="166" fontId="13" fillId="0" borderId="25" xfId="5" applyNumberFormat="1" applyFont="1" applyBorder="1" applyAlignment="1">
      <alignment horizontal="right" vertical="center"/>
    </xf>
    <xf numFmtId="167" fontId="10" fillId="13" borderId="25" xfId="5" applyNumberFormat="1" applyFont="1" applyFill="1" applyBorder="1" applyAlignment="1">
      <alignment vertical="center"/>
    </xf>
    <xf numFmtId="166" fontId="20" fillId="12" borderId="14" xfId="5" applyNumberFormat="1" applyFont="1" applyFill="1" applyBorder="1" applyAlignment="1">
      <alignment horizontal="left" vertical="center"/>
    </xf>
    <xf numFmtId="166" fontId="20" fillId="12" borderId="15" xfId="5" applyNumberFormat="1" applyFont="1" applyFill="1" applyBorder="1" applyAlignment="1">
      <alignment horizontal="center" vertical="center"/>
    </xf>
    <xf numFmtId="166" fontId="20" fillId="12" borderId="16" xfId="5" applyNumberFormat="1" applyFont="1" applyFill="1" applyBorder="1" applyAlignment="1">
      <alignment horizontal="center" vertical="center"/>
    </xf>
    <xf numFmtId="167" fontId="11" fillId="0" borderId="13" xfId="6" applyNumberFormat="1" applyFont="1" applyBorder="1" applyAlignment="1">
      <alignment vertical="center"/>
    </xf>
    <xf numFmtId="166" fontId="11" fillId="0" borderId="17" xfId="4" applyFont="1" applyBorder="1"/>
    <xf numFmtId="166" fontId="11" fillId="0" borderId="0" xfId="4" applyFont="1" applyBorder="1"/>
    <xf numFmtId="166" fontId="11" fillId="0" borderId="20" xfId="4" applyFont="1" applyBorder="1"/>
    <xf numFmtId="166" fontId="11" fillId="0" borderId="1" xfId="4" applyFont="1" applyBorder="1"/>
    <xf numFmtId="166" fontId="11" fillId="0" borderId="21" xfId="4" applyFont="1" applyBorder="1"/>
    <xf numFmtId="167" fontId="11" fillId="0" borderId="26" xfId="6" applyNumberFormat="1" applyFont="1" applyBorder="1" applyAlignment="1">
      <alignment vertical="center"/>
    </xf>
    <xf numFmtId="0" fontId="21" fillId="0" borderId="15" xfId="2133" applyFont="1" applyBorder="1"/>
    <xf numFmtId="0" fontId="9" fillId="0" borderId="15" xfId="2133" applyBorder="1"/>
    <xf numFmtId="174" fontId="22" fillId="0" borderId="0" xfId="2206" applyFont="1"/>
    <xf numFmtId="0" fontId="9" fillId="0" borderId="15" xfId="2133" applyFont="1" applyBorder="1" applyAlignment="1">
      <alignment horizontal="center"/>
    </xf>
    <xf numFmtId="174" fontId="22" fillId="0" borderId="0" xfId="2206" applyFont="1" applyAlignment="1">
      <alignment horizontal="center"/>
    </xf>
    <xf numFmtId="0" fontId="9" fillId="0" borderId="0" xfId="2133"/>
    <xf numFmtId="0" fontId="1" fillId="0" borderId="0" xfId="2133" applyFont="1"/>
    <xf numFmtId="2" fontId="22" fillId="7" borderId="10" xfId="37053" applyNumberFormat="1" applyFont="1" applyFill="1"/>
    <xf numFmtId="1" fontId="22" fillId="14" borderId="0" xfId="2206" applyNumberFormat="1" applyFont="1" applyFill="1"/>
    <xf numFmtId="174" fontId="22" fillId="14" borderId="10" xfId="37053" applyNumberFormat="1" applyFont="1" applyFill="1"/>
    <xf numFmtId="2" fontId="8" fillId="7" borderId="0" xfId="37055" applyNumberFormat="1" applyFill="1"/>
    <xf numFmtId="1" fontId="9" fillId="15" borderId="0" xfId="2133" applyNumberFormat="1" applyFill="1"/>
    <xf numFmtId="176" fontId="9" fillId="15" borderId="0" xfId="2133" applyNumberFormat="1" applyFill="1"/>
    <xf numFmtId="2" fontId="9" fillId="0" borderId="0" xfId="2133" applyNumberFormat="1"/>
    <xf numFmtId="176" fontId="9" fillId="0" borderId="0" xfId="2133" applyNumberFormat="1"/>
    <xf numFmtId="176" fontId="22" fillId="14" borderId="0" xfId="2206" applyNumberFormat="1" applyFont="1" applyFill="1"/>
    <xf numFmtId="1" fontId="9" fillId="0" borderId="0" xfId="2133" applyNumberFormat="1"/>
    <xf numFmtId="3" fontId="9" fillId="15" borderId="0" xfId="2133" applyNumberFormat="1" applyFill="1"/>
    <xf numFmtId="174" fontId="22" fillId="0" borderId="0" xfId="2206" applyFont="1" applyFill="1"/>
    <xf numFmtId="0" fontId="9" fillId="15" borderId="0" xfId="2133" applyFill="1"/>
    <xf numFmtId="2" fontId="9" fillId="15" borderId="0" xfId="2133" applyNumberFormat="1" applyFill="1"/>
    <xf numFmtId="164" fontId="9" fillId="15" borderId="2" xfId="111" applyNumberFormat="1" applyFont="1" applyFill="1" applyBorder="1"/>
    <xf numFmtId="177" fontId="9" fillId="0" borderId="0" xfId="111" applyNumberFormat="1"/>
    <xf numFmtId="164" fontId="9" fillId="0" borderId="0" xfId="2133" applyNumberFormat="1"/>
    <xf numFmtId="0" fontId="9" fillId="15" borderId="2" xfId="2133" applyFill="1" applyBorder="1"/>
    <xf numFmtId="0" fontId="9" fillId="0" borderId="0" xfId="2133" applyFont="1" applyFill="1"/>
    <xf numFmtId="0" fontId="9" fillId="0" borderId="0" xfId="2133" applyFill="1"/>
    <xf numFmtId="0" fontId="1" fillId="0" borderId="0" xfId="2133" applyFont="1" applyFill="1" applyBorder="1"/>
    <xf numFmtId="0" fontId="9" fillId="7" borderId="0" xfId="2133" applyFill="1"/>
    <xf numFmtId="0" fontId="9" fillId="14" borderId="0" xfId="2133" applyFill="1"/>
    <xf numFmtId="0" fontId="9" fillId="13" borderId="0" xfId="2133" applyFill="1"/>
    <xf numFmtId="0" fontId="1" fillId="0" borderId="2" xfId="2133" applyFont="1" applyBorder="1"/>
    <xf numFmtId="0" fontId="9" fillId="0" borderId="0" xfId="2133" applyFont="1" applyAlignment="1">
      <alignment horizontal="center"/>
    </xf>
    <xf numFmtId="0" fontId="23" fillId="0" borderId="0" xfId="2133" applyFont="1"/>
    <xf numFmtId="0" fontId="9" fillId="0" borderId="0" xfId="2133" applyFont="1"/>
    <xf numFmtId="0" fontId="9" fillId="0" borderId="0" xfId="2133" applyFont="1" applyFill="1" applyAlignment="1">
      <alignment horizontal="center"/>
    </xf>
    <xf numFmtId="0" fontId="1" fillId="0" borderId="0" xfId="2133" applyFont="1" applyBorder="1"/>
    <xf numFmtId="165" fontId="9" fillId="0" borderId="0" xfId="2133" applyNumberFormat="1" applyAlignment="1">
      <alignment horizontal="center"/>
    </xf>
    <xf numFmtId="0" fontId="0" fillId="0" borderId="0" xfId="0" applyFont="1"/>
    <xf numFmtId="164" fontId="22" fillId="0" borderId="0" xfId="111" applyNumberFormat="1" applyFont="1" applyFill="1"/>
    <xf numFmtId="9" fontId="22" fillId="0" borderId="0" xfId="7" applyFont="1" applyFill="1"/>
    <xf numFmtId="173" fontId="22" fillId="0" borderId="0" xfId="2206" applyNumberFormat="1" applyFont="1" applyFill="1"/>
    <xf numFmtId="2" fontId="22" fillId="0" borderId="0" xfId="2206" applyNumberFormat="1" applyFont="1" applyFill="1"/>
    <xf numFmtId="166" fontId="9" fillId="0" borderId="0" xfId="24570" applyFont="1" applyFill="1" applyAlignment="1" applyProtection="1">
      <alignment vertical="center" wrapText="1"/>
      <protection locked="0"/>
    </xf>
    <xf numFmtId="1" fontId="9" fillId="0" borderId="2" xfId="24570" applyNumberFormat="1" applyFont="1" applyFill="1" applyBorder="1" applyAlignment="1" applyProtection="1">
      <alignment horizontal="right" vertical="center" wrapText="1"/>
      <protection locked="0"/>
    </xf>
    <xf numFmtId="0" fontId="9" fillId="0" borderId="2" xfId="2133" applyBorder="1"/>
    <xf numFmtId="166" fontId="9" fillId="0" borderId="2" xfId="0" applyNumberFormat="1" applyFont="1" applyFill="1" applyBorder="1" applyAlignment="1" applyProtection="1">
      <alignment horizontal="left" vertical="center" wrapText="1"/>
      <protection locked="0"/>
    </xf>
    <xf numFmtId="165" fontId="11" fillId="0" borderId="0" xfId="4" applyNumberFormat="1" applyFont="1"/>
    <xf numFmtId="166" fontId="11" fillId="0" borderId="0" xfId="4" applyNumberFormat="1" applyFont="1" applyFill="1" applyBorder="1" applyAlignment="1">
      <alignment horizontal="right" vertical="center"/>
    </xf>
    <xf numFmtId="167" fontId="11" fillId="0" borderId="0" xfId="4" applyNumberFormat="1" applyFont="1" applyFill="1" applyAlignment="1">
      <alignment horizontal="right" vertical="center"/>
    </xf>
    <xf numFmtId="165" fontId="11" fillId="0" borderId="0" xfId="6" applyNumberFormat="1" applyFont="1" applyFill="1" applyBorder="1" applyAlignment="1">
      <alignment vertical="center"/>
    </xf>
    <xf numFmtId="49" fontId="1" fillId="0" borderId="0" xfId="0" applyNumberFormat="1" applyFont="1" applyBorder="1" applyAlignment="1" applyProtection="1">
      <alignment horizontal="center" vertical="center" wrapText="1"/>
      <protection locked="0"/>
    </xf>
    <xf numFmtId="49" fontId="24" fillId="16" borderId="27" xfId="37056" applyNumberFormat="1" applyBorder="1" applyAlignment="1" applyProtection="1">
      <alignment horizontal="center" vertical="center" wrapText="1"/>
      <protection locked="0"/>
    </xf>
    <xf numFmtId="49" fontId="0" fillId="17" borderId="0" xfId="37057" applyNumberFormat="1" applyFont="1" applyBorder="1" applyAlignment="1" applyProtection="1">
      <alignment horizontal="center" vertical="center" wrapText="1"/>
      <protection locked="0"/>
    </xf>
    <xf numFmtId="49" fontId="8" fillId="17" borderId="0" xfId="37057" applyNumberFormat="1" applyBorder="1" applyAlignment="1" applyProtection="1">
      <alignment horizontal="center" vertical="center" wrapText="1"/>
      <protection locked="0"/>
    </xf>
    <xf numFmtId="49" fontId="1" fillId="0" borderId="15" xfId="0" applyNumberFormat="1" applyFont="1" applyBorder="1" applyAlignment="1" applyProtection="1">
      <alignment horizontal="center" vertical="center" wrapText="1"/>
      <protection locked="0"/>
    </xf>
    <xf numFmtId="49" fontId="1" fillId="0" borderId="15" xfId="0" applyNumberFormat="1" applyFont="1" applyBorder="1" applyAlignment="1" applyProtection="1">
      <alignment vertical="center" wrapText="1"/>
      <protection locked="0"/>
    </xf>
    <xf numFmtId="49" fontId="24" fillId="18" borderId="27" xfId="37056" applyNumberFormat="1" applyFill="1" applyBorder="1" applyAlignment="1" applyProtection="1">
      <alignment horizontal="center" vertical="center" wrapText="1"/>
      <protection locked="0"/>
    </xf>
    <xf numFmtId="49" fontId="8" fillId="17" borderId="15" xfId="37057" applyNumberFormat="1" applyBorder="1" applyAlignment="1" applyProtection="1">
      <alignment horizontal="center" vertical="center" wrapText="1"/>
      <protection locked="0"/>
    </xf>
    <xf numFmtId="0" fontId="0" fillId="0" borderId="14" xfId="0" applyBorder="1"/>
    <xf numFmtId="0" fontId="0" fillId="0" borderId="15" xfId="0" applyFill="1" applyBorder="1"/>
    <xf numFmtId="0" fontId="0" fillId="0" borderId="15" xfId="0" applyBorder="1"/>
    <xf numFmtId="3" fontId="24" fillId="16" borderId="15" xfId="37056" applyNumberFormat="1" applyBorder="1" applyAlignment="1">
      <alignment horizontal="center" vertical="center"/>
    </xf>
    <xf numFmtId="3" fontId="24" fillId="18" borderId="0" xfId="37056" applyNumberFormat="1" applyFill="1" applyBorder="1" applyAlignment="1">
      <alignment horizontal="center" vertical="center"/>
    </xf>
    <xf numFmtId="3" fontId="0" fillId="17" borderId="15" xfId="37057" applyNumberFormat="1" applyFont="1" applyBorder="1" applyAlignment="1">
      <alignment horizontal="center" vertical="center"/>
    </xf>
    <xf numFmtId="3" fontId="24" fillId="16" borderId="16" xfId="37056" applyNumberFormat="1" applyBorder="1" applyAlignment="1">
      <alignment horizontal="center" vertical="center"/>
    </xf>
    <xf numFmtId="0" fontId="0" fillId="0" borderId="0" xfId="0" applyBorder="1"/>
    <xf numFmtId="0" fontId="0" fillId="0" borderId="17" xfId="0" applyBorder="1"/>
    <xf numFmtId="3" fontId="24" fillId="16" borderId="0" xfId="37056" applyNumberFormat="1" applyBorder="1" applyAlignment="1">
      <alignment horizontal="center" vertical="center"/>
    </xf>
    <xf numFmtId="3" fontId="0" fillId="17" borderId="0" xfId="37057" applyNumberFormat="1" applyFont="1" applyBorder="1" applyAlignment="1">
      <alignment horizontal="center" vertical="center"/>
    </xf>
    <xf numFmtId="3" fontId="24" fillId="16" borderId="18" xfId="37056" applyNumberFormat="1" applyBorder="1" applyAlignment="1">
      <alignment horizontal="center" vertical="center"/>
    </xf>
    <xf numFmtId="9" fontId="24" fillId="16" borderId="0" xfId="37056" applyNumberFormat="1" applyBorder="1" applyAlignment="1">
      <alignment horizontal="center" vertical="center"/>
    </xf>
    <xf numFmtId="3" fontId="8" fillId="17" borderId="0" xfId="37057" applyNumberFormat="1" applyBorder="1" applyAlignment="1">
      <alignment horizontal="center" vertical="center"/>
    </xf>
    <xf numFmtId="3" fontId="8" fillId="18" borderId="0" xfId="37057" applyNumberFormat="1" applyFill="1" applyBorder="1" applyAlignment="1">
      <alignment horizontal="center" vertical="center"/>
    </xf>
    <xf numFmtId="3" fontId="8" fillId="19" borderId="0" xfId="37057" applyNumberFormat="1" applyFill="1" applyBorder="1" applyAlignment="1">
      <alignment horizontal="center" vertical="center"/>
    </xf>
    <xf numFmtId="0" fontId="0" fillId="0" borderId="20" xfId="0" applyBorder="1"/>
    <xf numFmtId="0" fontId="0" fillId="0" borderId="1" xfId="0" applyBorder="1"/>
    <xf numFmtId="0" fontId="0" fillId="0" borderId="1" xfId="0" applyFill="1" applyBorder="1"/>
    <xf numFmtId="3" fontId="24" fillId="16" borderId="1" xfId="37056" applyNumberFormat="1" applyBorder="1" applyAlignment="1">
      <alignment horizontal="center" vertical="center"/>
    </xf>
    <xf numFmtId="3" fontId="24" fillId="18" borderId="1" xfId="37056" applyNumberFormat="1" applyFill="1" applyBorder="1" applyAlignment="1">
      <alignment horizontal="center" vertical="center"/>
    </xf>
    <xf numFmtId="9" fontId="24" fillId="16" borderId="1" xfId="37056" applyNumberFormat="1" applyBorder="1" applyAlignment="1">
      <alignment horizontal="center" vertical="center"/>
    </xf>
    <xf numFmtId="3" fontId="8" fillId="19" borderId="1" xfId="37057" applyNumberFormat="1" applyFill="1" applyBorder="1" applyAlignment="1">
      <alignment horizontal="center" vertical="center"/>
    </xf>
    <xf numFmtId="3" fontId="24" fillId="16" borderId="21" xfId="37056" applyNumberFormat="1" applyBorder="1" applyAlignment="1">
      <alignment horizontal="center" vertical="center"/>
    </xf>
    <xf numFmtId="0" fontId="0" fillId="0" borderId="17" xfId="0" applyFill="1" applyBorder="1"/>
    <xf numFmtId="0" fontId="0" fillId="0" borderId="0" xfId="0" quotePrefix="1" applyFill="1" applyBorder="1"/>
    <xf numFmtId="0" fontId="0" fillId="0" borderId="0" xfId="0" quotePrefix="1" applyFont="1" applyFill="1" applyBorder="1"/>
    <xf numFmtId="0" fontId="0" fillId="0" borderId="14" xfId="0" applyFill="1" applyBorder="1"/>
    <xf numFmtId="0" fontId="0" fillId="0" borderId="15" xfId="0" quotePrefix="1" applyFill="1" applyBorder="1"/>
    <xf numFmtId="9" fontId="24" fillId="16" borderId="15" xfId="37056" applyNumberFormat="1" applyBorder="1" applyAlignment="1">
      <alignment horizontal="center" vertical="center"/>
    </xf>
    <xf numFmtId="3" fontId="8" fillId="17" borderId="15" xfId="37057" applyNumberFormat="1" applyBorder="1" applyAlignment="1">
      <alignment horizontal="center" vertical="center"/>
    </xf>
    <xf numFmtId="0" fontId="0" fillId="0" borderId="0" xfId="0" applyFont="1" applyFill="1" applyBorder="1"/>
    <xf numFmtId="0" fontId="0" fillId="0" borderId="20" xfId="0" applyFill="1" applyBorder="1"/>
    <xf numFmtId="0" fontId="0" fillId="0" borderId="1" xfId="0" quotePrefix="1" applyFill="1" applyBorder="1"/>
    <xf numFmtId="3" fontId="8" fillId="17" borderId="1" xfId="37057" applyNumberFormat="1" applyBorder="1" applyAlignment="1">
      <alignment horizontal="center" vertical="center"/>
    </xf>
    <xf numFmtId="3" fontId="0" fillId="17" borderId="1" xfId="37057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8" borderId="2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18" borderId="2" xfId="0" applyFill="1" applyBorder="1" applyAlignment="1">
      <alignment horizontal="center" vertical="center" wrapText="1"/>
    </xf>
    <xf numFmtId="49" fontId="0" fillId="18" borderId="2" xfId="0" applyNumberFormat="1" applyFill="1" applyBorder="1" applyAlignment="1">
      <alignment horizontal="center" vertical="center" wrapText="1"/>
    </xf>
    <xf numFmtId="164" fontId="0" fillId="0" borderId="2" xfId="3" applyNumberFormat="1" applyFont="1" applyBorder="1"/>
    <xf numFmtId="164" fontId="0" fillId="18" borderId="2" xfId="0" applyNumberFormat="1" applyFill="1" applyBorder="1"/>
    <xf numFmtId="164" fontId="0" fillId="0" borderId="0" xfId="0" applyNumberFormat="1"/>
    <xf numFmtId="3" fontId="0" fillId="18" borderId="2" xfId="0" applyNumberFormat="1" applyFill="1" applyBorder="1"/>
    <xf numFmtId="172" fontId="0" fillId="0" borderId="2" xfId="0" applyNumberFormat="1" applyBorder="1"/>
    <xf numFmtId="172" fontId="0" fillId="0" borderId="2" xfId="0" applyNumberForma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165" fontId="0" fillId="18" borderId="2" xfId="0" applyNumberFormat="1" applyFill="1" applyBorder="1"/>
    <xf numFmtId="172" fontId="0" fillId="18" borderId="2" xfId="0" applyNumberFormat="1" applyFill="1" applyBorder="1"/>
    <xf numFmtId="0" fontId="0" fillId="0" borderId="2" xfId="0" quotePrefix="1" applyBorder="1"/>
    <xf numFmtId="0" fontId="3" fillId="0" borderId="0" xfId="0" applyFont="1"/>
    <xf numFmtId="4" fontId="0" fillId="0" borderId="0" xfId="0" applyNumberFormat="1"/>
    <xf numFmtId="172" fontId="8" fillId="0" borderId="2" xfId="2133" applyNumberFormat="1" applyFont="1" applyFill="1" applyBorder="1" applyAlignment="1">
      <alignment horizontal="right" vertical="center"/>
    </xf>
    <xf numFmtId="1" fontId="8" fillId="0" borderId="2" xfId="2133" applyNumberFormat="1" applyFont="1" applyBorder="1" applyAlignment="1">
      <alignment horizontal="right" vertical="center"/>
    </xf>
    <xf numFmtId="0" fontId="9" fillId="0" borderId="2" xfId="2133" applyBorder="1" applyAlignment="1">
      <alignment horizontal="right" vertical="center"/>
    </xf>
    <xf numFmtId="172" fontId="9" fillId="0" borderId="2" xfId="24570" applyNumberFormat="1" applyFont="1" applyFill="1" applyBorder="1" applyAlignment="1" applyProtection="1">
      <alignment horizontal="right" vertical="center" wrapText="1"/>
      <protection locked="0"/>
    </xf>
    <xf numFmtId="2" fontId="9" fillId="0" borderId="2" xfId="24570" applyNumberFormat="1" applyFont="1" applyFill="1" applyBorder="1" applyAlignment="1" applyProtection="1">
      <alignment horizontal="right" vertical="center" wrapText="1"/>
      <protection locked="0"/>
    </xf>
    <xf numFmtId="49" fontId="24" fillId="16" borderId="20" xfId="37056" applyNumberFormat="1" applyBorder="1" applyAlignment="1" applyProtection="1">
      <alignment vertical="center" wrapText="1"/>
      <protection locked="0"/>
    </xf>
    <xf numFmtId="1" fontId="22" fillId="0" borderId="0" xfId="2206" applyNumberFormat="1" applyFont="1" applyFill="1"/>
    <xf numFmtId="43" fontId="22" fillId="13" borderId="0" xfId="111" applyNumberFormat="1" applyFont="1" applyFill="1"/>
    <xf numFmtId="167" fontId="11" fillId="0" borderId="18" xfId="4" applyNumberFormat="1" applyFont="1" applyBorder="1"/>
    <xf numFmtId="49" fontId="24" fillId="22" borderId="15" xfId="37056" applyNumberFormat="1" applyFill="1" applyBorder="1" applyAlignment="1" applyProtection="1">
      <alignment horizontal="center" vertical="center" wrapText="1"/>
      <protection locked="0"/>
    </xf>
    <xf numFmtId="3" fontId="24" fillId="22" borderId="15" xfId="37056" applyNumberFormat="1" applyFill="1" applyBorder="1" applyAlignment="1">
      <alignment horizontal="center" vertical="center"/>
    </xf>
    <xf numFmtId="3" fontId="24" fillId="22" borderId="0" xfId="37056" applyNumberFormat="1" applyFill="1" applyBorder="1" applyAlignment="1">
      <alignment horizontal="center" vertical="center"/>
    </xf>
    <xf numFmtId="165" fontId="24" fillId="22" borderId="0" xfId="37056" applyNumberFormat="1" applyFill="1" applyBorder="1" applyAlignment="1">
      <alignment horizontal="center" vertical="center"/>
    </xf>
    <xf numFmtId="165" fontId="24" fillId="22" borderId="1" xfId="37056" applyNumberFormat="1" applyFill="1" applyBorder="1" applyAlignment="1">
      <alignment horizontal="center" vertical="center"/>
    </xf>
    <xf numFmtId="3" fontId="0" fillId="22" borderId="15" xfId="37057" applyNumberFormat="1" applyFont="1" applyFill="1" applyBorder="1" applyAlignment="1">
      <alignment horizontal="center" vertical="center"/>
    </xf>
    <xf numFmtId="3" fontId="0" fillId="22" borderId="0" xfId="37057" applyNumberFormat="1" applyFont="1" applyFill="1" applyBorder="1" applyAlignment="1">
      <alignment horizontal="center" vertical="center"/>
    </xf>
    <xf numFmtId="3" fontId="8" fillId="22" borderId="0" xfId="37057" applyNumberFormat="1" applyFill="1" applyBorder="1" applyAlignment="1">
      <alignment horizontal="center" vertical="center"/>
    </xf>
    <xf numFmtId="3" fontId="8" fillId="22" borderId="1" xfId="37057" applyNumberFormat="1" applyFill="1" applyBorder="1" applyAlignment="1">
      <alignment horizontal="center" vertical="center"/>
    </xf>
    <xf numFmtId="3" fontId="8" fillId="22" borderId="15" xfId="37057" applyNumberFormat="1" applyFill="1" applyBorder="1" applyAlignment="1">
      <alignment horizontal="center" vertical="center"/>
    </xf>
    <xf numFmtId="164" fontId="26" fillId="21" borderId="0" xfId="37060" applyNumberFormat="1" applyBorder="1"/>
    <xf numFmtId="166" fontId="25" fillId="21" borderId="0" xfId="37060" applyNumberFormat="1" applyFont="1" applyBorder="1" applyAlignment="1">
      <alignment vertical="center"/>
    </xf>
    <xf numFmtId="175" fontId="26" fillId="20" borderId="0" xfId="37059" applyNumberFormat="1" applyBorder="1"/>
    <xf numFmtId="172" fontId="26" fillId="20" borderId="0" xfId="37059" applyNumberFormat="1" applyBorder="1"/>
    <xf numFmtId="166" fontId="26" fillId="20" borderId="0" xfId="37059" applyNumberFormat="1"/>
    <xf numFmtId="172" fontId="26" fillId="20" borderId="0" xfId="37059" applyNumberFormat="1"/>
    <xf numFmtId="166" fontId="25" fillId="20" borderId="0" xfId="37059" applyNumberFormat="1" applyFont="1" applyBorder="1" applyAlignment="1">
      <alignment vertical="center"/>
    </xf>
    <xf numFmtId="166" fontId="25" fillId="20" borderId="0" xfId="37059" applyNumberFormat="1" applyFont="1"/>
    <xf numFmtId="165" fontId="26" fillId="20" borderId="0" xfId="37059" applyNumberFormat="1" applyBorder="1"/>
    <xf numFmtId="173" fontId="1" fillId="15" borderId="27" xfId="2133" applyNumberFormat="1" applyFont="1" applyFill="1" applyBorder="1"/>
    <xf numFmtId="173" fontId="9" fillId="15" borderId="2" xfId="2133" applyNumberFormat="1" applyFont="1" applyFill="1" applyBorder="1"/>
    <xf numFmtId="172" fontId="24" fillId="22" borderId="0" xfId="37056" applyNumberFormat="1" applyFill="1" applyBorder="1" applyAlignment="1">
      <alignment horizontal="center" vertical="center"/>
    </xf>
    <xf numFmtId="172" fontId="27" fillId="22" borderId="0" xfId="37056" applyNumberFormat="1" applyFont="1" applyFill="1" applyBorder="1" applyAlignment="1">
      <alignment horizontal="center" vertical="center"/>
    </xf>
    <xf numFmtId="49" fontId="0" fillId="17" borderId="1" xfId="37057" applyNumberFormat="1" applyFont="1" applyBorder="1" applyAlignment="1" applyProtection="1">
      <alignment vertical="center" wrapText="1"/>
      <protection locked="0"/>
    </xf>
    <xf numFmtId="172" fontId="24" fillId="22" borderId="1" xfId="37056" applyNumberFormat="1" applyFill="1" applyBorder="1" applyAlignment="1">
      <alignment horizontal="center" vertical="center"/>
    </xf>
    <xf numFmtId="172" fontId="1" fillId="22" borderId="0" xfId="37058" applyNumberFormat="1" applyFont="1" applyFill="1" applyBorder="1" applyAlignment="1">
      <alignment horizontal="center" vertical="center"/>
    </xf>
    <xf numFmtId="173" fontId="9" fillId="0" borderId="2" xfId="2133" applyNumberFormat="1" applyBorder="1" applyAlignment="1">
      <alignment horizontal="right" vertical="center"/>
    </xf>
    <xf numFmtId="3" fontId="24" fillId="16" borderId="14" xfId="37056" applyNumberFormat="1" applyBorder="1" applyAlignment="1">
      <alignment horizontal="center" vertical="center"/>
    </xf>
    <xf numFmtId="3" fontId="24" fillId="16" borderId="17" xfId="37056" applyNumberFormat="1" applyBorder="1" applyAlignment="1">
      <alignment horizontal="center" vertical="center"/>
    </xf>
    <xf numFmtId="3" fontId="24" fillId="16" borderId="20" xfId="37056" applyNumberFormat="1" applyBorder="1" applyAlignment="1">
      <alignment horizontal="center" vertical="center"/>
    </xf>
    <xf numFmtId="49" fontId="24" fillId="16" borderId="28" xfId="37056" applyNumberFormat="1" applyBorder="1" applyAlignment="1" applyProtection="1">
      <alignment vertical="center" wrapText="1"/>
      <protection locked="0"/>
    </xf>
    <xf numFmtId="172" fontId="24" fillId="22" borderId="15" xfId="37056" applyNumberFormat="1" applyFill="1" applyBorder="1" applyAlignment="1" applyProtection="1">
      <alignment horizontal="center" vertical="center" wrapText="1"/>
      <protection locked="0"/>
    </xf>
    <xf numFmtId="172" fontId="0" fillId="22" borderId="15" xfId="37057" applyNumberFormat="1" applyFont="1" applyFill="1" applyBorder="1" applyAlignment="1">
      <alignment horizontal="center" vertical="center"/>
    </xf>
    <xf numFmtId="172" fontId="0" fillId="22" borderId="0" xfId="37057" applyNumberFormat="1" applyFont="1" applyFill="1" applyBorder="1" applyAlignment="1">
      <alignment horizontal="center" vertical="center"/>
    </xf>
    <xf numFmtId="172" fontId="8" fillId="22" borderId="0" xfId="37057" applyNumberFormat="1" applyFill="1" applyBorder="1" applyAlignment="1">
      <alignment horizontal="center" vertical="center"/>
    </xf>
    <xf numFmtId="172" fontId="1" fillId="22" borderId="0" xfId="37057" applyNumberFormat="1" applyFont="1" applyFill="1" applyBorder="1" applyAlignment="1">
      <alignment horizontal="center" vertical="center"/>
    </xf>
    <xf numFmtId="172" fontId="8" fillId="22" borderId="1" xfId="37057" applyNumberFormat="1" applyFill="1" applyBorder="1" applyAlignment="1">
      <alignment horizontal="center" vertical="center"/>
    </xf>
    <xf numFmtId="172" fontId="8" fillId="22" borderId="15" xfId="37057" applyNumberFormat="1" applyFill="1" applyBorder="1" applyAlignment="1">
      <alignment horizontal="center" vertical="center"/>
    </xf>
    <xf numFmtId="172" fontId="0" fillId="0" borderId="0" xfId="0" applyNumberFormat="1"/>
    <xf numFmtId="172" fontId="0" fillId="18" borderId="2" xfId="0" applyNumberFormat="1" applyFill="1" applyBorder="1" applyAlignment="1">
      <alignment horizontal="center" vertical="center" wrapText="1"/>
    </xf>
    <xf numFmtId="172" fontId="0" fillId="22" borderId="1" xfId="37057" applyNumberFormat="1" applyFont="1" applyFill="1" applyBorder="1" applyAlignment="1">
      <alignment horizontal="center" vertical="center"/>
    </xf>
    <xf numFmtId="0" fontId="29" fillId="0" borderId="0" xfId="0" applyFont="1" applyAlignment="1">
      <alignment wrapText="1"/>
    </xf>
    <xf numFmtId="0" fontId="29" fillId="23" borderId="0" xfId="0" applyFont="1" applyFill="1" applyAlignment="1">
      <alignment horizontal="center" vertical="center" wrapText="1"/>
    </xf>
    <xf numFmtId="164" fontId="29" fillId="23" borderId="0" xfId="0" applyNumberFormat="1" applyFont="1" applyFill="1" applyAlignment="1">
      <alignment horizontal="center" vertical="center" wrapText="1"/>
    </xf>
    <xf numFmtId="1" fontId="29" fillId="23" borderId="0" xfId="0" applyNumberFormat="1" applyFont="1" applyFill="1" applyAlignment="1">
      <alignment horizontal="center" vertical="center" wrapText="1"/>
    </xf>
    <xf numFmtId="3" fontId="29" fillId="24" borderId="4" xfId="0" applyNumberFormat="1" applyFont="1" applyFill="1" applyBorder="1" applyAlignment="1">
      <alignment horizontal="center" vertical="center" wrapText="1"/>
    </xf>
    <xf numFmtId="3" fontId="29" fillId="25" borderId="0" xfId="0" applyNumberFormat="1" applyFont="1" applyFill="1" applyAlignment="1">
      <alignment horizontal="center" vertical="center" wrapText="1"/>
    </xf>
    <xf numFmtId="164" fontId="29" fillId="24" borderId="4" xfId="0" applyNumberFormat="1" applyFont="1" applyFill="1" applyBorder="1" applyAlignment="1">
      <alignment horizontal="center" vertical="center" wrapText="1"/>
    </xf>
    <xf numFmtId="165" fontId="29" fillId="25" borderId="0" xfId="0" applyNumberFormat="1" applyFont="1" applyFill="1" applyAlignment="1">
      <alignment horizontal="center" vertical="center" wrapText="1"/>
    </xf>
    <xf numFmtId="3" fontId="29" fillId="23" borderId="0" xfId="0" applyNumberFormat="1" applyFont="1" applyFill="1" applyAlignment="1">
      <alignment horizontal="center" vertical="center" wrapText="1"/>
    </xf>
    <xf numFmtId="3" fontId="29" fillId="24" borderId="0" xfId="0" applyNumberFormat="1" applyFont="1" applyFill="1" applyAlignment="1">
      <alignment horizontal="center" vertical="center" wrapText="1"/>
    </xf>
    <xf numFmtId="3" fontId="29" fillId="24" borderId="0" xfId="0" applyNumberFormat="1" applyFont="1" applyFill="1" applyAlignment="1">
      <alignment wrapText="1"/>
    </xf>
    <xf numFmtId="165" fontId="29" fillId="25" borderId="0" xfId="0" applyNumberFormat="1" applyFont="1" applyFill="1" applyAlignment="1">
      <alignment wrapText="1"/>
    </xf>
    <xf numFmtId="0" fontId="29" fillId="0" borderId="1" xfId="0" applyFont="1" applyBorder="1" applyAlignment="1">
      <alignment wrapText="1"/>
    </xf>
    <xf numFmtId="0" fontId="29" fillId="23" borderId="1" xfId="0" applyFont="1" applyFill="1" applyBorder="1" applyAlignment="1">
      <alignment horizontal="center" vertical="center" wrapText="1"/>
    </xf>
    <xf numFmtId="164" fontId="29" fillId="23" borderId="1" xfId="0" applyNumberFormat="1" applyFont="1" applyFill="1" applyBorder="1" applyAlignment="1">
      <alignment horizontal="center" vertical="center" wrapText="1"/>
    </xf>
    <xf numFmtId="1" fontId="29" fillId="23" borderId="1" xfId="0" applyNumberFormat="1" applyFont="1" applyFill="1" applyBorder="1" applyAlignment="1">
      <alignment horizontal="center" vertical="center" wrapText="1"/>
    </xf>
    <xf numFmtId="3" fontId="29" fillId="24" borderId="5" xfId="0" applyNumberFormat="1" applyFont="1" applyFill="1" applyBorder="1" applyAlignment="1">
      <alignment horizontal="center" vertical="center" wrapText="1"/>
    </xf>
    <xf numFmtId="3" fontId="29" fillId="25" borderId="1" xfId="0" applyNumberFormat="1" applyFont="1" applyFill="1" applyBorder="1" applyAlignment="1">
      <alignment horizontal="center" vertical="center" wrapText="1"/>
    </xf>
    <xf numFmtId="164" fontId="29" fillId="24" borderId="5" xfId="0" applyNumberFormat="1" applyFont="1" applyFill="1" applyBorder="1" applyAlignment="1">
      <alignment horizontal="center" vertical="center" wrapText="1"/>
    </xf>
    <xf numFmtId="165" fontId="29" fillId="25" borderId="1" xfId="0" applyNumberFormat="1" applyFont="1" applyFill="1" applyBorder="1" applyAlignment="1">
      <alignment horizontal="center" vertical="center" wrapText="1"/>
    </xf>
    <xf numFmtId="3" fontId="29" fillId="23" borderId="1" xfId="0" applyNumberFormat="1" applyFont="1" applyFill="1" applyBorder="1" applyAlignment="1">
      <alignment horizontal="center" vertical="center" wrapText="1"/>
    </xf>
    <xf numFmtId="3" fontId="29" fillId="24" borderId="1" xfId="0" applyNumberFormat="1" applyFont="1" applyFill="1" applyBorder="1" applyAlignment="1">
      <alignment horizontal="center" vertical="center" wrapText="1"/>
    </xf>
    <xf numFmtId="3" fontId="29" fillId="24" borderId="1" xfId="0" applyNumberFormat="1" applyFont="1" applyFill="1" applyBorder="1" applyAlignment="1">
      <alignment wrapText="1"/>
    </xf>
    <xf numFmtId="3" fontId="29" fillId="24" borderId="6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 wrapText="1"/>
    </xf>
    <xf numFmtId="0" fontId="1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49" fontId="0" fillId="17" borderId="1" xfId="37057" applyNumberFormat="1" applyFont="1" applyBorder="1" applyAlignment="1" applyProtection="1">
      <alignment horizontal="center" vertical="center" wrapText="1"/>
      <protection locked="0"/>
    </xf>
    <xf numFmtId="49" fontId="0" fillId="17" borderId="21" xfId="37057" applyNumberFormat="1" applyFont="1" applyBorder="1" applyAlignment="1" applyProtection="1">
      <alignment horizontal="center" vertical="center" wrapText="1"/>
      <protection locked="0"/>
    </xf>
    <xf numFmtId="49" fontId="24" fillId="16" borderId="28" xfId="37056" applyNumberFormat="1" applyBorder="1" applyAlignment="1" applyProtection="1">
      <alignment horizontal="center" vertical="center" wrapText="1"/>
      <protection locked="0"/>
    </xf>
    <xf numFmtId="49" fontId="24" fillId="16" borderId="29" xfId="37056" applyNumberFormat="1" applyBorder="1" applyAlignment="1" applyProtection="1">
      <alignment horizontal="center" vertical="center" wrapText="1"/>
      <protection locked="0"/>
    </xf>
    <xf numFmtId="49" fontId="24" fillId="16" borderId="20" xfId="37056" applyNumberFormat="1" applyBorder="1" applyAlignment="1" applyProtection="1">
      <alignment horizontal="center" vertical="center" wrapText="1"/>
      <protection locked="0"/>
    </xf>
    <xf numFmtId="49" fontId="24" fillId="16" borderId="1" xfId="37056" applyNumberFormat="1" applyBorder="1" applyAlignment="1" applyProtection="1">
      <alignment horizontal="center" vertical="center" wrapText="1"/>
      <protection locked="0"/>
    </xf>
    <xf numFmtId="0" fontId="0" fillId="0" borderId="2" xfId="0" applyBorder="1" applyAlignment="1"/>
    <xf numFmtId="0" fontId="9" fillId="0" borderId="15" xfId="2133" applyFont="1" applyBorder="1" applyAlignment="1">
      <alignment horizontal="center"/>
    </xf>
    <xf numFmtId="0" fontId="9" fillId="0" borderId="0" xfId="2133" applyFont="1" applyFill="1" applyAlignment="1">
      <alignment horizontal="left" vertical="center" wrapText="1"/>
    </xf>
    <xf numFmtId="0" fontId="31" fillId="0" borderId="31" xfId="0" applyFont="1" applyBorder="1" applyAlignment="1">
      <alignment vertical="center" wrapText="1"/>
    </xf>
    <xf numFmtId="0" fontId="32" fillId="0" borderId="25" xfId="0" applyFont="1" applyBorder="1" applyAlignment="1">
      <alignment vertical="center" wrapText="1"/>
    </xf>
    <xf numFmtId="0" fontId="30" fillId="0" borderId="25" xfId="0" applyFont="1" applyBorder="1" applyAlignment="1">
      <alignment vertical="center" wrapText="1"/>
    </xf>
    <xf numFmtId="0" fontId="30" fillId="0" borderId="6" xfId="0" applyFont="1" applyBorder="1" applyAlignment="1">
      <alignment vertical="center" wrapText="1"/>
    </xf>
    <xf numFmtId="0" fontId="31" fillId="0" borderId="30" xfId="0" applyFont="1" applyBorder="1" applyAlignment="1">
      <alignment vertical="center" wrapText="1"/>
    </xf>
    <xf numFmtId="0" fontId="31" fillId="0" borderId="6" xfId="0" applyFont="1" applyBorder="1" applyAlignment="1">
      <alignment vertical="center" wrapText="1"/>
    </xf>
    <xf numFmtId="0" fontId="31" fillId="0" borderId="32" xfId="0" applyFont="1" applyBorder="1" applyAlignment="1">
      <alignment vertical="center" wrapText="1"/>
    </xf>
    <xf numFmtId="0" fontId="31" fillId="0" borderId="33" xfId="0" applyFont="1" applyBorder="1" applyAlignment="1">
      <alignment vertical="center" wrapText="1"/>
    </xf>
    <xf numFmtId="0" fontId="31" fillId="0" borderId="31" xfId="0" applyFont="1" applyBorder="1" applyAlignment="1">
      <alignment vertical="center" wrapText="1"/>
    </xf>
    <xf numFmtId="0" fontId="30" fillId="0" borderId="0" xfId="0" applyFont="1" applyFill="1" applyBorder="1" applyAlignment="1">
      <alignment vertical="center" wrapText="1"/>
    </xf>
  </cellXfs>
  <cellStyles count="37071">
    <cellStyle name="20% - Accent3" xfId="37057" builtinId="38"/>
    <cellStyle name="40% - Accent1" xfId="37055" builtinId="31"/>
    <cellStyle name="40% - Accent1 2" xfId="8"/>
    <cellStyle name="40% - Accent1 2 2" xfId="9"/>
    <cellStyle name="40% - Accent1 2 2 2" xfId="10"/>
    <cellStyle name="40% - Accent1 2 2 2 2" xfId="11"/>
    <cellStyle name="40% - Accent1 2 2 2 2 2" xfId="12"/>
    <cellStyle name="40% - Accent1 2 2 2 2 2 2" xfId="13"/>
    <cellStyle name="40% - Accent1 2 2 2 2 3" xfId="14"/>
    <cellStyle name="40% - Accent1 2 2 2 3" xfId="15"/>
    <cellStyle name="40% - Accent1 2 2 2 3 2" xfId="16"/>
    <cellStyle name="40% - Accent1 2 2 2 4" xfId="17"/>
    <cellStyle name="40% - Accent1 2 2 3" xfId="18"/>
    <cellStyle name="40% - Accent1 2 2 3 2" xfId="19"/>
    <cellStyle name="40% - Accent1 2 2 3 2 2" xfId="20"/>
    <cellStyle name="40% - Accent1 2 2 3 2 2 2" xfId="21"/>
    <cellStyle name="40% - Accent1 2 2 3 2 3" xfId="22"/>
    <cellStyle name="40% - Accent1 2 2 3 3" xfId="23"/>
    <cellStyle name="40% - Accent1 2 2 3 3 2" xfId="24"/>
    <cellStyle name="40% - Accent1 2 2 3 4" xfId="25"/>
    <cellStyle name="40% - Accent1 2 2 4" xfId="26"/>
    <cellStyle name="40% - Accent1 2 2 4 2" xfId="27"/>
    <cellStyle name="40% - Accent1 2 2 4 2 2" xfId="28"/>
    <cellStyle name="40% - Accent1 2 2 4 3" xfId="29"/>
    <cellStyle name="40% - Accent1 2 2 5" xfId="30"/>
    <cellStyle name="40% - Accent1 2 2 5 2" xfId="31"/>
    <cellStyle name="40% - Accent1 2 2 6" xfId="32"/>
    <cellStyle name="40% - Accent1 2 3" xfId="33"/>
    <cellStyle name="40% - Accent1 2 3 2" xfId="34"/>
    <cellStyle name="40% - Accent1 2 3 2 2" xfId="35"/>
    <cellStyle name="40% - Accent1 2 3 2 2 2" xfId="36"/>
    <cellStyle name="40% - Accent1 2 3 2 3" xfId="37"/>
    <cellStyle name="40% - Accent1 2 3 3" xfId="38"/>
    <cellStyle name="40% - Accent1 2 3 3 2" xfId="39"/>
    <cellStyle name="40% - Accent1 2 3 4" xfId="40"/>
    <cellStyle name="40% - Accent1 2 4" xfId="41"/>
    <cellStyle name="40% - Accent1 2 4 2" xfId="42"/>
    <cellStyle name="40% - Accent1 2 4 2 2" xfId="43"/>
    <cellStyle name="40% - Accent1 2 4 2 2 2" xfId="44"/>
    <cellStyle name="40% - Accent1 2 4 2 3" xfId="45"/>
    <cellStyle name="40% - Accent1 2 4 3" xfId="46"/>
    <cellStyle name="40% - Accent1 2 4 3 2" xfId="47"/>
    <cellStyle name="40% - Accent1 2 4 4" xfId="48"/>
    <cellStyle name="40% - Accent1 2 5" xfId="49"/>
    <cellStyle name="40% - Accent1 2 5 2" xfId="50"/>
    <cellStyle name="40% - Accent1 2 5 2 2" xfId="51"/>
    <cellStyle name="40% - Accent1 2 5 3" xfId="52"/>
    <cellStyle name="40% - Accent1 2 6" xfId="53"/>
    <cellStyle name="40% - Accent1 2 6 2" xfId="54"/>
    <cellStyle name="40% - Accent1 2 7" xfId="55"/>
    <cellStyle name="40% - Accent1 3" xfId="56"/>
    <cellStyle name="40% - Accent1 3 2" xfId="57"/>
    <cellStyle name="40% - Accent1 3 2 2" xfId="58"/>
    <cellStyle name="40% - Accent1 3 2 2 2" xfId="59"/>
    <cellStyle name="40% - Accent1 3 2 2 2 2" xfId="60"/>
    <cellStyle name="40% - Accent1 3 2 2 3" xfId="61"/>
    <cellStyle name="40% - Accent1 3 2 3" xfId="62"/>
    <cellStyle name="40% - Accent1 3 2 3 2" xfId="63"/>
    <cellStyle name="40% - Accent1 3 2 4" xfId="64"/>
    <cellStyle name="40% - Accent1 3 3" xfId="65"/>
    <cellStyle name="40% - Accent1 3 3 2" xfId="66"/>
    <cellStyle name="40% - Accent1 3 3 2 2" xfId="67"/>
    <cellStyle name="40% - Accent1 3 3 2 2 2" xfId="68"/>
    <cellStyle name="40% - Accent1 3 3 2 3" xfId="69"/>
    <cellStyle name="40% - Accent1 3 3 3" xfId="70"/>
    <cellStyle name="40% - Accent1 3 3 3 2" xfId="71"/>
    <cellStyle name="40% - Accent1 3 3 4" xfId="72"/>
    <cellStyle name="40% - Accent1 3 4" xfId="73"/>
    <cellStyle name="40% - Accent1 3 4 2" xfId="74"/>
    <cellStyle name="40% - Accent1 3 4 2 2" xfId="75"/>
    <cellStyle name="40% - Accent1 3 4 3" xfId="76"/>
    <cellStyle name="40% - Accent1 3 5" xfId="77"/>
    <cellStyle name="40% - Accent1 3 5 2" xfId="78"/>
    <cellStyle name="40% - Accent1 3 6" xfId="79"/>
    <cellStyle name="40% - Accent1 4" xfId="80"/>
    <cellStyle name="40% - Accent1 4 2" xfId="81"/>
    <cellStyle name="40% - Accent1 4 2 2" xfId="82"/>
    <cellStyle name="40% - Accent1 4 2 2 2" xfId="83"/>
    <cellStyle name="40% - Accent1 4 2 3" xfId="84"/>
    <cellStyle name="40% - Accent1 4 3" xfId="85"/>
    <cellStyle name="40% - Accent1 4 3 2" xfId="86"/>
    <cellStyle name="40% - Accent1 4 4" xfId="87"/>
    <cellStyle name="40% - Accent1 5" xfId="88"/>
    <cellStyle name="40% - Accent1 5 2" xfId="89"/>
    <cellStyle name="40% - Accent1 5 2 2" xfId="90"/>
    <cellStyle name="40% - Accent1 5 2 2 2" xfId="91"/>
    <cellStyle name="40% - Accent1 5 2 3" xfId="92"/>
    <cellStyle name="40% - Accent1 5 3" xfId="93"/>
    <cellStyle name="40% - Accent1 5 3 2" xfId="94"/>
    <cellStyle name="40% - Accent1 5 4" xfId="95"/>
    <cellStyle name="40% - Accent1 6" xfId="96"/>
    <cellStyle name="40% - Accent1 6 2" xfId="97"/>
    <cellStyle name="40% - Accent1 6 2 2" xfId="98"/>
    <cellStyle name="40% - Accent1 6 2 2 2" xfId="99"/>
    <cellStyle name="40% - Accent1 6 2 3" xfId="100"/>
    <cellStyle name="40% - Accent1 6 3" xfId="101"/>
    <cellStyle name="40% - Accent1 6 3 2" xfId="102"/>
    <cellStyle name="40% - Accent1 6 4" xfId="103"/>
    <cellStyle name="40% - Accent1 7" xfId="104"/>
    <cellStyle name="40% - Accent1 7 2" xfId="105"/>
    <cellStyle name="40% - Accent1 7 2 2" xfId="106"/>
    <cellStyle name="40% - Accent1 7 3" xfId="107"/>
    <cellStyle name="40% - Accent1 8" xfId="108"/>
    <cellStyle name="40% - Accent1 8 2" xfId="109"/>
    <cellStyle name="40% - Accent1 9" xfId="110"/>
    <cellStyle name="Accent3" xfId="37059" builtinId="37"/>
    <cellStyle name="Accent5" xfId="37060" builtinId="45"/>
    <cellStyle name="Comma" xfId="3" builtinId="3"/>
    <cellStyle name="Comma 2" xfId="111"/>
    <cellStyle name="Comma 2 2" xfId="112"/>
    <cellStyle name="Comma 3" xfId="113"/>
    <cellStyle name="Comma 4" xfId="114"/>
    <cellStyle name="Comma 5" xfId="115"/>
    <cellStyle name="Comma 5 2" xfId="116"/>
    <cellStyle name="Comma 5 2 2" xfId="117"/>
    <cellStyle name="Comma 5 2 2 2" xfId="118"/>
    <cellStyle name="Comma 5 2 3" xfId="119"/>
    <cellStyle name="Comma 5 3" xfId="120"/>
    <cellStyle name="Comma 5 3 2" xfId="121"/>
    <cellStyle name="Comma 5 4" xfId="122"/>
    <cellStyle name="Currency" xfId="37058" builtinId="4"/>
    <cellStyle name="Currency 2" xfId="6"/>
    <cellStyle name="Currency 3" xfId="123"/>
    <cellStyle name="Followed Hyperlink" xfId="37061" builtinId="9" hidden="1"/>
    <cellStyle name="Followed Hyperlink" xfId="37062" builtinId="9" hidden="1"/>
    <cellStyle name="Followed Hyperlink" xfId="37063" builtinId="9" hidden="1"/>
    <cellStyle name="Followed Hyperlink" xfId="37064" builtinId="9" hidden="1"/>
    <cellStyle name="Followed Hyperlink" xfId="37065" builtinId="9" hidden="1"/>
    <cellStyle name="Followed Hyperlink" xfId="37066" builtinId="9" hidden="1"/>
    <cellStyle name="Followed Hyperlink" xfId="37067" builtinId="9" hidden="1"/>
    <cellStyle name="Followed Hyperlink" xfId="37068" builtinId="9" hidden="1"/>
    <cellStyle name="Followed Hyperlink" xfId="37069" builtinId="9" hidden="1"/>
    <cellStyle name="Followed Hyperlink" xfId="37070" builtinId="9" hidden="1"/>
    <cellStyle name="Good" xfId="37056" builtinId="26"/>
    <cellStyle name="Hyperlink" xfId="2" builtinId="8"/>
    <cellStyle name="Hyperlink 2" xfId="124"/>
    <cellStyle name="Normal" xfId="0" builtinId="0"/>
    <cellStyle name="Normal 10" xfId="125"/>
    <cellStyle name="Normal 10 10" xfId="126"/>
    <cellStyle name="Normal 10 10 2" xfId="127"/>
    <cellStyle name="Normal 10 10 2 2" xfId="128"/>
    <cellStyle name="Normal 10 10 2 2 2" xfId="129"/>
    <cellStyle name="Normal 10 10 2 3" xfId="130"/>
    <cellStyle name="Normal 10 10 3" xfId="131"/>
    <cellStyle name="Normal 10 10 3 2" xfId="132"/>
    <cellStyle name="Normal 10 10 4" xfId="133"/>
    <cellStyle name="Normal 10 11" xfId="134"/>
    <cellStyle name="Normal 10 11 2" xfId="135"/>
    <cellStyle name="Normal 10 11 2 2" xfId="136"/>
    <cellStyle name="Normal 10 11 2 2 2" xfId="137"/>
    <cellStyle name="Normal 10 11 2 3" xfId="138"/>
    <cellStyle name="Normal 10 11 3" xfId="139"/>
    <cellStyle name="Normal 10 11 3 2" xfId="140"/>
    <cellStyle name="Normal 10 11 4" xfId="141"/>
    <cellStyle name="Normal 10 12" xfId="142"/>
    <cellStyle name="Normal 10 12 2" xfId="143"/>
    <cellStyle name="Normal 10 12 2 2" xfId="144"/>
    <cellStyle name="Normal 10 12 2 2 2" xfId="145"/>
    <cellStyle name="Normal 10 12 2 3" xfId="146"/>
    <cellStyle name="Normal 10 12 3" xfId="147"/>
    <cellStyle name="Normal 10 12 3 2" xfId="148"/>
    <cellStyle name="Normal 10 12 4" xfId="149"/>
    <cellStyle name="Normal 10 13" xfId="150"/>
    <cellStyle name="Normal 10 13 2" xfId="151"/>
    <cellStyle name="Normal 10 13 2 2" xfId="152"/>
    <cellStyle name="Normal 10 13 3" xfId="153"/>
    <cellStyle name="Normal 10 14" xfId="154"/>
    <cellStyle name="Normal 10 14 2" xfId="155"/>
    <cellStyle name="Normal 10 15" xfId="156"/>
    <cellStyle name="Normal 10 2" xfId="157"/>
    <cellStyle name="Normal 10 2 10" xfId="158"/>
    <cellStyle name="Normal 10 2 10 2" xfId="159"/>
    <cellStyle name="Normal 10 2 10 2 2" xfId="160"/>
    <cellStyle name="Normal 10 2 10 2 2 2" xfId="161"/>
    <cellStyle name="Normal 10 2 10 2 3" xfId="162"/>
    <cellStyle name="Normal 10 2 10 3" xfId="163"/>
    <cellStyle name="Normal 10 2 10 3 2" xfId="164"/>
    <cellStyle name="Normal 10 2 10 4" xfId="165"/>
    <cellStyle name="Normal 10 2 11" xfId="166"/>
    <cellStyle name="Normal 10 2 11 2" xfId="167"/>
    <cellStyle name="Normal 10 2 11 2 2" xfId="168"/>
    <cellStyle name="Normal 10 2 11 3" xfId="169"/>
    <cellStyle name="Normal 10 2 12" xfId="170"/>
    <cellStyle name="Normal 10 2 12 2" xfId="171"/>
    <cellStyle name="Normal 10 2 13" xfId="172"/>
    <cellStyle name="Normal 10 2 2" xfId="173"/>
    <cellStyle name="Normal 10 2 2 10" xfId="174"/>
    <cellStyle name="Normal 10 2 2 10 2" xfId="175"/>
    <cellStyle name="Normal 10 2 2 11" xfId="176"/>
    <cellStyle name="Normal 10 2 2 2" xfId="177"/>
    <cellStyle name="Normal 10 2 2 2 10" xfId="178"/>
    <cellStyle name="Normal 10 2 2 2 2" xfId="179"/>
    <cellStyle name="Normal 10 2 2 2 2 2" xfId="180"/>
    <cellStyle name="Normal 10 2 2 2 2 2 2" xfId="181"/>
    <cellStyle name="Normal 10 2 2 2 2 2 2 2" xfId="182"/>
    <cellStyle name="Normal 10 2 2 2 2 2 2 2 2" xfId="183"/>
    <cellStyle name="Normal 10 2 2 2 2 2 2 2 2 2" xfId="184"/>
    <cellStyle name="Normal 10 2 2 2 2 2 2 2 2 2 2" xfId="185"/>
    <cellStyle name="Normal 10 2 2 2 2 2 2 2 2 3" xfId="186"/>
    <cellStyle name="Normal 10 2 2 2 2 2 2 2 3" xfId="187"/>
    <cellStyle name="Normal 10 2 2 2 2 2 2 2 3 2" xfId="188"/>
    <cellStyle name="Normal 10 2 2 2 2 2 2 2 4" xfId="189"/>
    <cellStyle name="Normal 10 2 2 2 2 2 2 3" xfId="190"/>
    <cellStyle name="Normal 10 2 2 2 2 2 2 3 2" xfId="191"/>
    <cellStyle name="Normal 10 2 2 2 2 2 2 3 2 2" xfId="192"/>
    <cellStyle name="Normal 10 2 2 2 2 2 2 3 2 2 2" xfId="193"/>
    <cellStyle name="Normal 10 2 2 2 2 2 2 3 2 3" xfId="194"/>
    <cellStyle name="Normal 10 2 2 2 2 2 2 3 3" xfId="195"/>
    <cellStyle name="Normal 10 2 2 2 2 2 2 3 3 2" xfId="196"/>
    <cellStyle name="Normal 10 2 2 2 2 2 2 3 4" xfId="197"/>
    <cellStyle name="Normal 10 2 2 2 2 2 2 4" xfId="198"/>
    <cellStyle name="Normal 10 2 2 2 2 2 2 4 2" xfId="199"/>
    <cellStyle name="Normal 10 2 2 2 2 2 2 4 2 2" xfId="200"/>
    <cellStyle name="Normal 10 2 2 2 2 2 2 4 3" xfId="201"/>
    <cellStyle name="Normal 10 2 2 2 2 2 2 5" xfId="202"/>
    <cellStyle name="Normal 10 2 2 2 2 2 2 5 2" xfId="203"/>
    <cellStyle name="Normal 10 2 2 2 2 2 2 6" xfId="204"/>
    <cellStyle name="Normal 10 2 2 2 2 2 3" xfId="205"/>
    <cellStyle name="Normal 10 2 2 2 2 2 3 2" xfId="206"/>
    <cellStyle name="Normal 10 2 2 2 2 2 3 2 2" xfId="207"/>
    <cellStyle name="Normal 10 2 2 2 2 2 3 2 2 2" xfId="208"/>
    <cellStyle name="Normal 10 2 2 2 2 2 3 2 3" xfId="209"/>
    <cellStyle name="Normal 10 2 2 2 2 2 3 3" xfId="210"/>
    <cellStyle name="Normal 10 2 2 2 2 2 3 3 2" xfId="211"/>
    <cellStyle name="Normal 10 2 2 2 2 2 3 4" xfId="212"/>
    <cellStyle name="Normal 10 2 2 2 2 2 4" xfId="213"/>
    <cellStyle name="Normal 10 2 2 2 2 2 4 2" xfId="214"/>
    <cellStyle name="Normal 10 2 2 2 2 2 4 2 2" xfId="215"/>
    <cellStyle name="Normal 10 2 2 2 2 2 4 2 2 2" xfId="216"/>
    <cellStyle name="Normal 10 2 2 2 2 2 4 2 3" xfId="217"/>
    <cellStyle name="Normal 10 2 2 2 2 2 4 3" xfId="218"/>
    <cellStyle name="Normal 10 2 2 2 2 2 4 3 2" xfId="219"/>
    <cellStyle name="Normal 10 2 2 2 2 2 4 4" xfId="220"/>
    <cellStyle name="Normal 10 2 2 2 2 2 5" xfId="221"/>
    <cellStyle name="Normal 10 2 2 2 2 2 5 2" xfId="222"/>
    <cellStyle name="Normal 10 2 2 2 2 2 5 2 2" xfId="223"/>
    <cellStyle name="Normal 10 2 2 2 2 2 5 3" xfId="224"/>
    <cellStyle name="Normal 10 2 2 2 2 2 6" xfId="225"/>
    <cellStyle name="Normal 10 2 2 2 2 2 6 2" xfId="226"/>
    <cellStyle name="Normal 10 2 2 2 2 2 7" xfId="227"/>
    <cellStyle name="Normal 10 2 2 2 2 3" xfId="228"/>
    <cellStyle name="Normal 10 2 2 2 2 3 2" xfId="229"/>
    <cellStyle name="Normal 10 2 2 2 2 3 2 2" xfId="230"/>
    <cellStyle name="Normal 10 2 2 2 2 3 2 2 2" xfId="231"/>
    <cellStyle name="Normal 10 2 2 2 2 3 2 2 2 2" xfId="232"/>
    <cellStyle name="Normal 10 2 2 2 2 3 2 2 3" xfId="233"/>
    <cellStyle name="Normal 10 2 2 2 2 3 2 3" xfId="234"/>
    <cellStyle name="Normal 10 2 2 2 2 3 2 3 2" xfId="235"/>
    <cellStyle name="Normal 10 2 2 2 2 3 2 4" xfId="236"/>
    <cellStyle name="Normal 10 2 2 2 2 3 3" xfId="237"/>
    <cellStyle name="Normal 10 2 2 2 2 3 3 2" xfId="238"/>
    <cellStyle name="Normal 10 2 2 2 2 3 3 2 2" xfId="239"/>
    <cellStyle name="Normal 10 2 2 2 2 3 3 2 2 2" xfId="240"/>
    <cellStyle name="Normal 10 2 2 2 2 3 3 2 3" xfId="241"/>
    <cellStyle name="Normal 10 2 2 2 2 3 3 3" xfId="242"/>
    <cellStyle name="Normal 10 2 2 2 2 3 3 3 2" xfId="243"/>
    <cellStyle name="Normal 10 2 2 2 2 3 3 4" xfId="244"/>
    <cellStyle name="Normal 10 2 2 2 2 3 4" xfId="245"/>
    <cellStyle name="Normal 10 2 2 2 2 3 4 2" xfId="246"/>
    <cellStyle name="Normal 10 2 2 2 2 3 4 2 2" xfId="247"/>
    <cellStyle name="Normal 10 2 2 2 2 3 4 3" xfId="248"/>
    <cellStyle name="Normal 10 2 2 2 2 3 5" xfId="249"/>
    <cellStyle name="Normal 10 2 2 2 2 3 5 2" xfId="250"/>
    <cellStyle name="Normal 10 2 2 2 2 3 6" xfId="251"/>
    <cellStyle name="Normal 10 2 2 2 2 4" xfId="252"/>
    <cellStyle name="Normal 10 2 2 2 2 4 2" xfId="253"/>
    <cellStyle name="Normal 10 2 2 2 2 4 2 2" xfId="254"/>
    <cellStyle name="Normal 10 2 2 2 2 4 2 2 2" xfId="255"/>
    <cellStyle name="Normal 10 2 2 2 2 4 2 3" xfId="256"/>
    <cellStyle name="Normal 10 2 2 2 2 4 3" xfId="257"/>
    <cellStyle name="Normal 10 2 2 2 2 4 3 2" xfId="258"/>
    <cellStyle name="Normal 10 2 2 2 2 4 4" xfId="259"/>
    <cellStyle name="Normal 10 2 2 2 2 5" xfId="260"/>
    <cellStyle name="Normal 10 2 2 2 2 5 2" xfId="261"/>
    <cellStyle name="Normal 10 2 2 2 2 5 2 2" xfId="262"/>
    <cellStyle name="Normal 10 2 2 2 2 5 2 2 2" xfId="263"/>
    <cellStyle name="Normal 10 2 2 2 2 5 2 3" xfId="264"/>
    <cellStyle name="Normal 10 2 2 2 2 5 3" xfId="265"/>
    <cellStyle name="Normal 10 2 2 2 2 5 3 2" xfId="266"/>
    <cellStyle name="Normal 10 2 2 2 2 5 4" xfId="267"/>
    <cellStyle name="Normal 10 2 2 2 2 6" xfId="268"/>
    <cellStyle name="Normal 10 2 2 2 2 6 2" xfId="269"/>
    <cellStyle name="Normal 10 2 2 2 2 6 2 2" xfId="270"/>
    <cellStyle name="Normal 10 2 2 2 2 6 2 2 2" xfId="271"/>
    <cellStyle name="Normal 10 2 2 2 2 6 2 3" xfId="272"/>
    <cellStyle name="Normal 10 2 2 2 2 6 3" xfId="273"/>
    <cellStyle name="Normal 10 2 2 2 2 6 3 2" xfId="274"/>
    <cellStyle name="Normal 10 2 2 2 2 6 4" xfId="275"/>
    <cellStyle name="Normal 10 2 2 2 2 7" xfId="276"/>
    <cellStyle name="Normal 10 2 2 2 2 7 2" xfId="277"/>
    <cellStyle name="Normal 10 2 2 2 2 7 2 2" xfId="278"/>
    <cellStyle name="Normal 10 2 2 2 2 7 3" xfId="279"/>
    <cellStyle name="Normal 10 2 2 2 2 8" xfId="280"/>
    <cellStyle name="Normal 10 2 2 2 2 8 2" xfId="281"/>
    <cellStyle name="Normal 10 2 2 2 2 9" xfId="282"/>
    <cellStyle name="Normal 10 2 2 2 3" xfId="283"/>
    <cellStyle name="Normal 10 2 2 2 3 2" xfId="284"/>
    <cellStyle name="Normal 10 2 2 2 3 2 2" xfId="285"/>
    <cellStyle name="Normal 10 2 2 2 3 2 2 2" xfId="286"/>
    <cellStyle name="Normal 10 2 2 2 3 2 2 2 2" xfId="287"/>
    <cellStyle name="Normal 10 2 2 2 3 2 2 2 2 2" xfId="288"/>
    <cellStyle name="Normal 10 2 2 2 3 2 2 2 3" xfId="289"/>
    <cellStyle name="Normal 10 2 2 2 3 2 2 3" xfId="290"/>
    <cellStyle name="Normal 10 2 2 2 3 2 2 3 2" xfId="291"/>
    <cellStyle name="Normal 10 2 2 2 3 2 2 4" xfId="292"/>
    <cellStyle name="Normal 10 2 2 2 3 2 3" xfId="293"/>
    <cellStyle name="Normal 10 2 2 2 3 2 3 2" xfId="294"/>
    <cellStyle name="Normal 10 2 2 2 3 2 3 2 2" xfId="295"/>
    <cellStyle name="Normal 10 2 2 2 3 2 3 2 2 2" xfId="296"/>
    <cellStyle name="Normal 10 2 2 2 3 2 3 2 3" xfId="297"/>
    <cellStyle name="Normal 10 2 2 2 3 2 3 3" xfId="298"/>
    <cellStyle name="Normal 10 2 2 2 3 2 3 3 2" xfId="299"/>
    <cellStyle name="Normal 10 2 2 2 3 2 3 4" xfId="300"/>
    <cellStyle name="Normal 10 2 2 2 3 2 4" xfId="301"/>
    <cellStyle name="Normal 10 2 2 2 3 2 4 2" xfId="302"/>
    <cellStyle name="Normal 10 2 2 2 3 2 4 2 2" xfId="303"/>
    <cellStyle name="Normal 10 2 2 2 3 2 4 3" xfId="304"/>
    <cellStyle name="Normal 10 2 2 2 3 2 5" xfId="305"/>
    <cellStyle name="Normal 10 2 2 2 3 2 5 2" xfId="306"/>
    <cellStyle name="Normal 10 2 2 2 3 2 6" xfId="307"/>
    <cellStyle name="Normal 10 2 2 2 3 3" xfId="308"/>
    <cellStyle name="Normal 10 2 2 2 3 3 2" xfId="309"/>
    <cellStyle name="Normal 10 2 2 2 3 3 2 2" xfId="310"/>
    <cellStyle name="Normal 10 2 2 2 3 3 2 2 2" xfId="311"/>
    <cellStyle name="Normal 10 2 2 2 3 3 2 3" xfId="312"/>
    <cellStyle name="Normal 10 2 2 2 3 3 3" xfId="313"/>
    <cellStyle name="Normal 10 2 2 2 3 3 3 2" xfId="314"/>
    <cellStyle name="Normal 10 2 2 2 3 3 4" xfId="315"/>
    <cellStyle name="Normal 10 2 2 2 3 4" xfId="316"/>
    <cellStyle name="Normal 10 2 2 2 3 4 2" xfId="317"/>
    <cellStyle name="Normal 10 2 2 2 3 4 2 2" xfId="318"/>
    <cellStyle name="Normal 10 2 2 2 3 4 2 2 2" xfId="319"/>
    <cellStyle name="Normal 10 2 2 2 3 4 2 3" xfId="320"/>
    <cellStyle name="Normal 10 2 2 2 3 4 3" xfId="321"/>
    <cellStyle name="Normal 10 2 2 2 3 4 3 2" xfId="322"/>
    <cellStyle name="Normal 10 2 2 2 3 4 4" xfId="323"/>
    <cellStyle name="Normal 10 2 2 2 3 5" xfId="324"/>
    <cellStyle name="Normal 10 2 2 2 3 5 2" xfId="325"/>
    <cellStyle name="Normal 10 2 2 2 3 5 2 2" xfId="326"/>
    <cellStyle name="Normal 10 2 2 2 3 5 3" xfId="327"/>
    <cellStyle name="Normal 10 2 2 2 3 6" xfId="328"/>
    <cellStyle name="Normal 10 2 2 2 3 6 2" xfId="329"/>
    <cellStyle name="Normal 10 2 2 2 3 7" xfId="330"/>
    <cellStyle name="Normal 10 2 2 2 4" xfId="331"/>
    <cellStyle name="Normal 10 2 2 2 4 2" xfId="332"/>
    <cellStyle name="Normal 10 2 2 2 4 2 2" xfId="333"/>
    <cellStyle name="Normal 10 2 2 2 4 2 2 2" xfId="334"/>
    <cellStyle name="Normal 10 2 2 2 4 2 2 2 2" xfId="335"/>
    <cellStyle name="Normal 10 2 2 2 4 2 2 3" xfId="336"/>
    <cellStyle name="Normal 10 2 2 2 4 2 3" xfId="337"/>
    <cellStyle name="Normal 10 2 2 2 4 2 3 2" xfId="338"/>
    <cellStyle name="Normal 10 2 2 2 4 2 4" xfId="339"/>
    <cellStyle name="Normal 10 2 2 2 4 3" xfId="340"/>
    <cellStyle name="Normal 10 2 2 2 4 3 2" xfId="341"/>
    <cellStyle name="Normal 10 2 2 2 4 3 2 2" xfId="342"/>
    <cellStyle name="Normal 10 2 2 2 4 3 2 2 2" xfId="343"/>
    <cellStyle name="Normal 10 2 2 2 4 3 2 3" xfId="344"/>
    <cellStyle name="Normal 10 2 2 2 4 3 3" xfId="345"/>
    <cellStyle name="Normal 10 2 2 2 4 3 3 2" xfId="346"/>
    <cellStyle name="Normal 10 2 2 2 4 3 4" xfId="347"/>
    <cellStyle name="Normal 10 2 2 2 4 4" xfId="348"/>
    <cellStyle name="Normal 10 2 2 2 4 4 2" xfId="349"/>
    <cellStyle name="Normal 10 2 2 2 4 4 2 2" xfId="350"/>
    <cellStyle name="Normal 10 2 2 2 4 4 3" xfId="351"/>
    <cellStyle name="Normal 10 2 2 2 4 5" xfId="352"/>
    <cellStyle name="Normal 10 2 2 2 4 5 2" xfId="353"/>
    <cellStyle name="Normal 10 2 2 2 4 6" xfId="354"/>
    <cellStyle name="Normal 10 2 2 2 5" xfId="355"/>
    <cellStyle name="Normal 10 2 2 2 5 2" xfId="356"/>
    <cellStyle name="Normal 10 2 2 2 5 2 2" xfId="357"/>
    <cellStyle name="Normal 10 2 2 2 5 2 2 2" xfId="358"/>
    <cellStyle name="Normal 10 2 2 2 5 2 3" xfId="359"/>
    <cellStyle name="Normal 10 2 2 2 5 3" xfId="360"/>
    <cellStyle name="Normal 10 2 2 2 5 3 2" xfId="361"/>
    <cellStyle name="Normal 10 2 2 2 5 4" xfId="362"/>
    <cellStyle name="Normal 10 2 2 2 6" xfId="363"/>
    <cellStyle name="Normal 10 2 2 2 6 2" xfId="364"/>
    <cellStyle name="Normal 10 2 2 2 6 2 2" xfId="365"/>
    <cellStyle name="Normal 10 2 2 2 6 2 2 2" xfId="366"/>
    <cellStyle name="Normal 10 2 2 2 6 2 3" xfId="367"/>
    <cellStyle name="Normal 10 2 2 2 6 3" xfId="368"/>
    <cellStyle name="Normal 10 2 2 2 6 3 2" xfId="369"/>
    <cellStyle name="Normal 10 2 2 2 6 4" xfId="370"/>
    <cellStyle name="Normal 10 2 2 2 7" xfId="371"/>
    <cellStyle name="Normal 10 2 2 2 7 2" xfId="372"/>
    <cellStyle name="Normal 10 2 2 2 7 2 2" xfId="373"/>
    <cellStyle name="Normal 10 2 2 2 7 2 2 2" xfId="374"/>
    <cellStyle name="Normal 10 2 2 2 7 2 3" xfId="375"/>
    <cellStyle name="Normal 10 2 2 2 7 3" xfId="376"/>
    <cellStyle name="Normal 10 2 2 2 7 3 2" xfId="377"/>
    <cellStyle name="Normal 10 2 2 2 7 4" xfId="378"/>
    <cellStyle name="Normal 10 2 2 2 8" xfId="379"/>
    <cellStyle name="Normal 10 2 2 2 8 2" xfId="380"/>
    <cellStyle name="Normal 10 2 2 2 8 2 2" xfId="381"/>
    <cellStyle name="Normal 10 2 2 2 8 3" xfId="382"/>
    <cellStyle name="Normal 10 2 2 2 9" xfId="383"/>
    <cellStyle name="Normal 10 2 2 2 9 2" xfId="384"/>
    <cellStyle name="Normal 10 2 2 3" xfId="385"/>
    <cellStyle name="Normal 10 2 2 3 2" xfId="386"/>
    <cellStyle name="Normal 10 2 2 3 2 2" xfId="387"/>
    <cellStyle name="Normal 10 2 2 3 2 2 2" xfId="388"/>
    <cellStyle name="Normal 10 2 2 3 2 2 2 2" xfId="389"/>
    <cellStyle name="Normal 10 2 2 3 2 2 2 2 2" xfId="390"/>
    <cellStyle name="Normal 10 2 2 3 2 2 2 2 2 2" xfId="391"/>
    <cellStyle name="Normal 10 2 2 3 2 2 2 2 3" xfId="392"/>
    <cellStyle name="Normal 10 2 2 3 2 2 2 3" xfId="393"/>
    <cellStyle name="Normal 10 2 2 3 2 2 2 3 2" xfId="394"/>
    <cellStyle name="Normal 10 2 2 3 2 2 2 4" xfId="395"/>
    <cellStyle name="Normal 10 2 2 3 2 2 3" xfId="396"/>
    <cellStyle name="Normal 10 2 2 3 2 2 3 2" xfId="397"/>
    <cellStyle name="Normal 10 2 2 3 2 2 3 2 2" xfId="398"/>
    <cellStyle name="Normal 10 2 2 3 2 2 3 2 2 2" xfId="399"/>
    <cellStyle name="Normal 10 2 2 3 2 2 3 2 3" xfId="400"/>
    <cellStyle name="Normal 10 2 2 3 2 2 3 3" xfId="401"/>
    <cellStyle name="Normal 10 2 2 3 2 2 3 3 2" xfId="402"/>
    <cellStyle name="Normal 10 2 2 3 2 2 3 4" xfId="403"/>
    <cellStyle name="Normal 10 2 2 3 2 2 4" xfId="404"/>
    <cellStyle name="Normal 10 2 2 3 2 2 4 2" xfId="405"/>
    <cellStyle name="Normal 10 2 2 3 2 2 4 2 2" xfId="406"/>
    <cellStyle name="Normal 10 2 2 3 2 2 4 3" xfId="407"/>
    <cellStyle name="Normal 10 2 2 3 2 2 5" xfId="408"/>
    <cellStyle name="Normal 10 2 2 3 2 2 5 2" xfId="409"/>
    <cellStyle name="Normal 10 2 2 3 2 2 6" xfId="410"/>
    <cellStyle name="Normal 10 2 2 3 2 3" xfId="411"/>
    <cellStyle name="Normal 10 2 2 3 2 3 2" xfId="412"/>
    <cellStyle name="Normal 10 2 2 3 2 3 2 2" xfId="413"/>
    <cellStyle name="Normal 10 2 2 3 2 3 2 2 2" xfId="414"/>
    <cellStyle name="Normal 10 2 2 3 2 3 2 3" xfId="415"/>
    <cellStyle name="Normal 10 2 2 3 2 3 3" xfId="416"/>
    <cellStyle name="Normal 10 2 2 3 2 3 3 2" xfId="417"/>
    <cellStyle name="Normal 10 2 2 3 2 3 4" xfId="418"/>
    <cellStyle name="Normal 10 2 2 3 2 4" xfId="419"/>
    <cellStyle name="Normal 10 2 2 3 2 4 2" xfId="420"/>
    <cellStyle name="Normal 10 2 2 3 2 4 2 2" xfId="421"/>
    <cellStyle name="Normal 10 2 2 3 2 4 2 2 2" xfId="422"/>
    <cellStyle name="Normal 10 2 2 3 2 4 2 3" xfId="423"/>
    <cellStyle name="Normal 10 2 2 3 2 4 3" xfId="424"/>
    <cellStyle name="Normal 10 2 2 3 2 4 3 2" xfId="425"/>
    <cellStyle name="Normal 10 2 2 3 2 4 4" xfId="426"/>
    <cellStyle name="Normal 10 2 2 3 2 5" xfId="427"/>
    <cellStyle name="Normal 10 2 2 3 2 5 2" xfId="428"/>
    <cellStyle name="Normal 10 2 2 3 2 5 2 2" xfId="429"/>
    <cellStyle name="Normal 10 2 2 3 2 5 3" xfId="430"/>
    <cellStyle name="Normal 10 2 2 3 2 6" xfId="431"/>
    <cellStyle name="Normal 10 2 2 3 2 6 2" xfId="432"/>
    <cellStyle name="Normal 10 2 2 3 2 7" xfId="433"/>
    <cellStyle name="Normal 10 2 2 3 3" xfId="434"/>
    <cellStyle name="Normal 10 2 2 3 3 2" xfId="435"/>
    <cellStyle name="Normal 10 2 2 3 3 2 2" xfId="436"/>
    <cellStyle name="Normal 10 2 2 3 3 2 2 2" xfId="437"/>
    <cellStyle name="Normal 10 2 2 3 3 2 2 2 2" xfId="438"/>
    <cellStyle name="Normal 10 2 2 3 3 2 2 3" xfId="439"/>
    <cellStyle name="Normal 10 2 2 3 3 2 3" xfId="440"/>
    <cellStyle name="Normal 10 2 2 3 3 2 3 2" xfId="441"/>
    <cellStyle name="Normal 10 2 2 3 3 2 4" xfId="442"/>
    <cellStyle name="Normal 10 2 2 3 3 3" xfId="443"/>
    <cellStyle name="Normal 10 2 2 3 3 3 2" xfId="444"/>
    <cellStyle name="Normal 10 2 2 3 3 3 2 2" xfId="445"/>
    <cellStyle name="Normal 10 2 2 3 3 3 2 2 2" xfId="446"/>
    <cellStyle name="Normal 10 2 2 3 3 3 2 3" xfId="447"/>
    <cellStyle name="Normal 10 2 2 3 3 3 3" xfId="448"/>
    <cellStyle name="Normal 10 2 2 3 3 3 3 2" xfId="449"/>
    <cellStyle name="Normal 10 2 2 3 3 3 4" xfId="450"/>
    <cellStyle name="Normal 10 2 2 3 3 4" xfId="451"/>
    <cellStyle name="Normal 10 2 2 3 3 4 2" xfId="452"/>
    <cellStyle name="Normal 10 2 2 3 3 4 2 2" xfId="453"/>
    <cellStyle name="Normal 10 2 2 3 3 4 3" xfId="454"/>
    <cellStyle name="Normal 10 2 2 3 3 5" xfId="455"/>
    <cellStyle name="Normal 10 2 2 3 3 5 2" xfId="456"/>
    <cellStyle name="Normal 10 2 2 3 3 6" xfId="457"/>
    <cellStyle name="Normal 10 2 2 3 4" xfId="458"/>
    <cellStyle name="Normal 10 2 2 3 4 2" xfId="459"/>
    <cellStyle name="Normal 10 2 2 3 4 2 2" xfId="460"/>
    <cellStyle name="Normal 10 2 2 3 4 2 2 2" xfId="461"/>
    <cellStyle name="Normal 10 2 2 3 4 2 3" xfId="462"/>
    <cellStyle name="Normal 10 2 2 3 4 3" xfId="463"/>
    <cellStyle name="Normal 10 2 2 3 4 3 2" xfId="464"/>
    <cellStyle name="Normal 10 2 2 3 4 4" xfId="465"/>
    <cellStyle name="Normal 10 2 2 3 5" xfId="466"/>
    <cellStyle name="Normal 10 2 2 3 5 2" xfId="467"/>
    <cellStyle name="Normal 10 2 2 3 5 2 2" xfId="468"/>
    <cellStyle name="Normal 10 2 2 3 5 2 2 2" xfId="469"/>
    <cellStyle name="Normal 10 2 2 3 5 2 3" xfId="470"/>
    <cellStyle name="Normal 10 2 2 3 5 3" xfId="471"/>
    <cellStyle name="Normal 10 2 2 3 5 3 2" xfId="472"/>
    <cellStyle name="Normal 10 2 2 3 5 4" xfId="473"/>
    <cellStyle name="Normal 10 2 2 3 6" xfId="474"/>
    <cellStyle name="Normal 10 2 2 3 6 2" xfId="475"/>
    <cellStyle name="Normal 10 2 2 3 6 2 2" xfId="476"/>
    <cellStyle name="Normal 10 2 2 3 6 2 2 2" xfId="477"/>
    <cellStyle name="Normal 10 2 2 3 6 2 3" xfId="478"/>
    <cellStyle name="Normal 10 2 2 3 6 3" xfId="479"/>
    <cellStyle name="Normal 10 2 2 3 6 3 2" xfId="480"/>
    <cellStyle name="Normal 10 2 2 3 6 4" xfId="481"/>
    <cellStyle name="Normal 10 2 2 3 7" xfId="482"/>
    <cellStyle name="Normal 10 2 2 3 7 2" xfId="483"/>
    <cellStyle name="Normal 10 2 2 3 7 2 2" xfId="484"/>
    <cellStyle name="Normal 10 2 2 3 7 3" xfId="485"/>
    <cellStyle name="Normal 10 2 2 3 8" xfId="486"/>
    <cellStyle name="Normal 10 2 2 3 8 2" xfId="487"/>
    <cellStyle name="Normal 10 2 2 3 9" xfId="488"/>
    <cellStyle name="Normal 10 2 2 4" xfId="489"/>
    <cellStyle name="Normal 10 2 2 4 2" xfId="490"/>
    <cellStyle name="Normal 10 2 2 4 2 2" xfId="491"/>
    <cellStyle name="Normal 10 2 2 4 2 2 2" xfId="492"/>
    <cellStyle name="Normal 10 2 2 4 2 2 2 2" xfId="493"/>
    <cellStyle name="Normal 10 2 2 4 2 2 2 2 2" xfId="494"/>
    <cellStyle name="Normal 10 2 2 4 2 2 2 3" xfId="495"/>
    <cellStyle name="Normal 10 2 2 4 2 2 3" xfId="496"/>
    <cellStyle name="Normal 10 2 2 4 2 2 3 2" xfId="497"/>
    <cellStyle name="Normal 10 2 2 4 2 2 4" xfId="498"/>
    <cellStyle name="Normal 10 2 2 4 2 3" xfId="499"/>
    <cellStyle name="Normal 10 2 2 4 2 3 2" xfId="500"/>
    <cellStyle name="Normal 10 2 2 4 2 3 2 2" xfId="501"/>
    <cellStyle name="Normal 10 2 2 4 2 3 2 2 2" xfId="502"/>
    <cellStyle name="Normal 10 2 2 4 2 3 2 3" xfId="503"/>
    <cellStyle name="Normal 10 2 2 4 2 3 3" xfId="504"/>
    <cellStyle name="Normal 10 2 2 4 2 3 3 2" xfId="505"/>
    <cellStyle name="Normal 10 2 2 4 2 3 4" xfId="506"/>
    <cellStyle name="Normal 10 2 2 4 2 4" xfId="507"/>
    <cellStyle name="Normal 10 2 2 4 2 4 2" xfId="508"/>
    <cellStyle name="Normal 10 2 2 4 2 4 2 2" xfId="509"/>
    <cellStyle name="Normal 10 2 2 4 2 4 3" xfId="510"/>
    <cellStyle name="Normal 10 2 2 4 2 5" xfId="511"/>
    <cellStyle name="Normal 10 2 2 4 2 5 2" xfId="512"/>
    <cellStyle name="Normal 10 2 2 4 2 6" xfId="513"/>
    <cellStyle name="Normal 10 2 2 4 3" xfId="514"/>
    <cellStyle name="Normal 10 2 2 4 3 2" xfId="515"/>
    <cellStyle name="Normal 10 2 2 4 3 2 2" xfId="516"/>
    <cellStyle name="Normal 10 2 2 4 3 2 2 2" xfId="517"/>
    <cellStyle name="Normal 10 2 2 4 3 2 3" xfId="518"/>
    <cellStyle name="Normal 10 2 2 4 3 3" xfId="519"/>
    <cellStyle name="Normal 10 2 2 4 3 3 2" xfId="520"/>
    <cellStyle name="Normal 10 2 2 4 3 4" xfId="521"/>
    <cellStyle name="Normal 10 2 2 4 4" xfId="522"/>
    <cellStyle name="Normal 10 2 2 4 4 2" xfId="523"/>
    <cellStyle name="Normal 10 2 2 4 4 2 2" xfId="524"/>
    <cellStyle name="Normal 10 2 2 4 4 2 2 2" xfId="525"/>
    <cellStyle name="Normal 10 2 2 4 4 2 3" xfId="526"/>
    <cellStyle name="Normal 10 2 2 4 4 3" xfId="527"/>
    <cellStyle name="Normal 10 2 2 4 4 3 2" xfId="528"/>
    <cellStyle name="Normal 10 2 2 4 4 4" xfId="529"/>
    <cellStyle name="Normal 10 2 2 4 5" xfId="530"/>
    <cellStyle name="Normal 10 2 2 4 5 2" xfId="531"/>
    <cellStyle name="Normal 10 2 2 4 5 2 2" xfId="532"/>
    <cellStyle name="Normal 10 2 2 4 5 3" xfId="533"/>
    <cellStyle name="Normal 10 2 2 4 6" xfId="534"/>
    <cellStyle name="Normal 10 2 2 4 6 2" xfId="535"/>
    <cellStyle name="Normal 10 2 2 4 7" xfId="536"/>
    <cellStyle name="Normal 10 2 2 5" xfId="537"/>
    <cellStyle name="Normal 10 2 2 5 2" xfId="538"/>
    <cellStyle name="Normal 10 2 2 5 2 2" xfId="539"/>
    <cellStyle name="Normal 10 2 2 5 2 2 2" xfId="540"/>
    <cellStyle name="Normal 10 2 2 5 2 2 2 2" xfId="541"/>
    <cellStyle name="Normal 10 2 2 5 2 2 3" xfId="542"/>
    <cellStyle name="Normal 10 2 2 5 2 3" xfId="543"/>
    <cellStyle name="Normal 10 2 2 5 2 3 2" xfId="544"/>
    <cellStyle name="Normal 10 2 2 5 2 4" xfId="545"/>
    <cellStyle name="Normal 10 2 2 5 3" xfId="546"/>
    <cellStyle name="Normal 10 2 2 5 3 2" xfId="547"/>
    <cellStyle name="Normal 10 2 2 5 3 2 2" xfId="548"/>
    <cellStyle name="Normal 10 2 2 5 3 2 2 2" xfId="549"/>
    <cellStyle name="Normal 10 2 2 5 3 2 3" xfId="550"/>
    <cellStyle name="Normal 10 2 2 5 3 3" xfId="551"/>
    <cellStyle name="Normal 10 2 2 5 3 3 2" xfId="552"/>
    <cellStyle name="Normal 10 2 2 5 3 4" xfId="553"/>
    <cellStyle name="Normal 10 2 2 5 4" xfId="554"/>
    <cellStyle name="Normal 10 2 2 5 4 2" xfId="555"/>
    <cellStyle name="Normal 10 2 2 5 4 2 2" xfId="556"/>
    <cellStyle name="Normal 10 2 2 5 4 3" xfId="557"/>
    <cellStyle name="Normal 10 2 2 5 5" xfId="558"/>
    <cellStyle name="Normal 10 2 2 5 5 2" xfId="559"/>
    <cellStyle name="Normal 10 2 2 5 6" xfId="560"/>
    <cellStyle name="Normal 10 2 2 6" xfId="561"/>
    <cellStyle name="Normal 10 2 2 6 2" xfId="562"/>
    <cellStyle name="Normal 10 2 2 6 2 2" xfId="563"/>
    <cellStyle name="Normal 10 2 2 6 2 2 2" xfId="564"/>
    <cellStyle name="Normal 10 2 2 6 2 3" xfId="565"/>
    <cellStyle name="Normal 10 2 2 6 3" xfId="566"/>
    <cellStyle name="Normal 10 2 2 6 3 2" xfId="567"/>
    <cellStyle name="Normal 10 2 2 6 4" xfId="568"/>
    <cellStyle name="Normal 10 2 2 7" xfId="569"/>
    <cellStyle name="Normal 10 2 2 7 2" xfId="570"/>
    <cellStyle name="Normal 10 2 2 7 2 2" xfId="571"/>
    <cellStyle name="Normal 10 2 2 7 2 2 2" xfId="572"/>
    <cellStyle name="Normal 10 2 2 7 2 3" xfId="573"/>
    <cellStyle name="Normal 10 2 2 7 3" xfId="574"/>
    <cellStyle name="Normal 10 2 2 7 3 2" xfId="575"/>
    <cellStyle name="Normal 10 2 2 7 4" xfId="576"/>
    <cellStyle name="Normal 10 2 2 8" xfId="577"/>
    <cellStyle name="Normal 10 2 2 8 2" xfId="578"/>
    <cellStyle name="Normal 10 2 2 8 2 2" xfId="579"/>
    <cellStyle name="Normal 10 2 2 8 2 2 2" xfId="580"/>
    <cellStyle name="Normal 10 2 2 8 2 3" xfId="581"/>
    <cellStyle name="Normal 10 2 2 8 3" xfId="582"/>
    <cellStyle name="Normal 10 2 2 8 3 2" xfId="583"/>
    <cellStyle name="Normal 10 2 2 8 4" xfId="584"/>
    <cellStyle name="Normal 10 2 2 9" xfId="585"/>
    <cellStyle name="Normal 10 2 2 9 2" xfId="586"/>
    <cellStyle name="Normal 10 2 2 9 2 2" xfId="587"/>
    <cellStyle name="Normal 10 2 2 9 3" xfId="588"/>
    <cellStyle name="Normal 10 2 3" xfId="589"/>
    <cellStyle name="Normal 10 2 3 10" xfId="590"/>
    <cellStyle name="Normal 10 2 3 2" xfId="591"/>
    <cellStyle name="Normal 10 2 3 2 2" xfId="592"/>
    <cellStyle name="Normal 10 2 3 2 2 2" xfId="593"/>
    <cellStyle name="Normal 10 2 3 2 2 2 2" xfId="594"/>
    <cellStyle name="Normal 10 2 3 2 2 2 2 2" xfId="595"/>
    <cellStyle name="Normal 10 2 3 2 2 2 2 2 2" xfId="596"/>
    <cellStyle name="Normal 10 2 3 2 2 2 2 2 2 2" xfId="597"/>
    <cellStyle name="Normal 10 2 3 2 2 2 2 2 3" xfId="598"/>
    <cellStyle name="Normal 10 2 3 2 2 2 2 3" xfId="599"/>
    <cellStyle name="Normal 10 2 3 2 2 2 2 3 2" xfId="600"/>
    <cellStyle name="Normal 10 2 3 2 2 2 2 4" xfId="601"/>
    <cellStyle name="Normal 10 2 3 2 2 2 3" xfId="602"/>
    <cellStyle name="Normal 10 2 3 2 2 2 3 2" xfId="603"/>
    <cellStyle name="Normal 10 2 3 2 2 2 3 2 2" xfId="604"/>
    <cellStyle name="Normal 10 2 3 2 2 2 3 2 2 2" xfId="605"/>
    <cellStyle name="Normal 10 2 3 2 2 2 3 2 3" xfId="606"/>
    <cellStyle name="Normal 10 2 3 2 2 2 3 3" xfId="607"/>
    <cellStyle name="Normal 10 2 3 2 2 2 3 3 2" xfId="608"/>
    <cellStyle name="Normal 10 2 3 2 2 2 3 4" xfId="609"/>
    <cellStyle name="Normal 10 2 3 2 2 2 4" xfId="610"/>
    <cellStyle name="Normal 10 2 3 2 2 2 4 2" xfId="611"/>
    <cellStyle name="Normal 10 2 3 2 2 2 4 2 2" xfId="612"/>
    <cellStyle name="Normal 10 2 3 2 2 2 4 3" xfId="613"/>
    <cellStyle name="Normal 10 2 3 2 2 2 5" xfId="614"/>
    <cellStyle name="Normal 10 2 3 2 2 2 5 2" xfId="615"/>
    <cellStyle name="Normal 10 2 3 2 2 2 6" xfId="616"/>
    <cellStyle name="Normal 10 2 3 2 2 3" xfId="617"/>
    <cellStyle name="Normal 10 2 3 2 2 3 2" xfId="618"/>
    <cellStyle name="Normal 10 2 3 2 2 3 2 2" xfId="619"/>
    <cellStyle name="Normal 10 2 3 2 2 3 2 2 2" xfId="620"/>
    <cellStyle name="Normal 10 2 3 2 2 3 2 3" xfId="621"/>
    <cellStyle name="Normal 10 2 3 2 2 3 3" xfId="622"/>
    <cellStyle name="Normal 10 2 3 2 2 3 3 2" xfId="623"/>
    <cellStyle name="Normal 10 2 3 2 2 3 4" xfId="624"/>
    <cellStyle name="Normal 10 2 3 2 2 4" xfId="625"/>
    <cellStyle name="Normal 10 2 3 2 2 4 2" xfId="626"/>
    <cellStyle name="Normal 10 2 3 2 2 4 2 2" xfId="627"/>
    <cellStyle name="Normal 10 2 3 2 2 4 2 2 2" xfId="628"/>
    <cellStyle name="Normal 10 2 3 2 2 4 2 3" xfId="629"/>
    <cellStyle name="Normal 10 2 3 2 2 4 3" xfId="630"/>
    <cellStyle name="Normal 10 2 3 2 2 4 3 2" xfId="631"/>
    <cellStyle name="Normal 10 2 3 2 2 4 4" xfId="632"/>
    <cellStyle name="Normal 10 2 3 2 2 5" xfId="633"/>
    <cellStyle name="Normal 10 2 3 2 2 5 2" xfId="634"/>
    <cellStyle name="Normal 10 2 3 2 2 5 2 2" xfId="635"/>
    <cellStyle name="Normal 10 2 3 2 2 5 3" xfId="636"/>
    <cellStyle name="Normal 10 2 3 2 2 6" xfId="637"/>
    <cellStyle name="Normal 10 2 3 2 2 6 2" xfId="638"/>
    <cellStyle name="Normal 10 2 3 2 2 7" xfId="639"/>
    <cellStyle name="Normal 10 2 3 2 3" xfId="640"/>
    <cellStyle name="Normal 10 2 3 2 3 2" xfId="641"/>
    <cellStyle name="Normal 10 2 3 2 3 2 2" xfId="642"/>
    <cellStyle name="Normal 10 2 3 2 3 2 2 2" xfId="643"/>
    <cellStyle name="Normal 10 2 3 2 3 2 2 2 2" xfId="644"/>
    <cellStyle name="Normal 10 2 3 2 3 2 2 3" xfId="645"/>
    <cellStyle name="Normal 10 2 3 2 3 2 3" xfId="646"/>
    <cellStyle name="Normal 10 2 3 2 3 2 3 2" xfId="647"/>
    <cellStyle name="Normal 10 2 3 2 3 2 4" xfId="648"/>
    <cellStyle name="Normal 10 2 3 2 3 3" xfId="649"/>
    <cellStyle name="Normal 10 2 3 2 3 3 2" xfId="650"/>
    <cellStyle name="Normal 10 2 3 2 3 3 2 2" xfId="651"/>
    <cellStyle name="Normal 10 2 3 2 3 3 2 2 2" xfId="652"/>
    <cellStyle name="Normal 10 2 3 2 3 3 2 3" xfId="653"/>
    <cellStyle name="Normal 10 2 3 2 3 3 3" xfId="654"/>
    <cellStyle name="Normal 10 2 3 2 3 3 3 2" xfId="655"/>
    <cellStyle name="Normal 10 2 3 2 3 3 4" xfId="656"/>
    <cellStyle name="Normal 10 2 3 2 3 4" xfId="657"/>
    <cellStyle name="Normal 10 2 3 2 3 4 2" xfId="658"/>
    <cellStyle name="Normal 10 2 3 2 3 4 2 2" xfId="659"/>
    <cellStyle name="Normal 10 2 3 2 3 4 3" xfId="660"/>
    <cellStyle name="Normal 10 2 3 2 3 5" xfId="661"/>
    <cellStyle name="Normal 10 2 3 2 3 5 2" xfId="662"/>
    <cellStyle name="Normal 10 2 3 2 3 6" xfId="663"/>
    <cellStyle name="Normal 10 2 3 2 4" xfId="664"/>
    <cellStyle name="Normal 10 2 3 2 4 2" xfId="665"/>
    <cellStyle name="Normal 10 2 3 2 4 2 2" xfId="666"/>
    <cellStyle name="Normal 10 2 3 2 4 2 2 2" xfId="667"/>
    <cellStyle name="Normal 10 2 3 2 4 2 3" xfId="668"/>
    <cellStyle name="Normal 10 2 3 2 4 3" xfId="669"/>
    <cellStyle name="Normal 10 2 3 2 4 3 2" xfId="670"/>
    <cellStyle name="Normal 10 2 3 2 4 4" xfId="671"/>
    <cellStyle name="Normal 10 2 3 2 5" xfId="672"/>
    <cellStyle name="Normal 10 2 3 2 5 2" xfId="673"/>
    <cellStyle name="Normal 10 2 3 2 5 2 2" xfId="674"/>
    <cellStyle name="Normal 10 2 3 2 5 2 2 2" xfId="675"/>
    <cellStyle name="Normal 10 2 3 2 5 2 3" xfId="676"/>
    <cellStyle name="Normal 10 2 3 2 5 3" xfId="677"/>
    <cellStyle name="Normal 10 2 3 2 5 3 2" xfId="678"/>
    <cellStyle name="Normal 10 2 3 2 5 4" xfId="679"/>
    <cellStyle name="Normal 10 2 3 2 6" xfId="680"/>
    <cellStyle name="Normal 10 2 3 2 6 2" xfId="681"/>
    <cellStyle name="Normal 10 2 3 2 6 2 2" xfId="682"/>
    <cellStyle name="Normal 10 2 3 2 6 2 2 2" xfId="683"/>
    <cellStyle name="Normal 10 2 3 2 6 2 3" xfId="684"/>
    <cellStyle name="Normal 10 2 3 2 6 3" xfId="685"/>
    <cellStyle name="Normal 10 2 3 2 6 3 2" xfId="686"/>
    <cellStyle name="Normal 10 2 3 2 6 4" xfId="687"/>
    <cellStyle name="Normal 10 2 3 2 7" xfId="688"/>
    <cellStyle name="Normal 10 2 3 2 7 2" xfId="689"/>
    <cellStyle name="Normal 10 2 3 2 7 2 2" xfId="690"/>
    <cellStyle name="Normal 10 2 3 2 7 3" xfId="691"/>
    <cellStyle name="Normal 10 2 3 2 8" xfId="692"/>
    <cellStyle name="Normal 10 2 3 2 8 2" xfId="693"/>
    <cellStyle name="Normal 10 2 3 2 9" xfId="694"/>
    <cellStyle name="Normal 10 2 3 3" xfId="695"/>
    <cellStyle name="Normal 10 2 3 3 2" xfId="696"/>
    <cellStyle name="Normal 10 2 3 3 2 2" xfId="697"/>
    <cellStyle name="Normal 10 2 3 3 2 2 2" xfId="698"/>
    <cellStyle name="Normal 10 2 3 3 2 2 2 2" xfId="699"/>
    <cellStyle name="Normal 10 2 3 3 2 2 2 2 2" xfId="700"/>
    <cellStyle name="Normal 10 2 3 3 2 2 2 3" xfId="701"/>
    <cellStyle name="Normal 10 2 3 3 2 2 3" xfId="702"/>
    <cellStyle name="Normal 10 2 3 3 2 2 3 2" xfId="703"/>
    <cellStyle name="Normal 10 2 3 3 2 2 4" xfId="704"/>
    <cellStyle name="Normal 10 2 3 3 2 3" xfId="705"/>
    <cellStyle name="Normal 10 2 3 3 2 3 2" xfId="706"/>
    <cellStyle name="Normal 10 2 3 3 2 3 2 2" xfId="707"/>
    <cellStyle name="Normal 10 2 3 3 2 3 2 2 2" xfId="708"/>
    <cellStyle name="Normal 10 2 3 3 2 3 2 3" xfId="709"/>
    <cellStyle name="Normal 10 2 3 3 2 3 3" xfId="710"/>
    <cellStyle name="Normal 10 2 3 3 2 3 3 2" xfId="711"/>
    <cellStyle name="Normal 10 2 3 3 2 3 4" xfId="712"/>
    <cellStyle name="Normal 10 2 3 3 2 4" xfId="713"/>
    <cellStyle name="Normal 10 2 3 3 2 4 2" xfId="714"/>
    <cellStyle name="Normal 10 2 3 3 2 4 2 2" xfId="715"/>
    <cellStyle name="Normal 10 2 3 3 2 4 3" xfId="716"/>
    <cellStyle name="Normal 10 2 3 3 2 5" xfId="717"/>
    <cellStyle name="Normal 10 2 3 3 2 5 2" xfId="718"/>
    <cellStyle name="Normal 10 2 3 3 2 6" xfId="719"/>
    <cellStyle name="Normal 10 2 3 3 3" xfId="720"/>
    <cellStyle name="Normal 10 2 3 3 3 2" xfId="721"/>
    <cellStyle name="Normal 10 2 3 3 3 2 2" xfId="722"/>
    <cellStyle name="Normal 10 2 3 3 3 2 2 2" xfId="723"/>
    <cellStyle name="Normal 10 2 3 3 3 2 3" xfId="724"/>
    <cellStyle name="Normal 10 2 3 3 3 3" xfId="725"/>
    <cellStyle name="Normal 10 2 3 3 3 3 2" xfId="726"/>
    <cellStyle name="Normal 10 2 3 3 3 4" xfId="727"/>
    <cellStyle name="Normal 10 2 3 3 4" xfId="728"/>
    <cellStyle name="Normal 10 2 3 3 4 2" xfId="729"/>
    <cellStyle name="Normal 10 2 3 3 4 2 2" xfId="730"/>
    <cellStyle name="Normal 10 2 3 3 4 2 2 2" xfId="731"/>
    <cellStyle name="Normal 10 2 3 3 4 2 3" xfId="732"/>
    <cellStyle name="Normal 10 2 3 3 4 3" xfId="733"/>
    <cellStyle name="Normal 10 2 3 3 4 3 2" xfId="734"/>
    <cellStyle name="Normal 10 2 3 3 4 4" xfId="735"/>
    <cellStyle name="Normal 10 2 3 3 5" xfId="736"/>
    <cellStyle name="Normal 10 2 3 3 5 2" xfId="737"/>
    <cellStyle name="Normal 10 2 3 3 5 2 2" xfId="738"/>
    <cellStyle name="Normal 10 2 3 3 5 3" xfId="739"/>
    <cellStyle name="Normal 10 2 3 3 6" xfId="740"/>
    <cellStyle name="Normal 10 2 3 3 6 2" xfId="741"/>
    <cellStyle name="Normal 10 2 3 3 7" xfId="742"/>
    <cellStyle name="Normal 10 2 3 4" xfId="743"/>
    <cellStyle name="Normal 10 2 3 4 2" xfId="744"/>
    <cellStyle name="Normal 10 2 3 4 2 2" xfId="745"/>
    <cellStyle name="Normal 10 2 3 4 2 2 2" xfId="746"/>
    <cellStyle name="Normal 10 2 3 4 2 2 2 2" xfId="747"/>
    <cellStyle name="Normal 10 2 3 4 2 2 3" xfId="748"/>
    <cellStyle name="Normal 10 2 3 4 2 3" xfId="749"/>
    <cellStyle name="Normal 10 2 3 4 2 3 2" xfId="750"/>
    <cellStyle name="Normal 10 2 3 4 2 4" xfId="751"/>
    <cellStyle name="Normal 10 2 3 4 3" xfId="752"/>
    <cellStyle name="Normal 10 2 3 4 3 2" xfId="753"/>
    <cellStyle name="Normal 10 2 3 4 3 2 2" xfId="754"/>
    <cellStyle name="Normal 10 2 3 4 3 2 2 2" xfId="755"/>
    <cellStyle name="Normal 10 2 3 4 3 2 3" xfId="756"/>
    <cellStyle name="Normal 10 2 3 4 3 3" xfId="757"/>
    <cellStyle name="Normal 10 2 3 4 3 3 2" xfId="758"/>
    <cellStyle name="Normal 10 2 3 4 3 4" xfId="759"/>
    <cellStyle name="Normal 10 2 3 4 4" xfId="760"/>
    <cellStyle name="Normal 10 2 3 4 4 2" xfId="761"/>
    <cellStyle name="Normal 10 2 3 4 4 2 2" xfId="762"/>
    <cellStyle name="Normal 10 2 3 4 4 3" xfId="763"/>
    <cellStyle name="Normal 10 2 3 4 5" xfId="764"/>
    <cellStyle name="Normal 10 2 3 4 5 2" xfId="765"/>
    <cellStyle name="Normal 10 2 3 4 6" xfId="766"/>
    <cellStyle name="Normal 10 2 3 5" xfId="767"/>
    <cellStyle name="Normal 10 2 3 5 2" xfId="768"/>
    <cellStyle name="Normal 10 2 3 5 2 2" xfId="769"/>
    <cellStyle name="Normal 10 2 3 5 2 2 2" xfId="770"/>
    <cellStyle name="Normal 10 2 3 5 2 3" xfId="771"/>
    <cellStyle name="Normal 10 2 3 5 3" xfId="772"/>
    <cellStyle name="Normal 10 2 3 5 3 2" xfId="773"/>
    <cellStyle name="Normal 10 2 3 5 4" xfId="774"/>
    <cellStyle name="Normal 10 2 3 6" xfId="775"/>
    <cellStyle name="Normal 10 2 3 6 2" xfId="776"/>
    <cellStyle name="Normal 10 2 3 6 2 2" xfId="777"/>
    <cellStyle name="Normal 10 2 3 6 2 2 2" xfId="778"/>
    <cellStyle name="Normal 10 2 3 6 2 3" xfId="779"/>
    <cellStyle name="Normal 10 2 3 6 3" xfId="780"/>
    <cellStyle name="Normal 10 2 3 6 3 2" xfId="781"/>
    <cellStyle name="Normal 10 2 3 6 4" xfId="782"/>
    <cellStyle name="Normal 10 2 3 7" xfId="783"/>
    <cellStyle name="Normal 10 2 3 7 2" xfId="784"/>
    <cellStyle name="Normal 10 2 3 7 2 2" xfId="785"/>
    <cellStyle name="Normal 10 2 3 7 2 2 2" xfId="786"/>
    <cellStyle name="Normal 10 2 3 7 2 3" xfId="787"/>
    <cellStyle name="Normal 10 2 3 7 3" xfId="788"/>
    <cellStyle name="Normal 10 2 3 7 3 2" xfId="789"/>
    <cellStyle name="Normal 10 2 3 7 4" xfId="790"/>
    <cellStyle name="Normal 10 2 3 8" xfId="791"/>
    <cellStyle name="Normal 10 2 3 8 2" xfId="792"/>
    <cellStyle name="Normal 10 2 3 8 2 2" xfId="793"/>
    <cellStyle name="Normal 10 2 3 8 3" xfId="794"/>
    <cellStyle name="Normal 10 2 3 9" xfId="795"/>
    <cellStyle name="Normal 10 2 3 9 2" xfId="796"/>
    <cellStyle name="Normal 10 2 4" xfId="797"/>
    <cellStyle name="Normal 10 2 4 10" xfId="798"/>
    <cellStyle name="Normal 10 2 4 2" xfId="799"/>
    <cellStyle name="Normal 10 2 4 2 2" xfId="800"/>
    <cellStyle name="Normal 10 2 4 2 2 2" xfId="801"/>
    <cellStyle name="Normal 10 2 4 2 2 2 2" xfId="802"/>
    <cellStyle name="Normal 10 2 4 2 2 2 2 2" xfId="803"/>
    <cellStyle name="Normal 10 2 4 2 2 2 2 2 2" xfId="804"/>
    <cellStyle name="Normal 10 2 4 2 2 2 2 2 2 2" xfId="805"/>
    <cellStyle name="Normal 10 2 4 2 2 2 2 2 3" xfId="806"/>
    <cellStyle name="Normal 10 2 4 2 2 2 2 3" xfId="807"/>
    <cellStyle name="Normal 10 2 4 2 2 2 2 3 2" xfId="808"/>
    <cellStyle name="Normal 10 2 4 2 2 2 2 4" xfId="809"/>
    <cellStyle name="Normal 10 2 4 2 2 2 3" xfId="810"/>
    <cellStyle name="Normal 10 2 4 2 2 2 3 2" xfId="811"/>
    <cellStyle name="Normal 10 2 4 2 2 2 3 2 2" xfId="812"/>
    <cellStyle name="Normal 10 2 4 2 2 2 3 2 2 2" xfId="813"/>
    <cellStyle name="Normal 10 2 4 2 2 2 3 2 3" xfId="814"/>
    <cellStyle name="Normal 10 2 4 2 2 2 3 3" xfId="815"/>
    <cellStyle name="Normal 10 2 4 2 2 2 3 3 2" xfId="816"/>
    <cellStyle name="Normal 10 2 4 2 2 2 3 4" xfId="817"/>
    <cellStyle name="Normal 10 2 4 2 2 2 4" xfId="818"/>
    <cellStyle name="Normal 10 2 4 2 2 2 4 2" xfId="819"/>
    <cellStyle name="Normal 10 2 4 2 2 2 4 2 2" xfId="820"/>
    <cellStyle name="Normal 10 2 4 2 2 2 4 3" xfId="821"/>
    <cellStyle name="Normal 10 2 4 2 2 2 5" xfId="822"/>
    <cellStyle name="Normal 10 2 4 2 2 2 5 2" xfId="823"/>
    <cellStyle name="Normal 10 2 4 2 2 2 6" xfId="824"/>
    <cellStyle name="Normal 10 2 4 2 2 3" xfId="825"/>
    <cellStyle name="Normal 10 2 4 2 2 3 2" xfId="826"/>
    <cellStyle name="Normal 10 2 4 2 2 3 2 2" xfId="827"/>
    <cellStyle name="Normal 10 2 4 2 2 3 2 2 2" xfId="828"/>
    <cellStyle name="Normal 10 2 4 2 2 3 2 3" xfId="829"/>
    <cellStyle name="Normal 10 2 4 2 2 3 3" xfId="830"/>
    <cellStyle name="Normal 10 2 4 2 2 3 3 2" xfId="831"/>
    <cellStyle name="Normal 10 2 4 2 2 3 4" xfId="832"/>
    <cellStyle name="Normal 10 2 4 2 2 4" xfId="833"/>
    <cellStyle name="Normal 10 2 4 2 2 4 2" xfId="834"/>
    <cellStyle name="Normal 10 2 4 2 2 4 2 2" xfId="835"/>
    <cellStyle name="Normal 10 2 4 2 2 4 2 2 2" xfId="836"/>
    <cellStyle name="Normal 10 2 4 2 2 4 2 3" xfId="837"/>
    <cellStyle name="Normal 10 2 4 2 2 4 3" xfId="838"/>
    <cellStyle name="Normal 10 2 4 2 2 4 3 2" xfId="839"/>
    <cellStyle name="Normal 10 2 4 2 2 4 4" xfId="840"/>
    <cellStyle name="Normal 10 2 4 2 2 5" xfId="841"/>
    <cellStyle name="Normal 10 2 4 2 2 5 2" xfId="842"/>
    <cellStyle name="Normal 10 2 4 2 2 5 2 2" xfId="843"/>
    <cellStyle name="Normal 10 2 4 2 2 5 3" xfId="844"/>
    <cellStyle name="Normal 10 2 4 2 2 6" xfId="845"/>
    <cellStyle name="Normal 10 2 4 2 2 6 2" xfId="846"/>
    <cellStyle name="Normal 10 2 4 2 2 7" xfId="847"/>
    <cellStyle name="Normal 10 2 4 2 3" xfId="848"/>
    <cellStyle name="Normal 10 2 4 2 3 2" xfId="849"/>
    <cellStyle name="Normal 10 2 4 2 3 2 2" xfId="850"/>
    <cellStyle name="Normal 10 2 4 2 3 2 2 2" xfId="851"/>
    <cellStyle name="Normal 10 2 4 2 3 2 2 2 2" xfId="852"/>
    <cellStyle name="Normal 10 2 4 2 3 2 2 3" xfId="853"/>
    <cellStyle name="Normal 10 2 4 2 3 2 3" xfId="854"/>
    <cellStyle name="Normal 10 2 4 2 3 2 3 2" xfId="855"/>
    <cellStyle name="Normal 10 2 4 2 3 2 4" xfId="856"/>
    <cellStyle name="Normal 10 2 4 2 3 3" xfId="857"/>
    <cellStyle name="Normal 10 2 4 2 3 3 2" xfId="858"/>
    <cellStyle name="Normal 10 2 4 2 3 3 2 2" xfId="859"/>
    <cellStyle name="Normal 10 2 4 2 3 3 2 2 2" xfId="860"/>
    <cellStyle name="Normal 10 2 4 2 3 3 2 3" xfId="861"/>
    <cellStyle name="Normal 10 2 4 2 3 3 3" xfId="862"/>
    <cellStyle name="Normal 10 2 4 2 3 3 3 2" xfId="863"/>
    <cellStyle name="Normal 10 2 4 2 3 3 4" xfId="864"/>
    <cellStyle name="Normal 10 2 4 2 3 4" xfId="865"/>
    <cellStyle name="Normal 10 2 4 2 3 4 2" xfId="866"/>
    <cellStyle name="Normal 10 2 4 2 3 4 2 2" xfId="867"/>
    <cellStyle name="Normal 10 2 4 2 3 4 3" xfId="868"/>
    <cellStyle name="Normal 10 2 4 2 3 5" xfId="869"/>
    <cellStyle name="Normal 10 2 4 2 3 5 2" xfId="870"/>
    <cellStyle name="Normal 10 2 4 2 3 6" xfId="871"/>
    <cellStyle name="Normal 10 2 4 2 4" xfId="872"/>
    <cellStyle name="Normal 10 2 4 2 4 2" xfId="873"/>
    <cellStyle name="Normal 10 2 4 2 4 2 2" xfId="874"/>
    <cellStyle name="Normal 10 2 4 2 4 2 2 2" xfId="875"/>
    <cellStyle name="Normal 10 2 4 2 4 2 3" xfId="876"/>
    <cellStyle name="Normal 10 2 4 2 4 3" xfId="877"/>
    <cellStyle name="Normal 10 2 4 2 4 3 2" xfId="878"/>
    <cellStyle name="Normal 10 2 4 2 4 4" xfId="879"/>
    <cellStyle name="Normal 10 2 4 2 5" xfId="880"/>
    <cellStyle name="Normal 10 2 4 2 5 2" xfId="881"/>
    <cellStyle name="Normal 10 2 4 2 5 2 2" xfId="882"/>
    <cellStyle name="Normal 10 2 4 2 5 2 2 2" xfId="883"/>
    <cellStyle name="Normal 10 2 4 2 5 2 3" xfId="884"/>
    <cellStyle name="Normal 10 2 4 2 5 3" xfId="885"/>
    <cellStyle name="Normal 10 2 4 2 5 3 2" xfId="886"/>
    <cellStyle name="Normal 10 2 4 2 5 4" xfId="887"/>
    <cellStyle name="Normal 10 2 4 2 6" xfId="888"/>
    <cellStyle name="Normal 10 2 4 2 6 2" xfId="889"/>
    <cellStyle name="Normal 10 2 4 2 6 2 2" xfId="890"/>
    <cellStyle name="Normal 10 2 4 2 6 2 2 2" xfId="891"/>
    <cellStyle name="Normal 10 2 4 2 6 2 3" xfId="892"/>
    <cellStyle name="Normal 10 2 4 2 6 3" xfId="893"/>
    <cellStyle name="Normal 10 2 4 2 6 3 2" xfId="894"/>
    <cellStyle name="Normal 10 2 4 2 6 4" xfId="895"/>
    <cellStyle name="Normal 10 2 4 2 7" xfId="896"/>
    <cellStyle name="Normal 10 2 4 2 7 2" xfId="897"/>
    <cellStyle name="Normal 10 2 4 2 7 2 2" xfId="898"/>
    <cellStyle name="Normal 10 2 4 2 7 3" xfId="899"/>
    <cellStyle name="Normal 10 2 4 2 8" xfId="900"/>
    <cellStyle name="Normal 10 2 4 2 8 2" xfId="901"/>
    <cellStyle name="Normal 10 2 4 2 9" xfId="902"/>
    <cellStyle name="Normal 10 2 4 3" xfId="903"/>
    <cellStyle name="Normal 10 2 4 3 2" xfId="904"/>
    <cellStyle name="Normal 10 2 4 3 2 2" xfId="905"/>
    <cellStyle name="Normal 10 2 4 3 2 2 2" xfId="906"/>
    <cellStyle name="Normal 10 2 4 3 2 2 2 2" xfId="907"/>
    <cellStyle name="Normal 10 2 4 3 2 2 2 2 2" xfId="908"/>
    <cellStyle name="Normal 10 2 4 3 2 2 2 3" xfId="909"/>
    <cellStyle name="Normal 10 2 4 3 2 2 3" xfId="910"/>
    <cellStyle name="Normal 10 2 4 3 2 2 3 2" xfId="911"/>
    <cellStyle name="Normal 10 2 4 3 2 2 4" xfId="912"/>
    <cellStyle name="Normal 10 2 4 3 2 3" xfId="913"/>
    <cellStyle name="Normal 10 2 4 3 2 3 2" xfId="914"/>
    <cellStyle name="Normal 10 2 4 3 2 3 2 2" xfId="915"/>
    <cellStyle name="Normal 10 2 4 3 2 3 2 2 2" xfId="916"/>
    <cellStyle name="Normal 10 2 4 3 2 3 2 3" xfId="917"/>
    <cellStyle name="Normal 10 2 4 3 2 3 3" xfId="918"/>
    <cellStyle name="Normal 10 2 4 3 2 3 3 2" xfId="919"/>
    <cellStyle name="Normal 10 2 4 3 2 3 4" xfId="920"/>
    <cellStyle name="Normal 10 2 4 3 2 4" xfId="921"/>
    <cellStyle name="Normal 10 2 4 3 2 4 2" xfId="922"/>
    <cellStyle name="Normal 10 2 4 3 2 4 2 2" xfId="923"/>
    <cellStyle name="Normal 10 2 4 3 2 4 3" xfId="924"/>
    <cellStyle name="Normal 10 2 4 3 2 5" xfId="925"/>
    <cellStyle name="Normal 10 2 4 3 2 5 2" xfId="926"/>
    <cellStyle name="Normal 10 2 4 3 2 6" xfId="927"/>
    <cellStyle name="Normal 10 2 4 3 3" xfId="928"/>
    <cellStyle name="Normal 10 2 4 3 3 2" xfId="929"/>
    <cellStyle name="Normal 10 2 4 3 3 2 2" xfId="930"/>
    <cellStyle name="Normal 10 2 4 3 3 2 2 2" xfId="931"/>
    <cellStyle name="Normal 10 2 4 3 3 2 3" xfId="932"/>
    <cellStyle name="Normal 10 2 4 3 3 3" xfId="933"/>
    <cellStyle name="Normal 10 2 4 3 3 3 2" xfId="934"/>
    <cellStyle name="Normal 10 2 4 3 3 4" xfId="935"/>
    <cellStyle name="Normal 10 2 4 3 4" xfId="936"/>
    <cellStyle name="Normal 10 2 4 3 4 2" xfId="937"/>
    <cellStyle name="Normal 10 2 4 3 4 2 2" xfId="938"/>
    <cellStyle name="Normal 10 2 4 3 4 2 2 2" xfId="939"/>
    <cellStyle name="Normal 10 2 4 3 4 2 3" xfId="940"/>
    <cellStyle name="Normal 10 2 4 3 4 3" xfId="941"/>
    <cellStyle name="Normal 10 2 4 3 4 3 2" xfId="942"/>
    <cellStyle name="Normal 10 2 4 3 4 4" xfId="943"/>
    <cellStyle name="Normal 10 2 4 3 5" xfId="944"/>
    <cellStyle name="Normal 10 2 4 3 5 2" xfId="945"/>
    <cellStyle name="Normal 10 2 4 3 5 2 2" xfId="946"/>
    <cellStyle name="Normal 10 2 4 3 5 3" xfId="947"/>
    <cellStyle name="Normal 10 2 4 3 6" xfId="948"/>
    <cellStyle name="Normal 10 2 4 3 6 2" xfId="949"/>
    <cellStyle name="Normal 10 2 4 3 7" xfId="950"/>
    <cellStyle name="Normal 10 2 4 4" xfId="951"/>
    <cellStyle name="Normal 10 2 4 4 2" xfId="952"/>
    <cellStyle name="Normal 10 2 4 4 2 2" xfId="953"/>
    <cellStyle name="Normal 10 2 4 4 2 2 2" xfId="954"/>
    <cellStyle name="Normal 10 2 4 4 2 2 2 2" xfId="955"/>
    <cellStyle name="Normal 10 2 4 4 2 2 3" xfId="956"/>
    <cellStyle name="Normal 10 2 4 4 2 3" xfId="957"/>
    <cellStyle name="Normal 10 2 4 4 2 3 2" xfId="958"/>
    <cellStyle name="Normal 10 2 4 4 2 4" xfId="959"/>
    <cellStyle name="Normal 10 2 4 4 3" xfId="960"/>
    <cellStyle name="Normal 10 2 4 4 3 2" xfId="961"/>
    <cellStyle name="Normal 10 2 4 4 3 2 2" xfId="962"/>
    <cellStyle name="Normal 10 2 4 4 3 2 2 2" xfId="963"/>
    <cellStyle name="Normal 10 2 4 4 3 2 3" xfId="964"/>
    <cellStyle name="Normal 10 2 4 4 3 3" xfId="965"/>
    <cellStyle name="Normal 10 2 4 4 3 3 2" xfId="966"/>
    <cellStyle name="Normal 10 2 4 4 3 4" xfId="967"/>
    <cellStyle name="Normal 10 2 4 4 4" xfId="968"/>
    <cellStyle name="Normal 10 2 4 4 4 2" xfId="969"/>
    <cellStyle name="Normal 10 2 4 4 4 2 2" xfId="970"/>
    <cellStyle name="Normal 10 2 4 4 4 3" xfId="971"/>
    <cellStyle name="Normal 10 2 4 4 5" xfId="972"/>
    <cellStyle name="Normal 10 2 4 4 5 2" xfId="973"/>
    <cellStyle name="Normal 10 2 4 4 6" xfId="974"/>
    <cellStyle name="Normal 10 2 4 5" xfId="975"/>
    <cellStyle name="Normal 10 2 4 5 2" xfId="976"/>
    <cellStyle name="Normal 10 2 4 5 2 2" xfId="977"/>
    <cellStyle name="Normal 10 2 4 5 2 2 2" xfId="978"/>
    <cellStyle name="Normal 10 2 4 5 2 3" xfId="979"/>
    <cellStyle name="Normal 10 2 4 5 3" xfId="980"/>
    <cellStyle name="Normal 10 2 4 5 3 2" xfId="981"/>
    <cellStyle name="Normal 10 2 4 5 4" xfId="982"/>
    <cellStyle name="Normal 10 2 4 6" xfId="983"/>
    <cellStyle name="Normal 10 2 4 6 2" xfId="984"/>
    <cellStyle name="Normal 10 2 4 6 2 2" xfId="985"/>
    <cellStyle name="Normal 10 2 4 6 2 2 2" xfId="986"/>
    <cellStyle name="Normal 10 2 4 6 2 3" xfId="987"/>
    <cellStyle name="Normal 10 2 4 6 3" xfId="988"/>
    <cellStyle name="Normal 10 2 4 6 3 2" xfId="989"/>
    <cellStyle name="Normal 10 2 4 6 4" xfId="990"/>
    <cellStyle name="Normal 10 2 4 7" xfId="991"/>
    <cellStyle name="Normal 10 2 4 7 2" xfId="992"/>
    <cellStyle name="Normal 10 2 4 7 2 2" xfId="993"/>
    <cellStyle name="Normal 10 2 4 7 2 2 2" xfId="994"/>
    <cellStyle name="Normal 10 2 4 7 2 3" xfId="995"/>
    <cellStyle name="Normal 10 2 4 7 3" xfId="996"/>
    <cellStyle name="Normal 10 2 4 7 3 2" xfId="997"/>
    <cellStyle name="Normal 10 2 4 7 4" xfId="998"/>
    <cellStyle name="Normal 10 2 4 8" xfId="999"/>
    <cellStyle name="Normal 10 2 4 8 2" xfId="1000"/>
    <cellStyle name="Normal 10 2 4 8 2 2" xfId="1001"/>
    <cellStyle name="Normal 10 2 4 8 3" xfId="1002"/>
    <cellStyle name="Normal 10 2 4 9" xfId="1003"/>
    <cellStyle name="Normal 10 2 4 9 2" xfId="1004"/>
    <cellStyle name="Normal 10 2 5" xfId="1005"/>
    <cellStyle name="Normal 10 2 5 2" xfId="1006"/>
    <cellStyle name="Normal 10 2 5 2 2" xfId="1007"/>
    <cellStyle name="Normal 10 2 5 2 2 2" xfId="1008"/>
    <cellStyle name="Normal 10 2 5 2 2 2 2" xfId="1009"/>
    <cellStyle name="Normal 10 2 5 2 2 2 2 2" xfId="1010"/>
    <cellStyle name="Normal 10 2 5 2 2 2 2 2 2" xfId="1011"/>
    <cellStyle name="Normal 10 2 5 2 2 2 2 3" xfId="1012"/>
    <cellStyle name="Normal 10 2 5 2 2 2 3" xfId="1013"/>
    <cellStyle name="Normal 10 2 5 2 2 2 3 2" xfId="1014"/>
    <cellStyle name="Normal 10 2 5 2 2 2 4" xfId="1015"/>
    <cellStyle name="Normal 10 2 5 2 2 3" xfId="1016"/>
    <cellStyle name="Normal 10 2 5 2 2 3 2" xfId="1017"/>
    <cellStyle name="Normal 10 2 5 2 2 3 2 2" xfId="1018"/>
    <cellStyle name="Normal 10 2 5 2 2 3 2 2 2" xfId="1019"/>
    <cellStyle name="Normal 10 2 5 2 2 3 2 3" xfId="1020"/>
    <cellStyle name="Normal 10 2 5 2 2 3 3" xfId="1021"/>
    <cellStyle name="Normal 10 2 5 2 2 3 3 2" xfId="1022"/>
    <cellStyle name="Normal 10 2 5 2 2 3 4" xfId="1023"/>
    <cellStyle name="Normal 10 2 5 2 2 4" xfId="1024"/>
    <cellStyle name="Normal 10 2 5 2 2 4 2" xfId="1025"/>
    <cellStyle name="Normal 10 2 5 2 2 4 2 2" xfId="1026"/>
    <cellStyle name="Normal 10 2 5 2 2 4 3" xfId="1027"/>
    <cellStyle name="Normal 10 2 5 2 2 5" xfId="1028"/>
    <cellStyle name="Normal 10 2 5 2 2 5 2" xfId="1029"/>
    <cellStyle name="Normal 10 2 5 2 2 6" xfId="1030"/>
    <cellStyle name="Normal 10 2 5 2 3" xfId="1031"/>
    <cellStyle name="Normal 10 2 5 2 3 2" xfId="1032"/>
    <cellStyle name="Normal 10 2 5 2 3 2 2" xfId="1033"/>
    <cellStyle name="Normal 10 2 5 2 3 2 2 2" xfId="1034"/>
    <cellStyle name="Normal 10 2 5 2 3 2 3" xfId="1035"/>
    <cellStyle name="Normal 10 2 5 2 3 3" xfId="1036"/>
    <cellStyle name="Normal 10 2 5 2 3 3 2" xfId="1037"/>
    <cellStyle name="Normal 10 2 5 2 3 4" xfId="1038"/>
    <cellStyle name="Normal 10 2 5 2 4" xfId="1039"/>
    <cellStyle name="Normal 10 2 5 2 4 2" xfId="1040"/>
    <cellStyle name="Normal 10 2 5 2 4 2 2" xfId="1041"/>
    <cellStyle name="Normal 10 2 5 2 4 2 2 2" xfId="1042"/>
    <cellStyle name="Normal 10 2 5 2 4 2 3" xfId="1043"/>
    <cellStyle name="Normal 10 2 5 2 4 3" xfId="1044"/>
    <cellStyle name="Normal 10 2 5 2 4 3 2" xfId="1045"/>
    <cellStyle name="Normal 10 2 5 2 4 4" xfId="1046"/>
    <cellStyle name="Normal 10 2 5 2 5" xfId="1047"/>
    <cellStyle name="Normal 10 2 5 2 5 2" xfId="1048"/>
    <cellStyle name="Normal 10 2 5 2 5 2 2" xfId="1049"/>
    <cellStyle name="Normal 10 2 5 2 5 3" xfId="1050"/>
    <cellStyle name="Normal 10 2 5 2 6" xfId="1051"/>
    <cellStyle name="Normal 10 2 5 2 6 2" xfId="1052"/>
    <cellStyle name="Normal 10 2 5 2 7" xfId="1053"/>
    <cellStyle name="Normal 10 2 5 3" xfId="1054"/>
    <cellStyle name="Normal 10 2 5 3 2" xfId="1055"/>
    <cellStyle name="Normal 10 2 5 3 2 2" xfId="1056"/>
    <cellStyle name="Normal 10 2 5 3 2 2 2" xfId="1057"/>
    <cellStyle name="Normal 10 2 5 3 2 2 2 2" xfId="1058"/>
    <cellStyle name="Normal 10 2 5 3 2 2 3" xfId="1059"/>
    <cellStyle name="Normal 10 2 5 3 2 3" xfId="1060"/>
    <cellStyle name="Normal 10 2 5 3 2 3 2" xfId="1061"/>
    <cellStyle name="Normal 10 2 5 3 2 4" xfId="1062"/>
    <cellStyle name="Normal 10 2 5 3 3" xfId="1063"/>
    <cellStyle name="Normal 10 2 5 3 3 2" xfId="1064"/>
    <cellStyle name="Normal 10 2 5 3 3 2 2" xfId="1065"/>
    <cellStyle name="Normal 10 2 5 3 3 2 2 2" xfId="1066"/>
    <cellStyle name="Normal 10 2 5 3 3 2 3" xfId="1067"/>
    <cellStyle name="Normal 10 2 5 3 3 3" xfId="1068"/>
    <cellStyle name="Normal 10 2 5 3 3 3 2" xfId="1069"/>
    <cellStyle name="Normal 10 2 5 3 3 4" xfId="1070"/>
    <cellStyle name="Normal 10 2 5 3 4" xfId="1071"/>
    <cellStyle name="Normal 10 2 5 3 4 2" xfId="1072"/>
    <cellStyle name="Normal 10 2 5 3 4 2 2" xfId="1073"/>
    <cellStyle name="Normal 10 2 5 3 4 3" xfId="1074"/>
    <cellStyle name="Normal 10 2 5 3 5" xfId="1075"/>
    <cellStyle name="Normal 10 2 5 3 5 2" xfId="1076"/>
    <cellStyle name="Normal 10 2 5 3 6" xfId="1077"/>
    <cellStyle name="Normal 10 2 5 4" xfId="1078"/>
    <cellStyle name="Normal 10 2 5 4 2" xfId="1079"/>
    <cellStyle name="Normal 10 2 5 4 2 2" xfId="1080"/>
    <cellStyle name="Normal 10 2 5 4 2 2 2" xfId="1081"/>
    <cellStyle name="Normal 10 2 5 4 2 3" xfId="1082"/>
    <cellStyle name="Normal 10 2 5 4 3" xfId="1083"/>
    <cellStyle name="Normal 10 2 5 4 3 2" xfId="1084"/>
    <cellStyle name="Normal 10 2 5 4 4" xfId="1085"/>
    <cellStyle name="Normal 10 2 5 5" xfId="1086"/>
    <cellStyle name="Normal 10 2 5 5 2" xfId="1087"/>
    <cellStyle name="Normal 10 2 5 5 2 2" xfId="1088"/>
    <cellStyle name="Normal 10 2 5 5 2 2 2" xfId="1089"/>
    <cellStyle name="Normal 10 2 5 5 2 3" xfId="1090"/>
    <cellStyle name="Normal 10 2 5 5 3" xfId="1091"/>
    <cellStyle name="Normal 10 2 5 5 3 2" xfId="1092"/>
    <cellStyle name="Normal 10 2 5 5 4" xfId="1093"/>
    <cellStyle name="Normal 10 2 5 6" xfId="1094"/>
    <cellStyle name="Normal 10 2 5 6 2" xfId="1095"/>
    <cellStyle name="Normal 10 2 5 6 2 2" xfId="1096"/>
    <cellStyle name="Normal 10 2 5 6 2 2 2" xfId="1097"/>
    <cellStyle name="Normal 10 2 5 6 2 3" xfId="1098"/>
    <cellStyle name="Normal 10 2 5 6 3" xfId="1099"/>
    <cellStyle name="Normal 10 2 5 6 3 2" xfId="1100"/>
    <cellStyle name="Normal 10 2 5 6 4" xfId="1101"/>
    <cellStyle name="Normal 10 2 5 7" xfId="1102"/>
    <cellStyle name="Normal 10 2 5 7 2" xfId="1103"/>
    <cellStyle name="Normal 10 2 5 7 2 2" xfId="1104"/>
    <cellStyle name="Normal 10 2 5 7 3" xfId="1105"/>
    <cellStyle name="Normal 10 2 5 8" xfId="1106"/>
    <cellStyle name="Normal 10 2 5 8 2" xfId="1107"/>
    <cellStyle name="Normal 10 2 5 9" xfId="1108"/>
    <cellStyle name="Normal 10 2 6" xfId="1109"/>
    <cellStyle name="Normal 10 2 6 2" xfId="1110"/>
    <cellStyle name="Normal 10 2 6 2 2" xfId="1111"/>
    <cellStyle name="Normal 10 2 6 2 2 2" xfId="1112"/>
    <cellStyle name="Normal 10 2 6 2 2 2 2" xfId="1113"/>
    <cellStyle name="Normal 10 2 6 2 2 2 2 2" xfId="1114"/>
    <cellStyle name="Normal 10 2 6 2 2 2 3" xfId="1115"/>
    <cellStyle name="Normal 10 2 6 2 2 3" xfId="1116"/>
    <cellStyle name="Normal 10 2 6 2 2 3 2" xfId="1117"/>
    <cellStyle name="Normal 10 2 6 2 2 4" xfId="1118"/>
    <cellStyle name="Normal 10 2 6 2 3" xfId="1119"/>
    <cellStyle name="Normal 10 2 6 2 3 2" xfId="1120"/>
    <cellStyle name="Normal 10 2 6 2 3 2 2" xfId="1121"/>
    <cellStyle name="Normal 10 2 6 2 3 2 2 2" xfId="1122"/>
    <cellStyle name="Normal 10 2 6 2 3 2 3" xfId="1123"/>
    <cellStyle name="Normal 10 2 6 2 3 3" xfId="1124"/>
    <cellStyle name="Normal 10 2 6 2 3 3 2" xfId="1125"/>
    <cellStyle name="Normal 10 2 6 2 3 4" xfId="1126"/>
    <cellStyle name="Normal 10 2 6 2 4" xfId="1127"/>
    <cellStyle name="Normal 10 2 6 2 4 2" xfId="1128"/>
    <cellStyle name="Normal 10 2 6 2 4 2 2" xfId="1129"/>
    <cellStyle name="Normal 10 2 6 2 4 3" xfId="1130"/>
    <cellStyle name="Normal 10 2 6 2 5" xfId="1131"/>
    <cellStyle name="Normal 10 2 6 2 5 2" xfId="1132"/>
    <cellStyle name="Normal 10 2 6 2 6" xfId="1133"/>
    <cellStyle name="Normal 10 2 6 3" xfId="1134"/>
    <cellStyle name="Normal 10 2 6 3 2" xfId="1135"/>
    <cellStyle name="Normal 10 2 6 3 2 2" xfId="1136"/>
    <cellStyle name="Normal 10 2 6 3 2 2 2" xfId="1137"/>
    <cellStyle name="Normal 10 2 6 3 2 3" xfId="1138"/>
    <cellStyle name="Normal 10 2 6 3 3" xfId="1139"/>
    <cellStyle name="Normal 10 2 6 3 3 2" xfId="1140"/>
    <cellStyle name="Normal 10 2 6 3 4" xfId="1141"/>
    <cellStyle name="Normal 10 2 6 4" xfId="1142"/>
    <cellStyle name="Normal 10 2 6 4 2" xfId="1143"/>
    <cellStyle name="Normal 10 2 6 4 2 2" xfId="1144"/>
    <cellStyle name="Normal 10 2 6 4 2 2 2" xfId="1145"/>
    <cellStyle name="Normal 10 2 6 4 2 3" xfId="1146"/>
    <cellStyle name="Normal 10 2 6 4 3" xfId="1147"/>
    <cellStyle name="Normal 10 2 6 4 3 2" xfId="1148"/>
    <cellStyle name="Normal 10 2 6 4 4" xfId="1149"/>
    <cellStyle name="Normal 10 2 6 5" xfId="1150"/>
    <cellStyle name="Normal 10 2 6 5 2" xfId="1151"/>
    <cellStyle name="Normal 10 2 6 5 2 2" xfId="1152"/>
    <cellStyle name="Normal 10 2 6 5 3" xfId="1153"/>
    <cellStyle name="Normal 10 2 6 6" xfId="1154"/>
    <cellStyle name="Normal 10 2 6 6 2" xfId="1155"/>
    <cellStyle name="Normal 10 2 6 7" xfId="1156"/>
    <cellStyle name="Normal 10 2 7" xfId="1157"/>
    <cellStyle name="Normal 10 2 7 2" xfId="1158"/>
    <cellStyle name="Normal 10 2 7 2 2" xfId="1159"/>
    <cellStyle name="Normal 10 2 7 2 2 2" xfId="1160"/>
    <cellStyle name="Normal 10 2 7 2 2 2 2" xfId="1161"/>
    <cellStyle name="Normal 10 2 7 2 2 3" xfId="1162"/>
    <cellStyle name="Normal 10 2 7 2 3" xfId="1163"/>
    <cellStyle name="Normal 10 2 7 2 3 2" xfId="1164"/>
    <cellStyle name="Normal 10 2 7 2 4" xfId="1165"/>
    <cellStyle name="Normal 10 2 7 3" xfId="1166"/>
    <cellStyle name="Normal 10 2 7 3 2" xfId="1167"/>
    <cellStyle name="Normal 10 2 7 3 2 2" xfId="1168"/>
    <cellStyle name="Normal 10 2 7 3 2 2 2" xfId="1169"/>
    <cellStyle name="Normal 10 2 7 3 2 3" xfId="1170"/>
    <cellStyle name="Normal 10 2 7 3 3" xfId="1171"/>
    <cellStyle name="Normal 10 2 7 3 3 2" xfId="1172"/>
    <cellStyle name="Normal 10 2 7 3 4" xfId="1173"/>
    <cellStyle name="Normal 10 2 7 4" xfId="1174"/>
    <cellStyle name="Normal 10 2 7 4 2" xfId="1175"/>
    <cellStyle name="Normal 10 2 7 4 2 2" xfId="1176"/>
    <cellStyle name="Normal 10 2 7 4 3" xfId="1177"/>
    <cellStyle name="Normal 10 2 7 5" xfId="1178"/>
    <cellStyle name="Normal 10 2 7 5 2" xfId="1179"/>
    <cellStyle name="Normal 10 2 7 6" xfId="1180"/>
    <cellStyle name="Normal 10 2 8" xfId="1181"/>
    <cellStyle name="Normal 10 2 8 2" xfId="1182"/>
    <cellStyle name="Normal 10 2 8 2 2" xfId="1183"/>
    <cellStyle name="Normal 10 2 8 2 2 2" xfId="1184"/>
    <cellStyle name="Normal 10 2 8 2 3" xfId="1185"/>
    <cellStyle name="Normal 10 2 8 3" xfId="1186"/>
    <cellStyle name="Normal 10 2 8 3 2" xfId="1187"/>
    <cellStyle name="Normal 10 2 8 4" xfId="1188"/>
    <cellStyle name="Normal 10 2 9" xfId="1189"/>
    <cellStyle name="Normal 10 2 9 2" xfId="1190"/>
    <cellStyle name="Normal 10 2 9 2 2" xfId="1191"/>
    <cellStyle name="Normal 10 2 9 2 2 2" xfId="1192"/>
    <cellStyle name="Normal 10 2 9 2 3" xfId="1193"/>
    <cellStyle name="Normal 10 2 9 3" xfId="1194"/>
    <cellStyle name="Normal 10 2 9 3 2" xfId="1195"/>
    <cellStyle name="Normal 10 2 9 4" xfId="1196"/>
    <cellStyle name="Normal 10 3" xfId="1197"/>
    <cellStyle name="Normal 10 3 10" xfId="1198"/>
    <cellStyle name="Normal 10 3 10 2" xfId="1199"/>
    <cellStyle name="Normal 10 3 11" xfId="1200"/>
    <cellStyle name="Normal 10 3 2" xfId="1201"/>
    <cellStyle name="Normal 10 3 2 10" xfId="1202"/>
    <cellStyle name="Normal 10 3 2 2" xfId="1203"/>
    <cellStyle name="Normal 10 3 2 2 2" xfId="1204"/>
    <cellStyle name="Normal 10 3 2 2 2 2" xfId="1205"/>
    <cellStyle name="Normal 10 3 2 2 2 2 2" xfId="1206"/>
    <cellStyle name="Normal 10 3 2 2 2 2 2 2" xfId="1207"/>
    <cellStyle name="Normal 10 3 2 2 2 2 2 2 2" xfId="1208"/>
    <cellStyle name="Normal 10 3 2 2 2 2 2 2 2 2" xfId="1209"/>
    <cellStyle name="Normal 10 3 2 2 2 2 2 2 3" xfId="1210"/>
    <cellStyle name="Normal 10 3 2 2 2 2 2 3" xfId="1211"/>
    <cellStyle name="Normal 10 3 2 2 2 2 2 3 2" xfId="1212"/>
    <cellStyle name="Normal 10 3 2 2 2 2 2 4" xfId="1213"/>
    <cellStyle name="Normal 10 3 2 2 2 2 3" xfId="1214"/>
    <cellStyle name="Normal 10 3 2 2 2 2 3 2" xfId="1215"/>
    <cellStyle name="Normal 10 3 2 2 2 2 3 2 2" xfId="1216"/>
    <cellStyle name="Normal 10 3 2 2 2 2 3 2 2 2" xfId="1217"/>
    <cellStyle name="Normal 10 3 2 2 2 2 3 2 3" xfId="1218"/>
    <cellStyle name="Normal 10 3 2 2 2 2 3 3" xfId="1219"/>
    <cellStyle name="Normal 10 3 2 2 2 2 3 3 2" xfId="1220"/>
    <cellStyle name="Normal 10 3 2 2 2 2 3 4" xfId="1221"/>
    <cellStyle name="Normal 10 3 2 2 2 2 4" xfId="1222"/>
    <cellStyle name="Normal 10 3 2 2 2 2 4 2" xfId="1223"/>
    <cellStyle name="Normal 10 3 2 2 2 2 4 2 2" xfId="1224"/>
    <cellStyle name="Normal 10 3 2 2 2 2 4 3" xfId="1225"/>
    <cellStyle name="Normal 10 3 2 2 2 2 5" xfId="1226"/>
    <cellStyle name="Normal 10 3 2 2 2 2 5 2" xfId="1227"/>
    <cellStyle name="Normal 10 3 2 2 2 2 6" xfId="1228"/>
    <cellStyle name="Normal 10 3 2 2 2 3" xfId="1229"/>
    <cellStyle name="Normal 10 3 2 2 2 3 2" xfId="1230"/>
    <cellStyle name="Normal 10 3 2 2 2 3 2 2" xfId="1231"/>
    <cellStyle name="Normal 10 3 2 2 2 3 2 2 2" xfId="1232"/>
    <cellStyle name="Normal 10 3 2 2 2 3 2 3" xfId="1233"/>
    <cellStyle name="Normal 10 3 2 2 2 3 3" xfId="1234"/>
    <cellStyle name="Normal 10 3 2 2 2 3 3 2" xfId="1235"/>
    <cellStyle name="Normal 10 3 2 2 2 3 4" xfId="1236"/>
    <cellStyle name="Normal 10 3 2 2 2 4" xfId="1237"/>
    <cellStyle name="Normal 10 3 2 2 2 4 2" xfId="1238"/>
    <cellStyle name="Normal 10 3 2 2 2 4 2 2" xfId="1239"/>
    <cellStyle name="Normal 10 3 2 2 2 4 2 2 2" xfId="1240"/>
    <cellStyle name="Normal 10 3 2 2 2 4 2 3" xfId="1241"/>
    <cellStyle name="Normal 10 3 2 2 2 4 3" xfId="1242"/>
    <cellStyle name="Normal 10 3 2 2 2 4 3 2" xfId="1243"/>
    <cellStyle name="Normal 10 3 2 2 2 4 4" xfId="1244"/>
    <cellStyle name="Normal 10 3 2 2 2 5" xfId="1245"/>
    <cellStyle name="Normal 10 3 2 2 2 5 2" xfId="1246"/>
    <cellStyle name="Normal 10 3 2 2 2 5 2 2" xfId="1247"/>
    <cellStyle name="Normal 10 3 2 2 2 5 3" xfId="1248"/>
    <cellStyle name="Normal 10 3 2 2 2 6" xfId="1249"/>
    <cellStyle name="Normal 10 3 2 2 2 6 2" xfId="1250"/>
    <cellStyle name="Normal 10 3 2 2 2 7" xfId="1251"/>
    <cellStyle name="Normal 10 3 2 2 3" xfId="1252"/>
    <cellStyle name="Normal 10 3 2 2 3 2" xfId="1253"/>
    <cellStyle name="Normal 10 3 2 2 3 2 2" xfId="1254"/>
    <cellStyle name="Normal 10 3 2 2 3 2 2 2" xfId="1255"/>
    <cellStyle name="Normal 10 3 2 2 3 2 2 2 2" xfId="1256"/>
    <cellStyle name="Normal 10 3 2 2 3 2 2 3" xfId="1257"/>
    <cellStyle name="Normal 10 3 2 2 3 2 3" xfId="1258"/>
    <cellStyle name="Normal 10 3 2 2 3 2 3 2" xfId="1259"/>
    <cellStyle name="Normal 10 3 2 2 3 2 4" xfId="1260"/>
    <cellStyle name="Normal 10 3 2 2 3 3" xfId="1261"/>
    <cellStyle name="Normal 10 3 2 2 3 3 2" xfId="1262"/>
    <cellStyle name="Normal 10 3 2 2 3 3 2 2" xfId="1263"/>
    <cellStyle name="Normal 10 3 2 2 3 3 2 2 2" xfId="1264"/>
    <cellStyle name="Normal 10 3 2 2 3 3 2 3" xfId="1265"/>
    <cellStyle name="Normal 10 3 2 2 3 3 3" xfId="1266"/>
    <cellStyle name="Normal 10 3 2 2 3 3 3 2" xfId="1267"/>
    <cellStyle name="Normal 10 3 2 2 3 3 4" xfId="1268"/>
    <cellStyle name="Normal 10 3 2 2 3 4" xfId="1269"/>
    <cellStyle name="Normal 10 3 2 2 3 4 2" xfId="1270"/>
    <cellStyle name="Normal 10 3 2 2 3 4 2 2" xfId="1271"/>
    <cellStyle name="Normal 10 3 2 2 3 4 3" xfId="1272"/>
    <cellStyle name="Normal 10 3 2 2 3 5" xfId="1273"/>
    <cellStyle name="Normal 10 3 2 2 3 5 2" xfId="1274"/>
    <cellStyle name="Normal 10 3 2 2 3 6" xfId="1275"/>
    <cellStyle name="Normal 10 3 2 2 4" xfId="1276"/>
    <cellStyle name="Normal 10 3 2 2 4 2" xfId="1277"/>
    <cellStyle name="Normal 10 3 2 2 4 2 2" xfId="1278"/>
    <cellStyle name="Normal 10 3 2 2 4 2 2 2" xfId="1279"/>
    <cellStyle name="Normal 10 3 2 2 4 2 3" xfId="1280"/>
    <cellStyle name="Normal 10 3 2 2 4 3" xfId="1281"/>
    <cellStyle name="Normal 10 3 2 2 4 3 2" xfId="1282"/>
    <cellStyle name="Normal 10 3 2 2 4 4" xfId="1283"/>
    <cellStyle name="Normal 10 3 2 2 5" xfId="1284"/>
    <cellStyle name="Normal 10 3 2 2 5 2" xfId="1285"/>
    <cellStyle name="Normal 10 3 2 2 5 2 2" xfId="1286"/>
    <cellStyle name="Normal 10 3 2 2 5 2 2 2" xfId="1287"/>
    <cellStyle name="Normal 10 3 2 2 5 2 3" xfId="1288"/>
    <cellStyle name="Normal 10 3 2 2 5 3" xfId="1289"/>
    <cellStyle name="Normal 10 3 2 2 5 3 2" xfId="1290"/>
    <cellStyle name="Normal 10 3 2 2 5 4" xfId="1291"/>
    <cellStyle name="Normal 10 3 2 2 6" xfId="1292"/>
    <cellStyle name="Normal 10 3 2 2 6 2" xfId="1293"/>
    <cellStyle name="Normal 10 3 2 2 6 2 2" xfId="1294"/>
    <cellStyle name="Normal 10 3 2 2 6 2 2 2" xfId="1295"/>
    <cellStyle name="Normal 10 3 2 2 6 2 3" xfId="1296"/>
    <cellStyle name="Normal 10 3 2 2 6 3" xfId="1297"/>
    <cellStyle name="Normal 10 3 2 2 6 3 2" xfId="1298"/>
    <cellStyle name="Normal 10 3 2 2 6 4" xfId="1299"/>
    <cellStyle name="Normal 10 3 2 2 7" xfId="1300"/>
    <cellStyle name="Normal 10 3 2 2 7 2" xfId="1301"/>
    <cellStyle name="Normal 10 3 2 2 7 2 2" xfId="1302"/>
    <cellStyle name="Normal 10 3 2 2 7 3" xfId="1303"/>
    <cellStyle name="Normal 10 3 2 2 8" xfId="1304"/>
    <cellStyle name="Normal 10 3 2 2 8 2" xfId="1305"/>
    <cellStyle name="Normal 10 3 2 2 9" xfId="1306"/>
    <cellStyle name="Normal 10 3 2 3" xfId="1307"/>
    <cellStyle name="Normal 10 3 2 3 2" xfId="1308"/>
    <cellStyle name="Normal 10 3 2 3 2 2" xfId="1309"/>
    <cellStyle name="Normal 10 3 2 3 2 2 2" xfId="1310"/>
    <cellStyle name="Normal 10 3 2 3 2 2 2 2" xfId="1311"/>
    <cellStyle name="Normal 10 3 2 3 2 2 2 2 2" xfId="1312"/>
    <cellStyle name="Normal 10 3 2 3 2 2 2 3" xfId="1313"/>
    <cellStyle name="Normal 10 3 2 3 2 2 3" xfId="1314"/>
    <cellStyle name="Normal 10 3 2 3 2 2 3 2" xfId="1315"/>
    <cellStyle name="Normal 10 3 2 3 2 2 4" xfId="1316"/>
    <cellStyle name="Normal 10 3 2 3 2 3" xfId="1317"/>
    <cellStyle name="Normal 10 3 2 3 2 3 2" xfId="1318"/>
    <cellStyle name="Normal 10 3 2 3 2 3 2 2" xfId="1319"/>
    <cellStyle name="Normal 10 3 2 3 2 3 2 2 2" xfId="1320"/>
    <cellStyle name="Normal 10 3 2 3 2 3 2 3" xfId="1321"/>
    <cellStyle name="Normal 10 3 2 3 2 3 3" xfId="1322"/>
    <cellStyle name="Normal 10 3 2 3 2 3 3 2" xfId="1323"/>
    <cellStyle name="Normal 10 3 2 3 2 3 4" xfId="1324"/>
    <cellStyle name="Normal 10 3 2 3 2 4" xfId="1325"/>
    <cellStyle name="Normal 10 3 2 3 2 4 2" xfId="1326"/>
    <cellStyle name="Normal 10 3 2 3 2 4 2 2" xfId="1327"/>
    <cellStyle name="Normal 10 3 2 3 2 4 3" xfId="1328"/>
    <cellStyle name="Normal 10 3 2 3 2 5" xfId="1329"/>
    <cellStyle name="Normal 10 3 2 3 2 5 2" xfId="1330"/>
    <cellStyle name="Normal 10 3 2 3 2 6" xfId="1331"/>
    <cellStyle name="Normal 10 3 2 3 3" xfId="1332"/>
    <cellStyle name="Normal 10 3 2 3 3 2" xfId="1333"/>
    <cellStyle name="Normal 10 3 2 3 3 2 2" xfId="1334"/>
    <cellStyle name="Normal 10 3 2 3 3 2 2 2" xfId="1335"/>
    <cellStyle name="Normal 10 3 2 3 3 2 3" xfId="1336"/>
    <cellStyle name="Normal 10 3 2 3 3 3" xfId="1337"/>
    <cellStyle name="Normal 10 3 2 3 3 3 2" xfId="1338"/>
    <cellStyle name="Normal 10 3 2 3 3 4" xfId="1339"/>
    <cellStyle name="Normal 10 3 2 3 4" xfId="1340"/>
    <cellStyle name="Normal 10 3 2 3 4 2" xfId="1341"/>
    <cellStyle name="Normal 10 3 2 3 4 2 2" xfId="1342"/>
    <cellStyle name="Normal 10 3 2 3 4 2 2 2" xfId="1343"/>
    <cellStyle name="Normal 10 3 2 3 4 2 3" xfId="1344"/>
    <cellStyle name="Normal 10 3 2 3 4 3" xfId="1345"/>
    <cellStyle name="Normal 10 3 2 3 4 3 2" xfId="1346"/>
    <cellStyle name="Normal 10 3 2 3 4 4" xfId="1347"/>
    <cellStyle name="Normal 10 3 2 3 5" xfId="1348"/>
    <cellStyle name="Normal 10 3 2 3 5 2" xfId="1349"/>
    <cellStyle name="Normal 10 3 2 3 5 2 2" xfId="1350"/>
    <cellStyle name="Normal 10 3 2 3 5 3" xfId="1351"/>
    <cellStyle name="Normal 10 3 2 3 6" xfId="1352"/>
    <cellStyle name="Normal 10 3 2 3 6 2" xfId="1353"/>
    <cellStyle name="Normal 10 3 2 3 7" xfId="1354"/>
    <cellStyle name="Normal 10 3 2 4" xfId="1355"/>
    <cellStyle name="Normal 10 3 2 4 2" xfId="1356"/>
    <cellStyle name="Normal 10 3 2 4 2 2" xfId="1357"/>
    <cellStyle name="Normal 10 3 2 4 2 2 2" xfId="1358"/>
    <cellStyle name="Normal 10 3 2 4 2 2 2 2" xfId="1359"/>
    <cellStyle name="Normal 10 3 2 4 2 2 3" xfId="1360"/>
    <cellStyle name="Normal 10 3 2 4 2 3" xfId="1361"/>
    <cellStyle name="Normal 10 3 2 4 2 3 2" xfId="1362"/>
    <cellStyle name="Normal 10 3 2 4 2 4" xfId="1363"/>
    <cellStyle name="Normal 10 3 2 4 3" xfId="1364"/>
    <cellStyle name="Normal 10 3 2 4 3 2" xfId="1365"/>
    <cellStyle name="Normal 10 3 2 4 3 2 2" xfId="1366"/>
    <cellStyle name="Normal 10 3 2 4 3 2 2 2" xfId="1367"/>
    <cellStyle name="Normal 10 3 2 4 3 2 3" xfId="1368"/>
    <cellStyle name="Normal 10 3 2 4 3 3" xfId="1369"/>
    <cellStyle name="Normal 10 3 2 4 3 3 2" xfId="1370"/>
    <cellStyle name="Normal 10 3 2 4 3 4" xfId="1371"/>
    <cellStyle name="Normal 10 3 2 4 4" xfId="1372"/>
    <cellStyle name="Normal 10 3 2 4 4 2" xfId="1373"/>
    <cellStyle name="Normal 10 3 2 4 4 2 2" xfId="1374"/>
    <cellStyle name="Normal 10 3 2 4 4 3" xfId="1375"/>
    <cellStyle name="Normal 10 3 2 4 5" xfId="1376"/>
    <cellStyle name="Normal 10 3 2 4 5 2" xfId="1377"/>
    <cellStyle name="Normal 10 3 2 4 6" xfId="1378"/>
    <cellStyle name="Normal 10 3 2 5" xfId="1379"/>
    <cellStyle name="Normal 10 3 2 5 2" xfId="1380"/>
    <cellStyle name="Normal 10 3 2 5 2 2" xfId="1381"/>
    <cellStyle name="Normal 10 3 2 5 2 2 2" xfId="1382"/>
    <cellStyle name="Normal 10 3 2 5 2 3" xfId="1383"/>
    <cellStyle name="Normal 10 3 2 5 3" xfId="1384"/>
    <cellStyle name="Normal 10 3 2 5 3 2" xfId="1385"/>
    <cellStyle name="Normal 10 3 2 5 4" xfId="1386"/>
    <cellStyle name="Normal 10 3 2 6" xfId="1387"/>
    <cellStyle name="Normal 10 3 2 6 2" xfId="1388"/>
    <cellStyle name="Normal 10 3 2 6 2 2" xfId="1389"/>
    <cellStyle name="Normal 10 3 2 6 2 2 2" xfId="1390"/>
    <cellStyle name="Normal 10 3 2 6 2 3" xfId="1391"/>
    <cellStyle name="Normal 10 3 2 6 3" xfId="1392"/>
    <cellStyle name="Normal 10 3 2 6 3 2" xfId="1393"/>
    <cellStyle name="Normal 10 3 2 6 4" xfId="1394"/>
    <cellStyle name="Normal 10 3 2 7" xfId="1395"/>
    <cellStyle name="Normal 10 3 2 7 2" xfId="1396"/>
    <cellStyle name="Normal 10 3 2 7 2 2" xfId="1397"/>
    <cellStyle name="Normal 10 3 2 7 2 2 2" xfId="1398"/>
    <cellStyle name="Normal 10 3 2 7 2 3" xfId="1399"/>
    <cellStyle name="Normal 10 3 2 7 3" xfId="1400"/>
    <cellStyle name="Normal 10 3 2 7 3 2" xfId="1401"/>
    <cellStyle name="Normal 10 3 2 7 4" xfId="1402"/>
    <cellStyle name="Normal 10 3 2 8" xfId="1403"/>
    <cellStyle name="Normal 10 3 2 8 2" xfId="1404"/>
    <cellStyle name="Normal 10 3 2 8 2 2" xfId="1405"/>
    <cellStyle name="Normal 10 3 2 8 3" xfId="1406"/>
    <cellStyle name="Normal 10 3 2 9" xfId="1407"/>
    <cellStyle name="Normal 10 3 2 9 2" xfId="1408"/>
    <cellStyle name="Normal 10 3 3" xfId="1409"/>
    <cellStyle name="Normal 10 3 3 2" xfId="1410"/>
    <cellStyle name="Normal 10 3 3 2 2" xfId="1411"/>
    <cellStyle name="Normal 10 3 3 2 2 2" xfId="1412"/>
    <cellStyle name="Normal 10 3 3 2 2 2 2" xfId="1413"/>
    <cellStyle name="Normal 10 3 3 2 2 2 2 2" xfId="1414"/>
    <cellStyle name="Normal 10 3 3 2 2 2 2 2 2" xfId="1415"/>
    <cellStyle name="Normal 10 3 3 2 2 2 2 3" xfId="1416"/>
    <cellStyle name="Normal 10 3 3 2 2 2 3" xfId="1417"/>
    <cellStyle name="Normal 10 3 3 2 2 2 3 2" xfId="1418"/>
    <cellStyle name="Normal 10 3 3 2 2 2 4" xfId="1419"/>
    <cellStyle name="Normal 10 3 3 2 2 3" xfId="1420"/>
    <cellStyle name="Normal 10 3 3 2 2 3 2" xfId="1421"/>
    <cellStyle name="Normal 10 3 3 2 2 3 2 2" xfId="1422"/>
    <cellStyle name="Normal 10 3 3 2 2 3 2 2 2" xfId="1423"/>
    <cellStyle name="Normal 10 3 3 2 2 3 2 3" xfId="1424"/>
    <cellStyle name="Normal 10 3 3 2 2 3 3" xfId="1425"/>
    <cellStyle name="Normal 10 3 3 2 2 3 3 2" xfId="1426"/>
    <cellStyle name="Normal 10 3 3 2 2 3 4" xfId="1427"/>
    <cellStyle name="Normal 10 3 3 2 2 4" xfId="1428"/>
    <cellStyle name="Normal 10 3 3 2 2 4 2" xfId="1429"/>
    <cellStyle name="Normal 10 3 3 2 2 4 2 2" xfId="1430"/>
    <cellStyle name="Normal 10 3 3 2 2 4 3" xfId="1431"/>
    <cellStyle name="Normal 10 3 3 2 2 5" xfId="1432"/>
    <cellStyle name="Normal 10 3 3 2 2 5 2" xfId="1433"/>
    <cellStyle name="Normal 10 3 3 2 2 6" xfId="1434"/>
    <cellStyle name="Normal 10 3 3 2 3" xfId="1435"/>
    <cellStyle name="Normal 10 3 3 2 3 2" xfId="1436"/>
    <cellStyle name="Normal 10 3 3 2 3 2 2" xfId="1437"/>
    <cellStyle name="Normal 10 3 3 2 3 2 2 2" xfId="1438"/>
    <cellStyle name="Normal 10 3 3 2 3 2 3" xfId="1439"/>
    <cellStyle name="Normal 10 3 3 2 3 3" xfId="1440"/>
    <cellStyle name="Normal 10 3 3 2 3 3 2" xfId="1441"/>
    <cellStyle name="Normal 10 3 3 2 3 4" xfId="1442"/>
    <cellStyle name="Normal 10 3 3 2 4" xfId="1443"/>
    <cellStyle name="Normal 10 3 3 2 4 2" xfId="1444"/>
    <cellStyle name="Normal 10 3 3 2 4 2 2" xfId="1445"/>
    <cellStyle name="Normal 10 3 3 2 4 2 2 2" xfId="1446"/>
    <cellStyle name="Normal 10 3 3 2 4 2 3" xfId="1447"/>
    <cellStyle name="Normal 10 3 3 2 4 3" xfId="1448"/>
    <cellStyle name="Normal 10 3 3 2 4 3 2" xfId="1449"/>
    <cellStyle name="Normal 10 3 3 2 4 4" xfId="1450"/>
    <cellStyle name="Normal 10 3 3 2 5" xfId="1451"/>
    <cellStyle name="Normal 10 3 3 2 5 2" xfId="1452"/>
    <cellStyle name="Normal 10 3 3 2 5 2 2" xfId="1453"/>
    <cellStyle name="Normal 10 3 3 2 5 3" xfId="1454"/>
    <cellStyle name="Normal 10 3 3 2 6" xfId="1455"/>
    <cellStyle name="Normal 10 3 3 2 6 2" xfId="1456"/>
    <cellStyle name="Normal 10 3 3 2 7" xfId="1457"/>
    <cellStyle name="Normal 10 3 3 3" xfId="1458"/>
    <cellStyle name="Normal 10 3 3 3 2" xfId="1459"/>
    <cellStyle name="Normal 10 3 3 3 2 2" xfId="1460"/>
    <cellStyle name="Normal 10 3 3 3 2 2 2" xfId="1461"/>
    <cellStyle name="Normal 10 3 3 3 2 2 2 2" xfId="1462"/>
    <cellStyle name="Normal 10 3 3 3 2 2 3" xfId="1463"/>
    <cellStyle name="Normal 10 3 3 3 2 3" xfId="1464"/>
    <cellStyle name="Normal 10 3 3 3 2 3 2" xfId="1465"/>
    <cellStyle name="Normal 10 3 3 3 2 4" xfId="1466"/>
    <cellStyle name="Normal 10 3 3 3 3" xfId="1467"/>
    <cellStyle name="Normal 10 3 3 3 3 2" xfId="1468"/>
    <cellStyle name="Normal 10 3 3 3 3 2 2" xfId="1469"/>
    <cellStyle name="Normal 10 3 3 3 3 2 2 2" xfId="1470"/>
    <cellStyle name="Normal 10 3 3 3 3 2 3" xfId="1471"/>
    <cellStyle name="Normal 10 3 3 3 3 3" xfId="1472"/>
    <cellStyle name="Normal 10 3 3 3 3 3 2" xfId="1473"/>
    <cellStyle name="Normal 10 3 3 3 3 4" xfId="1474"/>
    <cellStyle name="Normal 10 3 3 3 4" xfId="1475"/>
    <cellStyle name="Normal 10 3 3 3 4 2" xfId="1476"/>
    <cellStyle name="Normal 10 3 3 3 4 2 2" xfId="1477"/>
    <cellStyle name="Normal 10 3 3 3 4 3" xfId="1478"/>
    <cellStyle name="Normal 10 3 3 3 5" xfId="1479"/>
    <cellStyle name="Normal 10 3 3 3 5 2" xfId="1480"/>
    <cellStyle name="Normal 10 3 3 3 6" xfId="1481"/>
    <cellStyle name="Normal 10 3 3 4" xfId="1482"/>
    <cellStyle name="Normal 10 3 3 4 2" xfId="1483"/>
    <cellStyle name="Normal 10 3 3 4 2 2" xfId="1484"/>
    <cellStyle name="Normal 10 3 3 4 2 2 2" xfId="1485"/>
    <cellStyle name="Normal 10 3 3 4 2 3" xfId="1486"/>
    <cellStyle name="Normal 10 3 3 4 3" xfId="1487"/>
    <cellStyle name="Normal 10 3 3 4 3 2" xfId="1488"/>
    <cellStyle name="Normal 10 3 3 4 4" xfId="1489"/>
    <cellStyle name="Normal 10 3 3 5" xfId="1490"/>
    <cellStyle name="Normal 10 3 3 5 2" xfId="1491"/>
    <cellStyle name="Normal 10 3 3 5 2 2" xfId="1492"/>
    <cellStyle name="Normal 10 3 3 5 2 2 2" xfId="1493"/>
    <cellStyle name="Normal 10 3 3 5 2 3" xfId="1494"/>
    <cellStyle name="Normal 10 3 3 5 3" xfId="1495"/>
    <cellStyle name="Normal 10 3 3 5 3 2" xfId="1496"/>
    <cellStyle name="Normal 10 3 3 5 4" xfId="1497"/>
    <cellStyle name="Normal 10 3 3 6" xfId="1498"/>
    <cellStyle name="Normal 10 3 3 6 2" xfId="1499"/>
    <cellStyle name="Normal 10 3 3 6 2 2" xfId="1500"/>
    <cellStyle name="Normal 10 3 3 6 2 2 2" xfId="1501"/>
    <cellStyle name="Normal 10 3 3 6 2 3" xfId="1502"/>
    <cellStyle name="Normal 10 3 3 6 3" xfId="1503"/>
    <cellStyle name="Normal 10 3 3 6 3 2" xfId="1504"/>
    <cellStyle name="Normal 10 3 3 6 4" xfId="1505"/>
    <cellStyle name="Normal 10 3 3 7" xfId="1506"/>
    <cellStyle name="Normal 10 3 3 7 2" xfId="1507"/>
    <cellStyle name="Normal 10 3 3 7 2 2" xfId="1508"/>
    <cellStyle name="Normal 10 3 3 7 3" xfId="1509"/>
    <cellStyle name="Normal 10 3 3 8" xfId="1510"/>
    <cellStyle name="Normal 10 3 3 8 2" xfId="1511"/>
    <cellStyle name="Normal 10 3 3 9" xfId="1512"/>
    <cellStyle name="Normal 10 3 4" xfId="1513"/>
    <cellStyle name="Normal 10 3 4 2" xfId="1514"/>
    <cellStyle name="Normal 10 3 4 2 2" xfId="1515"/>
    <cellStyle name="Normal 10 3 4 2 2 2" xfId="1516"/>
    <cellStyle name="Normal 10 3 4 2 2 2 2" xfId="1517"/>
    <cellStyle name="Normal 10 3 4 2 2 2 2 2" xfId="1518"/>
    <cellStyle name="Normal 10 3 4 2 2 2 3" xfId="1519"/>
    <cellStyle name="Normal 10 3 4 2 2 3" xfId="1520"/>
    <cellStyle name="Normal 10 3 4 2 2 3 2" xfId="1521"/>
    <cellStyle name="Normal 10 3 4 2 2 4" xfId="1522"/>
    <cellStyle name="Normal 10 3 4 2 3" xfId="1523"/>
    <cellStyle name="Normal 10 3 4 2 3 2" xfId="1524"/>
    <cellStyle name="Normal 10 3 4 2 3 2 2" xfId="1525"/>
    <cellStyle name="Normal 10 3 4 2 3 2 2 2" xfId="1526"/>
    <cellStyle name="Normal 10 3 4 2 3 2 3" xfId="1527"/>
    <cellStyle name="Normal 10 3 4 2 3 3" xfId="1528"/>
    <cellStyle name="Normal 10 3 4 2 3 3 2" xfId="1529"/>
    <cellStyle name="Normal 10 3 4 2 3 4" xfId="1530"/>
    <cellStyle name="Normal 10 3 4 2 4" xfId="1531"/>
    <cellStyle name="Normal 10 3 4 2 4 2" xfId="1532"/>
    <cellStyle name="Normal 10 3 4 2 4 2 2" xfId="1533"/>
    <cellStyle name="Normal 10 3 4 2 4 3" xfId="1534"/>
    <cellStyle name="Normal 10 3 4 2 5" xfId="1535"/>
    <cellStyle name="Normal 10 3 4 2 5 2" xfId="1536"/>
    <cellStyle name="Normal 10 3 4 2 6" xfId="1537"/>
    <cellStyle name="Normal 10 3 4 3" xfId="1538"/>
    <cellStyle name="Normal 10 3 4 3 2" xfId="1539"/>
    <cellStyle name="Normal 10 3 4 3 2 2" xfId="1540"/>
    <cellStyle name="Normal 10 3 4 3 2 2 2" xfId="1541"/>
    <cellStyle name="Normal 10 3 4 3 2 3" xfId="1542"/>
    <cellStyle name="Normal 10 3 4 3 3" xfId="1543"/>
    <cellStyle name="Normal 10 3 4 3 3 2" xfId="1544"/>
    <cellStyle name="Normal 10 3 4 3 4" xfId="1545"/>
    <cellStyle name="Normal 10 3 4 4" xfId="1546"/>
    <cellStyle name="Normal 10 3 4 4 2" xfId="1547"/>
    <cellStyle name="Normal 10 3 4 4 2 2" xfId="1548"/>
    <cellStyle name="Normal 10 3 4 4 2 2 2" xfId="1549"/>
    <cellStyle name="Normal 10 3 4 4 2 3" xfId="1550"/>
    <cellStyle name="Normal 10 3 4 4 3" xfId="1551"/>
    <cellStyle name="Normal 10 3 4 4 3 2" xfId="1552"/>
    <cellStyle name="Normal 10 3 4 4 4" xfId="1553"/>
    <cellStyle name="Normal 10 3 4 5" xfId="1554"/>
    <cellStyle name="Normal 10 3 4 5 2" xfId="1555"/>
    <cellStyle name="Normal 10 3 4 5 2 2" xfId="1556"/>
    <cellStyle name="Normal 10 3 4 5 3" xfId="1557"/>
    <cellStyle name="Normal 10 3 4 6" xfId="1558"/>
    <cellStyle name="Normal 10 3 4 6 2" xfId="1559"/>
    <cellStyle name="Normal 10 3 4 7" xfId="1560"/>
    <cellStyle name="Normal 10 3 5" xfId="1561"/>
    <cellStyle name="Normal 10 3 5 2" xfId="1562"/>
    <cellStyle name="Normal 10 3 5 2 2" xfId="1563"/>
    <cellStyle name="Normal 10 3 5 2 2 2" xfId="1564"/>
    <cellStyle name="Normal 10 3 5 2 2 2 2" xfId="1565"/>
    <cellStyle name="Normal 10 3 5 2 2 3" xfId="1566"/>
    <cellStyle name="Normal 10 3 5 2 3" xfId="1567"/>
    <cellStyle name="Normal 10 3 5 2 3 2" xfId="1568"/>
    <cellStyle name="Normal 10 3 5 2 4" xfId="1569"/>
    <cellStyle name="Normal 10 3 5 3" xfId="1570"/>
    <cellStyle name="Normal 10 3 5 3 2" xfId="1571"/>
    <cellStyle name="Normal 10 3 5 3 2 2" xfId="1572"/>
    <cellStyle name="Normal 10 3 5 3 2 2 2" xfId="1573"/>
    <cellStyle name="Normal 10 3 5 3 2 3" xfId="1574"/>
    <cellStyle name="Normal 10 3 5 3 3" xfId="1575"/>
    <cellStyle name="Normal 10 3 5 3 3 2" xfId="1576"/>
    <cellStyle name="Normal 10 3 5 3 4" xfId="1577"/>
    <cellStyle name="Normal 10 3 5 4" xfId="1578"/>
    <cellStyle name="Normal 10 3 5 4 2" xfId="1579"/>
    <cellStyle name="Normal 10 3 5 4 2 2" xfId="1580"/>
    <cellStyle name="Normal 10 3 5 4 3" xfId="1581"/>
    <cellStyle name="Normal 10 3 5 5" xfId="1582"/>
    <cellStyle name="Normal 10 3 5 5 2" xfId="1583"/>
    <cellStyle name="Normal 10 3 5 6" xfId="1584"/>
    <cellStyle name="Normal 10 3 6" xfId="1585"/>
    <cellStyle name="Normal 10 3 6 2" xfId="1586"/>
    <cellStyle name="Normal 10 3 6 2 2" xfId="1587"/>
    <cellStyle name="Normal 10 3 6 2 2 2" xfId="1588"/>
    <cellStyle name="Normal 10 3 6 2 3" xfId="1589"/>
    <cellStyle name="Normal 10 3 6 3" xfId="1590"/>
    <cellStyle name="Normal 10 3 6 3 2" xfId="1591"/>
    <cellStyle name="Normal 10 3 6 4" xfId="1592"/>
    <cellStyle name="Normal 10 3 7" xfId="1593"/>
    <cellStyle name="Normal 10 3 7 2" xfId="1594"/>
    <cellStyle name="Normal 10 3 7 2 2" xfId="1595"/>
    <cellStyle name="Normal 10 3 7 2 2 2" xfId="1596"/>
    <cellStyle name="Normal 10 3 7 2 3" xfId="1597"/>
    <cellStyle name="Normal 10 3 7 3" xfId="1598"/>
    <cellStyle name="Normal 10 3 7 3 2" xfId="1599"/>
    <cellStyle name="Normal 10 3 7 4" xfId="1600"/>
    <cellStyle name="Normal 10 3 8" xfId="1601"/>
    <cellStyle name="Normal 10 3 8 2" xfId="1602"/>
    <cellStyle name="Normal 10 3 8 2 2" xfId="1603"/>
    <cellStyle name="Normal 10 3 8 2 2 2" xfId="1604"/>
    <cellStyle name="Normal 10 3 8 2 3" xfId="1605"/>
    <cellStyle name="Normal 10 3 8 3" xfId="1606"/>
    <cellStyle name="Normal 10 3 8 3 2" xfId="1607"/>
    <cellStyle name="Normal 10 3 8 4" xfId="1608"/>
    <cellStyle name="Normal 10 3 9" xfId="1609"/>
    <cellStyle name="Normal 10 3 9 2" xfId="1610"/>
    <cellStyle name="Normal 10 3 9 2 2" xfId="1611"/>
    <cellStyle name="Normal 10 3 9 3" xfId="1612"/>
    <cellStyle name="Normal 10 4" xfId="1613"/>
    <cellStyle name="Normal 10 4 10" xfId="1614"/>
    <cellStyle name="Normal 10 4 2" xfId="1615"/>
    <cellStyle name="Normal 10 4 2 2" xfId="1616"/>
    <cellStyle name="Normal 10 4 2 2 2" xfId="1617"/>
    <cellStyle name="Normal 10 4 2 2 2 2" xfId="1618"/>
    <cellStyle name="Normal 10 4 2 2 2 2 2" xfId="1619"/>
    <cellStyle name="Normal 10 4 2 2 2 2 2 2" xfId="1620"/>
    <cellStyle name="Normal 10 4 2 2 2 2 2 2 2" xfId="1621"/>
    <cellStyle name="Normal 10 4 2 2 2 2 2 3" xfId="1622"/>
    <cellStyle name="Normal 10 4 2 2 2 2 3" xfId="1623"/>
    <cellStyle name="Normal 10 4 2 2 2 2 3 2" xfId="1624"/>
    <cellStyle name="Normal 10 4 2 2 2 2 4" xfId="1625"/>
    <cellStyle name="Normal 10 4 2 2 2 3" xfId="1626"/>
    <cellStyle name="Normal 10 4 2 2 2 3 2" xfId="1627"/>
    <cellStyle name="Normal 10 4 2 2 2 3 2 2" xfId="1628"/>
    <cellStyle name="Normal 10 4 2 2 2 3 2 2 2" xfId="1629"/>
    <cellStyle name="Normal 10 4 2 2 2 3 2 3" xfId="1630"/>
    <cellStyle name="Normal 10 4 2 2 2 3 3" xfId="1631"/>
    <cellStyle name="Normal 10 4 2 2 2 3 3 2" xfId="1632"/>
    <cellStyle name="Normal 10 4 2 2 2 3 4" xfId="1633"/>
    <cellStyle name="Normal 10 4 2 2 2 4" xfId="1634"/>
    <cellStyle name="Normal 10 4 2 2 2 4 2" xfId="1635"/>
    <cellStyle name="Normal 10 4 2 2 2 4 2 2" xfId="1636"/>
    <cellStyle name="Normal 10 4 2 2 2 4 3" xfId="1637"/>
    <cellStyle name="Normal 10 4 2 2 2 5" xfId="1638"/>
    <cellStyle name="Normal 10 4 2 2 2 5 2" xfId="1639"/>
    <cellStyle name="Normal 10 4 2 2 2 6" xfId="1640"/>
    <cellStyle name="Normal 10 4 2 2 3" xfId="1641"/>
    <cellStyle name="Normal 10 4 2 2 3 2" xfId="1642"/>
    <cellStyle name="Normal 10 4 2 2 3 2 2" xfId="1643"/>
    <cellStyle name="Normal 10 4 2 2 3 2 2 2" xfId="1644"/>
    <cellStyle name="Normal 10 4 2 2 3 2 3" xfId="1645"/>
    <cellStyle name="Normal 10 4 2 2 3 3" xfId="1646"/>
    <cellStyle name="Normal 10 4 2 2 3 3 2" xfId="1647"/>
    <cellStyle name="Normal 10 4 2 2 3 4" xfId="1648"/>
    <cellStyle name="Normal 10 4 2 2 4" xfId="1649"/>
    <cellStyle name="Normal 10 4 2 2 4 2" xfId="1650"/>
    <cellStyle name="Normal 10 4 2 2 4 2 2" xfId="1651"/>
    <cellStyle name="Normal 10 4 2 2 4 2 2 2" xfId="1652"/>
    <cellStyle name="Normal 10 4 2 2 4 2 3" xfId="1653"/>
    <cellStyle name="Normal 10 4 2 2 4 3" xfId="1654"/>
    <cellStyle name="Normal 10 4 2 2 4 3 2" xfId="1655"/>
    <cellStyle name="Normal 10 4 2 2 4 4" xfId="1656"/>
    <cellStyle name="Normal 10 4 2 2 5" xfId="1657"/>
    <cellStyle name="Normal 10 4 2 2 5 2" xfId="1658"/>
    <cellStyle name="Normal 10 4 2 2 5 2 2" xfId="1659"/>
    <cellStyle name="Normal 10 4 2 2 5 3" xfId="1660"/>
    <cellStyle name="Normal 10 4 2 2 6" xfId="1661"/>
    <cellStyle name="Normal 10 4 2 2 6 2" xfId="1662"/>
    <cellStyle name="Normal 10 4 2 2 7" xfId="1663"/>
    <cellStyle name="Normal 10 4 2 3" xfId="1664"/>
    <cellStyle name="Normal 10 4 2 3 2" xfId="1665"/>
    <cellStyle name="Normal 10 4 2 3 2 2" xfId="1666"/>
    <cellStyle name="Normal 10 4 2 3 2 2 2" xfId="1667"/>
    <cellStyle name="Normal 10 4 2 3 2 2 2 2" xfId="1668"/>
    <cellStyle name="Normal 10 4 2 3 2 2 3" xfId="1669"/>
    <cellStyle name="Normal 10 4 2 3 2 3" xfId="1670"/>
    <cellStyle name="Normal 10 4 2 3 2 3 2" xfId="1671"/>
    <cellStyle name="Normal 10 4 2 3 2 4" xfId="1672"/>
    <cellStyle name="Normal 10 4 2 3 3" xfId="1673"/>
    <cellStyle name="Normal 10 4 2 3 3 2" xfId="1674"/>
    <cellStyle name="Normal 10 4 2 3 3 2 2" xfId="1675"/>
    <cellStyle name="Normal 10 4 2 3 3 2 2 2" xfId="1676"/>
    <cellStyle name="Normal 10 4 2 3 3 2 3" xfId="1677"/>
    <cellStyle name="Normal 10 4 2 3 3 3" xfId="1678"/>
    <cellStyle name="Normal 10 4 2 3 3 3 2" xfId="1679"/>
    <cellStyle name="Normal 10 4 2 3 3 4" xfId="1680"/>
    <cellStyle name="Normal 10 4 2 3 4" xfId="1681"/>
    <cellStyle name="Normal 10 4 2 3 4 2" xfId="1682"/>
    <cellStyle name="Normal 10 4 2 3 4 2 2" xfId="1683"/>
    <cellStyle name="Normal 10 4 2 3 4 3" xfId="1684"/>
    <cellStyle name="Normal 10 4 2 3 5" xfId="1685"/>
    <cellStyle name="Normal 10 4 2 3 5 2" xfId="1686"/>
    <cellStyle name="Normal 10 4 2 3 6" xfId="1687"/>
    <cellStyle name="Normal 10 4 2 4" xfId="1688"/>
    <cellStyle name="Normal 10 4 2 4 2" xfId="1689"/>
    <cellStyle name="Normal 10 4 2 4 2 2" xfId="1690"/>
    <cellStyle name="Normal 10 4 2 4 2 2 2" xfId="1691"/>
    <cellStyle name="Normal 10 4 2 4 2 3" xfId="1692"/>
    <cellStyle name="Normal 10 4 2 4 3" xfId="1693"/>
    <cellStyle name="Normal 10 4 2 4 3 2" xfId="1694"/>
    <cellStyle name="Normal 10 4 2 4 4" xfId="1695"/>
    <cellStyle name="Normal 10 4 2 5" xfId="1696"/>
    <cellStyle name="Normal 10 4 2 5 2" xfId="1697"/>
    <cellStyle name="Normal 10 4 2 5 2 2" xfId="1698"/>
    <cellStyle name="Normal 10 4 2 5 2 2 2" xfId="1699"/>
    <cellStyle name="Normal 10 4 2 5 2 3" xfId="1700"/>
    <cellStyle name="Normal 10 4 2 5 3" xfId="1701"/>
    <cellStyle name="Normal 10 4 2 5 3 2" xfId="1702"/>
    <cellStyle name="Normal 10 4 2 5 4" xfId="1703"/>
    <cellStyle name="Normal 10 4 2 6" xfId="1704"/>
    <cellStyle name="Normal 10 4 2 6 2" xfId="1705"/>
    <cellStyle name="Normal 10 4 2 6 2 2" xfId="1706"/>
    <cellStyle name="Normal 10 4 2 6 2 2 2" xfId="1707"/>
    <cellStyle name="Normal 10 4 2 6 2 3" xfId="1708"/>
    <cellStyle name="Normal 10 4 2 6 3" xfId="1709"/>
    <cellStyle name="Normal 10 4 2 6 3 2" xfId="1710"/>
    <cellStyle name="Normal 10 4 2 6 4" xfId="1711"/>
    <cellStyle name="Normal 10 4 2 7" xfId="1712"/>
    <cellStyle name="Normal 10 4 2 7 2" xfId="1713"/>
    <cellStyle name="Normal 10 4 2 7 2 2" xfId="1714"/>
    <cellStyle name="Normal 10 4 2 7 3" xfId="1715"/>
    <cellStyle name="Normal 10 4 2 8" xfId="1716"/>
    <cellStyle name="Normal 10 4 2 8 2" xfId="1717"/>
    <cellStyle name="Normal 10 4 2 9" xfId="1718"/>
    <cellStyle name="Normal 10 4 3" xfId="1719"/>
    <cellStyle name="Normal 10 4 3 2" xfId="1720"/>
    <cellStyle name="Normal 10 4 3 2 2" xfId="1721"/>
    <cellStyle name="Normal 10 4 3 2 2 2" xfId="1722"/>
    <cellStyle name="Normal 10 4 3 2 2 2 2" xfId="1723"/>
    <cellStyle name="Normal 10 4 3 2 2 2 2 2" xfId="1724"/>
    <cellStyle name="Normal 10 4 3 2 2 2 3" xfId="1725"/>
    <cellStyle name="Normal 10 4 3 2 2 3" xfId="1726"/>
    <cellStyle name="Normal 10 4 3 2 2 3 2" xfId="1727"/>
    <cellStyle name="Normal 10 4 3 2 2 4" xfId="1728"/>
    <cellStyle name="Normal 10 4 3 2 3" xfId="1729"/>
    <cellStyle name="Normal 10 4 3 2 3 2" xfId="1730"/>
    <cellStyle name="Normal 10 4 3 2 3 2 2" xfId="1731"/>
    <cellStyle name="Normal 10 4 3 2 3 2 2 2" xfId="1732"/>
    <cellStyle name="Normal 10 4 3 2 3 2 3" xfId="1733"/>
    <cellStyle name="Normal 10 4 3 2 3 3" xfId="1734"/>
    <cellStyle name="Normal 10 4 3 2 3 3 2" xfId="1735"/>
    <cellStyle name="Normal 10 4 3 2 3 4" xfId="1736"/>
    <cellStyle name="Normal 10 4 3 2 4" xfId="1737"/>
    <cellStyle name="Normal 10 4 3 2 4 2" xfId="1738"/>
    <cellStyle name="Normal 10 4 3 2 4 2 2" xfId="1739"/>
    <cellStyle name="Normal 10 4 3 2 4 3" xfId="1740"/>
    <cellStyle name="Normal 10 4 3 2 5" xfId="1741"/>
    <cellStyle name="Normal 10 4 3 2 5 2" xfId="1742"/>
    <cellStyle name="Normal 10 4 3 2 6" xfId="1743"/>
    <cellStyle name="Normal 10 4 3 3" xfId="1744"/>
    <cellStyle name="Normal 10 4 3 3 2" xfId="1745"/>
    <cellStyle name="Normal 10 4 3 3 2 2" xfId="1746"/>
    <cellStyle name="Normal 10 4 3 3 2 2 2" xfId="1747"/>
    <cellStyle name="Normal 10 4 3 3 2 3" xfId="1748"/>
    <cellStyle name="Normal 10 4 3 3 3" xfId="1749"/>
    <cellStyle name="Normal 10 4 3 3 3 2" xfId="1750"/>
    <cellStyle name="Normal 10 4 3 3 4" xfId="1751"/>
    <cellStyle name="Normal 10 4 3 4" xfId="1752"/>
    <cellStyle name="Normal 10 4 3 4 2" xfId="1753"/>
    <cellStyle name="Normal 10 4 3 4 2 2" xfId="1754"/>
    <cellStyle name="Normal 10 4 3 4 2 2 2" xfId="1755"/>
    <cellStyle name="Normal 10 4 3 4 2 3" xfId="1756"/>
    <cellStyle name="Normal 10 4 3 4 3" xfId="1757"/>
    <cellStyle name="Normal 10 4 3 4 3 2" xfId="1758"/>
    <cellStyle name="Normal 10 4 3 4 4" xfId="1759"/>
    <cellStyle name="Normal 10 4 3 5" xfId="1760"/>
    <cellStyle name="Normal 10 4 3 5 2" xfId="1761"/>
    <cellStyle name="Normal 10 4 3 5 2 2" xfId="1762"/>
    <cellStyle name="Normal 10 4 3 5 3" xfId="1763"/>
    <cellStyle name="Normal 10 4 3 6" xfId="1764"/>
    <cellStyle name="Normal 10 4 3 6 2" xfId="1765"/>
    <cellStyle name="Normal 10 4 3 7" xfId="1766"/>
    <cellStyle name="Normal 10 4 4" xfId="1767"/>
    <cellStyle name="Normal 10 4 4 2" xfId="1768"/>
    <cellStyle name="Normal 10 4 4 2 2" xfId="1769"/>
    <cellStyle name="Normal 10 4 4 2 2 2" xfId="1770"/>
    <cellStyle name="Normal 10 4 4 2 2 2 2" xfId="1771"/>
    <cellStyle name="Normal 10 4 4 2 2 3" xfId="1772"/>
    <cellStyle name="Normal 10 4 4 2 3" xfId="1773"/>
    <cellStyle name="Normal 10 4 4 2 3 2" xfId="1774"/>
    <cellStyle name="Normal 10 4 4 2 4" xfId="1775"/>
    <cellStyle name="Normal 10 4 4 3" xfId="1776"/>
    <cellStyle name="Normal 10 4 4 3 2" xfId="1777"/>
    <cellStyle name="Normal 10 4 4 3 2 2" xfId="1778"/>
    <cellStyle name="Normal 10 4 4 3 2 2 2" xfId="1779"/>
    <cellStyle name="Normal 10 4 4 3 2 3" xfId="1780"/>
    <cellStyle name="Normal 10 4 4 3 3" xfId="1781"/>
    <cellStyle name="Normal 10 4 4 3 3 2" xfId="1782"/>
    <cellStyle name="Normal 10 4 4 3 4" xfId="1783"/>
    <cellStyle name="Normal 10 4 4 4" xfId="1784"/>
    <cellStyle name="Normal 10 4 4 4 2" xfId="1785"/>
    <cellStyle name="Normal 10 4 4 4 2 2" xfId="1786"/>
    <cellStyle name="Normal 10 4 4 4 3" xfId="1787"/>
    <cellStyle name="Normal 10 4 4 5" xfId="1788"/>
    <cellStyle name="Normal 10 4 4 5 2" xfId="1789"/>
    <cellStyle name="Normal 10 4 4 6" xfId="1790"/>
    <cellStyle name="Normal 10 4 5" xfId="1791"/>
    <cellStyle name="Normal 10 4 5 2" xfId="1792"/>
    <cellStyle name="Normal 10 4 5 2 2" xfId="1793"/>
    <cellStyle name="Normal 10 4 5 2 2 2" xfId="1794"/>
    <cellStyle name="Normal 10 4 5 2 3" xfId="1795"/>
    <cellStyle name="Normal 10 4 5 3" xfId="1796"/>
    <cellStyle name="Normal 10 4 5 3 2" xfId="1797"/>
    <cellStyle name="Normal 10 4 5 4" xfId="1798"/>
    <cellStyle name="Normal 10 4 6" xfId="1799"/>
    <cellStyle name="Normal 10 4 6 2" xfId="1800"/>
    <cellStyle name="Normal 10 4 6 2 2" xfId="1801"/>
    <cellStyle name="Normal 10 4 6 2 2 2" xfId="1802"/>
    <cellStyle name="Normal 10 4 6 2 3" xfId="1803"/>
    <cellStyle name="Normal 10 4 6 3" xfId="1804"/>
    <cellStyle name="Normal 10 4 6 3 2" xfId="1805"/>
    <cellStyle name="Normal 10 4 6 4" xfId="1806"/>
    <cellStyle name="Normal 10 4 7" xfId="1807"/>
    <cellStyle name="Normal 10 4 7 2" xfId="1808"/>
    <cellStyle name="Normal 10 4 7 2 2" xfId="1809"/>
    <cellStyle name="Normal 10 4 7 2 2 2" xfId="1810"/>
    <cellStyle name="Normal 10 4 7 2 3" xfId="1811"/>
    <cellStyle name="Normal 10 4 7 3" xfId="1812"/>
    <cellStyle name="Normal 10 4 7 3 2" xfId="1813"/>
    <cellStyle name="Normal 10 4 7 4" xfId="1814"/>
    <cellStyle name="Normal 10 4 8" xfId="1815"/>
    <cellStyle name="Normal 10 4 8 2" xfId="1816"/>
    <cellStyle name="Normal 10 4 8 2 2" xfId="1817"/>
    <cellStyle name="Normal 10 4 8 3" xfId="1818"/>
    <cellStyle name="Normal 10 4 9" xfId="1819"/>
    <cellStyle name="Normal 10 4 9 2" xfId="1820"/>
    <cellStyle name="Normal 10 5" xfId="1821"/>
    <cellStyle name="Normal 10 5 10" xfId="1822"/>
    <cellStyle name="Normal 10 5 2" xfId="1823"/>
    <cellStyle name="Normal 10 5 2 2" xfId="1824"/>
    <cellStyle name="Normal 10 5 2 2 2" xfId="1825"/>
    <cellStyle name="Normal 10 5 2 2 2 2" xfId="1826"/>
    <cellStyle name="Normal 10 5 2 2 2 2 2" xfId="1827"/>
    <cellStyle name="Normal 10 5 2 2 2 2 2 2" xfId="1828"/>
    <cellStyle name="Normal 10 5 2 2 2 2 2 2 2" xfId="1829"/>
    <cellStyle name="Normal 10 5 2 2 2 2 2 3" xfId="1830"/>
    <cellStyle name="Normal 10 5 2 2 2 2 3" xfId="1831"/>
    <cellStyle name="Normal 10 5 2 2 2 2 3 2" xfId="1832"/>
    <cellStyle name="Normal 10 5 2 2 2 2 4" xfId="1833"/>
    <cellStyle name="Normal 10 5 2 2 2 3" xfId="1834"/>
    <cellStyle name="Normal 10 5 2 2 2 3 2" xfId="1835"/>
    <cellStyle name="Normal 10 5 2 2 2 3 2 2" xfId="1836"/>
    <cellStyle name="Normal 10 5 2 2 2 3 2 2 2" xfId="1837"/>
    <cellStyle name="Normal 10 5 2 2 2 3 2 3" xfId="1838"/>
    <cellStyle name="Normal 10 5 2 2 2 3 3" xfId="1839"/>
    <cellStyle name="Normal 10 5 2 2 2 3 3 2" xfId="1840"/>
    <cellStyle name="Normal 10 5 2 2 2 3 4" xfId="1841"/>
    <cellStyle name="Normal 10 5 2 2 2 4" xfId="1842"/>
    <cellStyle name="Normal 10 5 2 2 2 4 2" xfId="1843"/>
    <cellStyle name="Normal 10 5 2 2 2 4 2 2" xfId="1844"/>
    <cellStyle name="Normal 10 5 2 2 2 4 3" xfId="1845"/>
    <cellStyle name="Normal 10 5 2 2 2 5" xfId="1846"/>
    <cellStyle name="Normal 10 5 2 2 2 5 2" xfId="1847"/>
    <cellStyle name="Normal 10 5 2 2 2 6" xfId="1848"/>
    <cellStyle name="Normal 10 5 2 2 3" xfId="1849"/>
    <cellStyle name="Normal 10 5 2 2 3 2" xfId="1850"/>
    <cellStyle name="Normal 10 5 2 2 3 2 2" xfId="1851"/>
    <cellStyle name="Normal 10 5 2 2 3 2 2 2" xfId="1852"/>
    <cellStyle name="Normal 10 5 2 2 3 2 3" xfId="1853"/>
    <cellStyle name="Normal 10 5 2 2 3 3" xfId="1854"/>
    <cellStyle name="Normal 10 5 2 2 3 3 2" xfId="1855"/>
    <cellStyle name="Normal 10 5 2 2 3 4" xfId="1856"/>
    <cellStyle name="Normal 10 5 2 2 4" xfId="1857"/>
    <cellStyle name="Normal 10 5 2 2 4 2" xfId="1858"/>
    <cellStyle name="Normal 10 5 2 2 4 2 2" xfId="1859"/>
    <cellStyle name="Normal 10 5 2 2 4 2 2 2" xfId="1860"/>
    <cellStyle name="Normal 10 5 2 2 4 2 3" xfId="1861"/>
    <cellStyle name="Normal 10 5 2 2 4 3" xfId="1862"/>
    <cellStyle name="Normal 10 5 2 2 4 3 2" xfId="1863"/>
    <cellStyle name="Normal 10 5 2 2 4 4" xfId="1864"/>
    <cellStyle name="Normal 10 5 2 2 5" xfId="1865"/>
    <cellStyle name="Normal 10 5 2 2 5 2" xfId="1866"/>
    <cellStyle name="Normal 10 5 2 2 5 2 2" xfId="1867"/>
    <cellStyle name="Normal 10 5 2 2 5 3" xfId="1868"/>
    <cellStyle name="Normal 10 5 2 2 6" xfId="1869"/>
    <cellStyle name="Normal 10 5 2 2 6 2" xfId="1870"/>
    <cellStyle name="Normal 10 5 2 2 7" xfId="1871"/>
    <cellStyle name="Normal 10 5 2 3" xfId="1872"/>
    <cellStyle name="Normal 10 5 2 3 2" xfId="1873"/>
    <cellStyle name="Normal 10 5 2 3 2 2" xfId="1874"/>
    <cellStyle name="Normal 10 5 2 3 2 2 2" xfId="1875"/>
    <cellStyle name="Normal 10 5 2 3 2 2 2 2" xfId="1876"/>
    <cellStyle name="Normal 10 5 2 3 2 2 3" xfId="1877"/>
    <cellStyle name="Normal 10 5 2 3 2 3" xfId="1878"/>
    <cellStyle name="Normal 10 5 2 3 2 3 2" xfId="1879"/>
    <cellStyle name="Normal 10 5 2 3 2 4" xfId="1880"/>
    <cellStyle name="Normal 10 5 2 3 3" xfId="1881"/>
    <cellStyle name="Normal 10 5 2 3 3 2" xfId="1882"/>
    <cellStyle name="Normal 10 5 2 3 3 2 2" xfId="1883"/>
    <cellStyle name="Normal 10 5 2 3 3 2 2 2" xfId="1884"/>
    <cellStyle name="Normal 10 5 2 3 3 2 3" xfId="1885"/>
    <cellStyle name="Normal 10 5 2 3 3 3" xfId="1886"/>
    <cellStyle name="Normal 10 5 2 3 3 3 2" xfId="1887"/>
    <cellStyle name="Normal 10 5 2 3 3 4" xfId="1888"/>
    <cellStyle name="Normal 10 5 2 3 4" xfId="1889"/>
    <cellStyle name="Normal 10 5 2 3 4 2" xfId="1890"/>
    <cellStyle name="Normal 10 5 2 3 4 2 2" xfId="1891"/>
    <cellStyle name="Normal 10 5 2 3 4 3" xfId="1892"/>
    <cellStyle name="Normal 10 5 2 3 5" xfId="1893"/>
    <cellStyle name="Normal 10 5 2 3 5 2" xfId="1894"/>
    <cellStyle name="Normal 10 5 2 3 6" xfId="1895"/>
    <cellStyle name="Normal 10 5 2 4" xfId="1896"/>
    <cellStyle name="Normal 10 5 2 4 2" xfId="1897"/>
    <cellStyle name="Normal 10 5 2 4 2 2" xfId="1898"/>
    <cellStyle name="Normal 10 5 2 4 2 2 2" xfId="1899"/>
    <cellStyle name="Normal 10 5 2 4 2 3" xfId="1900"/>
    <cellStyle name="Normal 10 5 2 4 3" xfId="1901"/>
    <cellStyle name="Normal 10 5 2 4 3 2" xfId="1902"/>
    <cellStyle name="Normal 10 5 2 4 4" xfId="1903"/>
    <cellStyle name="Normal 10 5 2 5" xfId="1904"/>
    <cellStyle name="Normal 10 5 2 5 2" xfId="1905"/>
    <cellStyle name="Normal 10 5 2 5 2 2" xfId="1906"/>
    <cellStyle name="Normal 10 5 2 5 2 2 2" xfId="1907"/>
    <cellStyle name="Normal 10 5 2 5 2 3" xfId="1908"/>
    <cellStyle name="Normal 10 5 2 5 3" xfId="1909"/>
    <cellStyle name="Normal 10 5 2 5 3 2" xfId="1910"/>
    <cellStyle name="Normal 10 5 2 5 4" xfId="1911"/>
    <cellStyle name="Normal 10 5 2 6" xfId="1912"/>
    <cellStyle name="Normal 10 5 2 6 2" xfId="1913"/>
    <cellStyle name="Normal 10 5 2 6 2 2" xfId="1914"/>
    <cellStyle name="Normal 10 5 2 6 2 2 2" xfId="1915"/>
    <cellStyle name="Normal 10 5 2 6 2 3" xfId="1916"/>
    <cellStyle name="Normal 10 5 2 6 3" xfId="1917"/>
    <cellStyle name="Normal 10 5 2 6 3 2" xfId="1918"/>
    <cellStyle name="Normal 10 5 2 6 4" xfId="1919"/>
    <cellStyle name="Normal 10 5 2 7" xfId="1920"/>
    <cellStyle name="Normal 10 5 2 7 2" xfId="1921"/>
    <cellStyle name="Normal 10 5 2 7 2 2" xfId="1922"/>
    <cellStyle name="Normal 10 5 2 7 3" xfId="1923"/>
    <cellStyle name="Normal 10 5 2 8" xfId="1924"/>
    <cellStyle name="Normal 10 5 2 8 2" xfId="1925"/>
    <cellStyle name="Normal 10 5 2 9" xfId="1926"/>
    <cellStyle name="Normal 10 5 3" xfId="1927"/>
    <cellStyle name="Normal 10 5 3 2" xfId="1928"/>
    <cellStyle name="Normal 10 5 3 2 2" xfId="1929"/>
    <cellStyle name="Normal 10 5 3 2 2 2" xfId="1930"/>
    <cellStyle name="Normal 10 5 3 2 2 2 2" xfId="1931"/>
    <cellStyle name="Normal 10 5 3 2 2 2 2 2" xfId="1932"/>
    <cellStyle name="Normal 10 5 3 2 2 2 3" xfId="1933"/>
    <cellStyle name="Normal 10 5 3 2 2 3" xfId="1934"/>
    <cellStyle name="Normal 10 5 3 2 2 3 2" xfId="1935"/>
    <cellStyle name="Normal 10 5 3 2 2 4" xfId="1936"/>
    <cellStyle name="Normal 10 5 3 2 3" xfId="1937"/>
    <cellStyle name="Normal 10 5 3 2 3 2" xfId="1938"/>
    <cellStyle name="Normal 10 5 3 2 3 2 2" xfId="1939"/>
    <cellStyle name="Normal 10 5 3 2 3 2 2 2" xfId="1940"/>
    <cellStyle name="Normal 10 5 3 2 3 2 3" xfId="1941"/>
    <cellStyle name="Normal 10 5 3 2 3 3" xfId="1942"/>
    <cellStyle name="Normal 10 5 3 2 3 3 2" xfId="1943"/>
    <cellStyle name="Normal 10 5 3 2 3 4" xfId="1944"/>
    <cellStyle name="Normal 10 5 3 2 4" xfId="1945"/>
    <cellStyle name="Normal 10 5 3 2 4 2" xfId="1946"/>
    <cellStyle name="Normal 10 5 3 2 4 2 2" xfId="1947"/>
    <cellStyle name="Normal 10 5 3 2 4 3" xfId="1948"/>
    <cellStyle name="Normal 10 5 3 2 5" xfId="1949"/>
    <cellStyle name="Normal 10 5 3 2 5 2" xfId="1950"/>
    <cellStyle name="Normal 10 5 3 2 6" xfId="1951"/>
    <cellStyle name="Normal 10 5 3 3" xfId="1952"/>
    <cellStyle name="Normal 10 5 3 3 2" xfId="1953"/>
    <cellStyle name="Normal 10 5 3 3 2 2" xfId="1954"/>
    <cellStyle name="Normal 10 5 3 3 2 2 2" xfId="1955"/>
    <cellStyle name="Normal 10 5 3 3 2 3" xfId="1956"/>
    <cellStyle name="Normal 10 5 3 3 3" xfId="1957"/>
    <cellStyle name="Normal 10 5 3 3 3 2" xfId="1958"/>
    <cellStyle name="Normal 10 5 3 3 4" xfId="1959"/>
    <cellStyle name="Normal 10 5 3 4" xfId="1960"/>
    <cellStyle name="Normal 10 5 3 4 2" xfId="1961"/>
    <cellStyle name="Normal 10 5 3 4 2 2" xfId="1962"/>
    <cellStyle name="Normal 10 5 3 4 2 2 2" xfId="1963"/>
    <cellStyle name="Normal 10 5 3 4 2 3" xfId="1964"/>
    <cellStyle name="Normal 10 5 3 4 3" xfId="1965"/>
    <cellStyle name="Normal 10 5 3 4 3 2" xfId="1966"/>
    <cellStyle name="Normal 10 5 3 4 4" xfId="1967"/>
    <cellStyle name="Normal 10 5 3 5" xfId="1968"/>
    <cellStyle name="Normal 10 5 3 5 2" xfId="1969"/>
    <cellStyle name="Normal 10 5 3 5 2 2" xfId="1970"/>
    <cellStyle name="Normal 10 5 3 5 3" xfId="1971"/>
    <cellStyle name="Normal 10 5 3 6" xfId="1972"/>
    <cellStyle name="Normal 10 5 3 6 2" xfId="1973"/>
    <cellStyle name="Normal 10 5 3 7" xfId="1974"/>
    <cellStyle name="Normal 10 5 4" xfId="1975"/>
    <cellStyle name="Normal 10 5 4 2" xfId="1976"/>
    <cellStyle name="Normal 10 5 4 2 2" xfId="1977"/>
    <cellStyle name="Normal 10 5 4 2 2 2" xfId="1978"/>
    <cellStyle name="Normal 10 5 4 2 2 2 2" xfId="1979"/>
    <cellStyle name="Normal 10 5 4 2 2 3" xfId="1980"/>
    <cellStyle name="Normal 10 5 4 2 3" xfId="1981"/>
    <cellStyle name="Normal 10 5 4 2 3 2" xfId="1982"/>
    <cellStyle name="Normal 10 5 4 2 4" xfId="1983"/>
    <cellStyle name="Normal 10 5 4 3" xfId="1984"/>
    <cellStyle name="Normal 10 5 4 3 2" xfId="1985"/>
    <cellStyle name="Normal 10 5 4 3 2 2" xfId="1986"/>
    <cellStyle name="Normal 10 5 4 3 2 2 2" xfId="1987"/>
    <cellStyle name="Normal 10 5 4 3 2 3" xfId="1988"/>
    <cellStyle name="Normal 10 5 4 3 3" xfId="1989"/>
    <cellStyle name="Normal 10 5 4 3 3 2" xfId="1990"/>
    <cellStyle name="Normal 10 5 4 3 4" xfId="1991"/>
    <cellStyle name="Normal 10 5 4 4" xfId="1992"/>
    <cellStyle name="Normal 10 5 4 4 2" xfId="1993"/>
    <cellStyle name="Normal 10 5 4 4 2 2" xfId="1994"/>
    <cellStyle name="Normal 10 5 4 4 3" xfId="1995"/>
    <cellStyle name="Normal 10 5 4 5" xfId="1996"/>
    <cellStyle name="Normal 10 5 4 5 2" xfId="1997"/>
    <cellStyle name="Normal 10 5 4 6" xfId="1998"/>
    <cellStyle name="Normal 10 5 5" xfId="1999"/>
    <cellStyle name="Normal 10 5 5 2" xfId="2000"/>
    <cellStyle name="Normal 10 5 5 2 2" xfId="2001"/>
    <cellStyle name="Normal 10 5 5 2 2 2" xfId="2002"/>
    <cellStyle name="Normal 10 5 5 2 3" xfId="2003"/>
    <cellStyle name="Normal 10 5 5 3" xfId="2004"/>
    <cellStyle name="Normal 10 5 5 3 2" xfId="2005"/>
    <cellStyle name="Normal 10 5 5 4" xfId="2006"/>
    <cellStyle name="Normal 10 5 6" xfId="2007"/>
    <cellStyle name="Normal 10 5 6 2" xfId="2008"/>
    <cellStyle name="Normal 10 5 6 2 2" xfId="2009"/>
    <cellStyle name="Normal 10 5 6 2 2 2" xfId="2010"/>
    <cellStyle name="Normal 10 5 6 2 3" xfId="2011"/>
    <cellStyle name="Normal 10 5 6 3" xfId="2012"/>
    <cellStyle name="Normal 10 5 6 3 2" xfId="2013"/>
    <cellStyle name="Normal 10 5 6 4" xfId="2014"/>
    <cellStyle name="Normal 10 5 7" xfId="2015"/>
    <cellStyle name="Normal 10 5 7 2" xfId="2016"/>
    <cellStyle name="Normal 10 5 7 2 2" xfId="2017"/>
    <cellStyle name="Normal 10 5 7 2 2 2" xfId="2018"/>
    <cellStyle name="Normal 10 5 7 2 3" xfId="2019"/>
    <cellStyle name="Normal 10 5 7 3" xfId="2020"/>
    <cellStyle name="Normal 10 5 7 3 2" xfId="2021"/>
    <cellStyle name="Normal 10 5 7 4" xfId="2022"/>
    <cellStyle name="Normal 10 5 8" xfId="2023"/>
    <cellStyle name="Normal 10 5 8 2" xfId="2024"/>
    <cellStyle name="Normal 10 5 8 2 2" xfId="2025"/>
    <cellStyle name="Normal 10 5 8 3" xfId="2026"/>
    <cellStyle name="Normal 10 5 9" xfId="2027"/>
    <cellStyle name="Normal 10 5 9 2" xfId="2028"/>
    <cellStyle name="Normal 10 6" xfId="2029"/>
    <cellStyle name="Normal 10 6 2" xfId="2030"/>
    <cellStyle name="Normal 10 6 2 2" xfId="2031"/>
    <cellStyle name="Normal 10 6 2 2 2" xfId="2032"/>
    <cellStyle name="Normal 10 6 2 2 2 2" xfId="2033"/>
    <cellStyle name="Normal 10 6 2 2 2 2 2" xfId="2034"/>
    <cellStyle name="Normal 10 6 2 2 2 2 2 2" xfId="2035"/>
    <cellStyle name="Normal 10 6 2 2 2 2 3" xfId="2036"/>
    <cellStyle name="Normal 10 6 2 2 2 3" xfId="2037"/>
    <cellStyle name="Normal 10 6 2 2 2 3 2" xfId="2038"/>
    <cellStyle name="Normal 10 6 2 2 2 4" xfId="2039"/>
    <cellStyle name="Normal 10 6 2 2 3" xfId="2040"/>
    <cellStyle name="Normal 10 6 2 2 3 2" xfId="2041"/>
    <cellStyle name="Normal 10 6 2 2 3 2 2" xfId="2042"/>
    <cellStyle name="Normal 10 6 2 2 3 2 2 2" xfId="2043"/>
    <cellStyle name="Normal 10 6 2 2 3 2 3" xfId="2044"/>
    <cellStyle name="Normal 10 6 2 2 3 3" xfId="2045"/>
    <cellStyle name="Normal 10 6 2 2 3 3 2" xfId="2046"/>
    <cellStyle name="Normal 10 6 2 2 3 4" xfId="2047"/>
    <cellStyle name="Normal 10 6 2 2 4" xfId="2048"/>
    <cellStyle name="Normal 10 6 2 2 4 2" xfId="2049"/>
    <cellStyle name="Normal 10 6 2 2 4 2 2" xfId="2050"/>
    <cellStyle name="Normal 10 6 2 2 4 3" xfId="2051"/>
    <cellStyle name="Normal 10 6 2 2 5" xfId="2052"/>
    <cellStyle name="Normal 10 6 2 2 5 2" xfId="2053"/>
    <cellStyle name="Normal 10 6 2 2 6" xfId="2054"/>
    <cellStyle name="Normal 10 6 2 3" xfId="2055"/>
    <cellStyle name="Normal 10 6 2 3 2" xfId="2056"/>
    <cellStyle name="Normal 10 6 2 3 2 2" xfId="2057"/>
    <cellStyle name="Normal 10 6 2 3 2 2 2" xfId="2058"/>
    <cellStyle name="Normal 10 6 2 3 2 3" xfId="2059"/>
    <cellStyle name="Normal 10 6 2 3 3" xfId="2060"/>
    <cellStyle name="Normal 10 6 2 3 3 2" xfId="2061"/>
    <cellStyle name="Normal 10 6 2 3 4" xfId="2062"/>
    <cellStyle name="Normal 10 6 2 4" xfId="2063"/>
    <cellStyle name="Normal 10 6 2 4 2" xfId="2064"/>
    <cellStyle name="Normal 10 6 2 4 2 2" xfId="2065"/>
    <cellStyle name="Normal 10 6 2 4 2 2 2" xfId="2066"/>
    <cellStyle name="Normal 10 6 2 4 2 3" xfId="2067"/>
    <cellStyle name="Normal 10 6 2 4 3" xfId="2068"/>
    <cellStyle name="Normal 10 6 2 4 3 2" xfId="2069"/>
    <cellStyle name="Normal 10 6 2 4 4" xfId="2070"/>
    <cellStyle name="Normal 10 6 2 5" xfId="2071"/>
    <cellStyle name="Normal 10 6 2 5 2" xfId="2072"/>
    <cellStyle name="Normal 10 6 2 5 2 2" xfId="2073"/>
    <cellStyle name="Normal 10 6 2 5 3" xfId="2074"/>
    <cellStyle name="Normal 10 6 2 6" xfId="2075"/>
    <cellStyle name="Normal 10 6 2 6 2" xfId="2076"/>
    <cellStyle name="Normal 10 6 2 7" xfId="2077"/>
    <cellStyle name="Normal 10 6 3" xfId="2078"/>
    <cellStyle name="Normal 10 6 3 2" xfId="2079"/>
    <cellStyle name="Normal 10 6 3 2 2" xfId="2080"/>
    <cellStyle name="Normal 10 6 3 2 2 2" xfId="2081"/>
    <cellStyle name="Normal 10 6 3 2 2 2 2" xfId="2082"/>
    <cellStyle name="Normal 10 6 3 2 2 3" xfId="2083"/>
    <cellStyle name="Normal 10 6 3 2 3" xfId="2084"/>
    <cellStyle name="Normal 10 6 3 2 3 2" xfId="2085"/>
    <cellStyle name="Normal 10 6 3 2 4" xfId="2086"/>
    <cellStyle name="Normal 10 6 3 3" xfId="2087"/>
    <cellStyle name="Normal 10 6 3 3 2" xfId="2088"/>
    <cellStyle name="Normal 10 6 3 3 2 2" xfId="2089"/>
    <cellStyle name="Normal 10 6 3 3 2 2 2" xfId="2090"/>
    <cellStyle name="Normal 10 6 3 3 2 3" xfId="2091"/>
    <cellStyle name="Normal 10 6 3 3 3" xfId="2092"/>
    <cellStyle name="Normal 10 6 3 3 3 2" xfId="2093"/>
    <cellStyle name="Normal 10 6 3 3 4" xfId="2094"/>
    <cellStyle name="Normal 10 6 3 4" xfId="2095"/>
    <cellStyle name="Normal 10 6 3 4 2" xfId="2096"/>
    <cellStyle name="Normal 10 6 3 4 2 2" xfId="2097"/>
    <cellStyle name="Normal 10 6 3 4 3" xfId="2098"/>
    <cellStyle name="Normal 10 6 3 5" xfId="2099"/>
    <cellStyle name="Normal 10 6 3 5 2" xfId="2100"/>
    <cellStyle name="Normal 10 6 3 6" xfId="2101"/>
    <cellStyle name="Normal 10 6 4" xfId="2102"/>
    <cellStyle name="Normal 10 6 4 2" xfId="2103"/>
    <cellStyle name="Normal 10 6 4 2 2" xfId="2104"/>
    <cellStyle name="Normal 10 6 4 2 2 2" xfId="2105"/>
    <cellStyle name="Normal 10 6 4 2 3" xfId="2106"/>
    <cellStyle name="Normal 10 6 4 3" xfId="2107"/>
    <cellStyle name="Normal 10 6 4 3 2" xfId="2108"/>
    <cellStyle name="Normal 10 6 4 4" xfId="2109"/>
    <cellStyle name="Normal 10 6 5" xfId="2110"/>
    <cellStyle name="Normal 10 6 5 2" xfId="2111"/>
    <cellStyle name="Normal 10 6 5 2 2" xfId="2112"/>
    <cellStyle name="Normal 10 6 5 2 2 2" xfId="2113"/>
    <cellStyle name="Normal 10 6 5 2 3" xfId="2114"/>
    <cellStyle name="Normal 10 6 5 3" xfId="2115"/>
    <cellStyle name="Normal 10 6 5 3 2" xfId="2116"/>
    <cellStyle name="Normal 10 6 5 4" xfId="2117"/>
    <cellStyle name="Normal 10 6 6" xfId="2118"/>
    <cellStyle name="Normal 10 6 6 2" xfId="2119"/>
    <cellStyle name="Normal 10 6 6 2 2" xfId="2120"/>
    <cellStyle name="Normal 10 6 6 2 2 2" xfId="2121"/>
    <cellStyle name="Normal 10 6 6 2 3" xfId="2122"/>
    <cellStyle name="Normal 10 6 6 3" xfId="2123"/>
    <cellStyle name="Normal 10 6 6 3 2" xfId="2124"/>
    <cellStyle name="Normal 10 6 6 4" xfId="2125"/>
    <cellStyle name="Normal 10 6 7" xfId="2126"/>
    <cellStyle name="Normal 10 6 7 2" xfId="2127"/>
    <cellStyle name="Normal 10 6 7 2 2" xfId="2128"/>
    <cellStyle name="Normal 10 6 7 3" xfId="2129"/>
    <cellStyle name="Normal 10 6 8" xfId="2130"/>
    <cellStyle name="Normal 10 6 8 2" xfId="2131"/>
    <cellStyle name="Normal 10 6 9" xfId="2132"/>
    <cellStyle name="Normal 10 7" xfId="2133"/>
    <cellStyle name="Normal 10 8" xfId="2134"/>
    <cellStyle name="Normal 10 8 2" xfId="2135"/>
    <cellStyle name="Normal 10 8 2 2" xfId="2136"/>
    <cellStyle name="Normal 10 8 2 2 2" xfId="2137"/>
    <cellStyle name="Normal 10 8 2 2 2 2" xfId="2138"/>
    <cellStyle name="Normal 10 8 2 2 2 2 2" xfId="2139"/>
    <cellStyle name="Normal 10 8 2 2 2 3" xfId="2140"/>
    <cellStyle name="Normal 10 8 2 2 3" xfId="2141"/>
    <cellStyle name="Normal 10 8 2 2 3 2" xfId="2142"/>
    <cellStyle name="Normal 10 8 2 2 4" xfId="2143"/>
    <cellStyle name="Normal 10 8 2 3" xfId="2144"/>
    <cellStyle name="Normal 10 8 2 3 2" xfId="2145"/>
    <cellStyle name="Normal 10 8 2 3 2 2" xfId="2146"/>
    <cellStyle name="Normal 10 8 2 3 2 2 2" xfId="2147"/>
    <cellStyle name="Normal 10 8 2 3 2 3" xfId="2148"/>
    <cellStyle name="Normal 10 8 2 3 3" xfId="2149"/>
    <cellStyle name="Normal 10 8 2 3 3 2" xfId="2150"/>
    <cellStyle name="Normal 10 8 2 3 4" xfId="2151"/>
    <cellStyle name="Normal 10 8 2 4" xfId="2152"/>
    <cellStyle name="Normal 10 8 2 4 2" xfId="2153"/>
    <cellStyle name="Normal 10 8 2 4 2 2" xfId="2154"/>
    <cellStyle name="Normal 10 8 2 4 3" xfId="2155"/>
    <cellStyle name="Normal 10 8 2 5" xfId="2156"/>
    <cellStyle name="Normal 10 8 2 5 2" xfId="2157"/>
    <cellStyle name="Normal 10 8 2 6" xfId="2158"/>
    <cellStyle name="Normal 10 8 3" xfId="2159"/>
    <cellStyle name="Normal 10 8 3 2" xfId="2160"/>
    <cellStyle name="Normal 10 8 3 2 2" xfId="2161"/>
    <cellStyle name="Normal 10 8 3 2 2 2" xfId="2162"/>
    <cellStyle name="Normal 10 8 3 2 3" xfId="2163"/>
    <cellStyle name="Normal 10 8 3 3" xfId="2164"/>
    <cellStyle name="Normal 10 8 3 3 2" xfId="2165"/>
    <cellStyle name="Normal 10 8 3 4" xfId="2166"/>
    <cellStyle name="Normal 10 8 4" xfId="2167"/>
    <cellStyle name="Normal 10 8 4 2" xfId="2168"/>
    <cellStyle name="Normal 10 8 4 2 2" xfId="2169"/>
    <cellStyle name="Normal 10 8 4 2 2 2" xfId="2170"/>
    <cellStyle name="Normal 10 8 4 2 3" xfId="2171"/>
    <cellStyle name="Normal 10 8 4 3" xfId="2172"/>
    <cellStyle name="Normal 10 8 4 3 2" xfId="2173"/>
    <cellStyle name="Normal 10 8 4 4" xfId="2174"/>
    <cellStyle name="Normal 10 8 5" xfId="2175"/>
    <cellStyle name="Normal 10 8 5 2" xfId="2176"/>
    <cellStyle name="Normal 10 8 5 2 2" xfId="2177"/>
    <cellStyle name="Normal 10 8 5 3" xfId="2178"/>
    <cellStyle name="Normal 10 8 6" xfId="2179"/>
    <cellStyle name="Normal 10 8 6 2" xfId="2180"/>
    <cellStyle name="Normal 10 8 7" xfId="2181"/>
    <cellStyle name="Normal 10 9" xfId="2182"/>
    <cellStyle name="Normal 10 9 2" xfId="2183"/>
    <cellStyle name="Normal 10 9 2 2" xfId="2184"/>
    <cellStyle name="Normal 10 9 2 2 2" xfId="2185"/>
    <cellStyle name="Normal 10 9 2 2 2 2" xfId="2186"/>
    <cellStyle name="Normal 10 9 2 2 3" xfId="2187"/>
    <cellStyle name="Normal 10 9 2 3" xfId="2188"/>
    <cellStyle name="Normal 10 9 2 3 2" xfId="2189"/>
    <cellStyle name="Normal 10 9 2 4" xfId="2190"/>
    <cellStyle name="Normal 10 9 3" xfId="2191"/>
    <cellStyle name="Normal 10 9 3 2" xfId="2192"/>
    <cellStyle name="Normal 10 9 3 2 2" xfId="2193"/>
    <cellStyle name="Normal 10 9 3 2 2 2" xfId="2194"/>
    <cellStyle name="Normal 10 9 3 2 3" xfId="2195"/>
    <cellStyle name="Normal 10 9 3 3" xfId="2196"/>
    <cellStyle name="Normal 10 9 3 3 2" xfId="2197"/>
    <cellStyle name="Normal 10 9 3 4" xfId="2198"/>
    <cellStyle name="Normal 10 9 4" xfId="2199"/>
    <cellStyle name="Normal 10 9 4 2" xfId="2200"/>
    <cellStyle name="Normal 10 9 4 2 2" xfId="2201"/>
    <cellStyle name="Normal 10 9 4 3" xfId="2202"/>
    <cellStyle name="Normal 10 9 5" xfId="2203"/>
    <cellStyle name="Normal 10 9 5 2" xfId="2204"/>
    <cellStyle name="Normal 10 9 6" xfId="2205"/>
    <cellStyle name="Normal 11" xfId="2206"/>
    <cellStyle name="Normal 12" xfId="2207"/>
    <cellStyle name="Normal 12 10" xfId="2208"/>
    <cellStyle name="Normal 12 10 2" xfId="2209"/>
    <cellStyle name="Normal 12 10 2 2" xfId="2210"/>
    <cellStyle name="Normal 12 10 2 2 2" xfId="2211"/>
    <cellStyle name="Normal 12 10 2 3" xfId="2212"/>
    <cellStyle name="Normal 12 10 3" xfId="2213"/>
    <cellStyle name="Normal 12 10 3 2" xfId="2214"/>
    <cellStyle name="Normal 12 10 4" xfId="2215"/>
    <cellStyle name="Normal 12 11" xfId="2216"/>
    <cellStyle name="Normal 12 11 2" xfId="2217"/>
    <cellStyle name="Normal 12 11 2 2" xfId="2218"/>
    <cellStyle name="Normal 12 11 2 2 2" xfId="2219"/>
    <cellStyle name="Normal 12 11 2 3" xfId="2220"/>
    <cellStyle name="Normal 12 11 3" xfId="2221"/>
    <cellStyle name="Normal 12 11 3 2" xfId="2222"/>
    <cellStyle name="Normal 12 11 4" xfId="2223"/>
    <cellStyle name="Normal 12 12" xfId="2224"/>
    <cellStyle name="Normal 12 12 2" xfId="2225"/>
    <cellStyle name="Normal 12 12 2 2" xfId="2226"/>
    <cellStyle name="Normal 12 12 3" xfId="2227"/>
    <cellStyle name="Normal 12 13" xfId="2228"/>
    <cellStyle name="Normal 12 13 2" xfId="2229"/>
    <cellStyle name="Normal 12 14" xfId="2230"/>
    <cellStyle name="Normal 12 2" xfId="2231"/>
    <cellStyle name="Normal 12 2 10" xfId="2232"/>
    <cellStyle name="Normal 12 2 10 2" xfId="2233"/>
    <cellStyle name="Normal 12 2 10 2 2" xfId="2234"/>
    <cellStyle name="Normal 12 2 10 2 2 2" xfId="2235"/>
    <cellStyle name="Normal 12 2 10 2 3" xfId="2236"/>
    <cellStyle name="Normal 12 2 10 3" xfId="2237"/>
    <cellStyle name="Normal 12 2 10 3 2" xfId="2238"/>
    <cellStyle name="Normal 12 2 10 4" xfId="2239"/>
    <cellStyle name="Normal 12 2 11" xfId="2240"/>
    <cellStyle name="Normal 12 2 11 2" xfId="2241"/>
    <cellStyle name="Normal 12 2 11 2 2" xfId="2242"/>
    <cellStyle name="Normal 12 2 11 3" xfId="2243"/>
    <cellStyle name="Normal 12 2 12" xfId="2244"/>
    <cellStyle name="Normal 12 2 12 2" xfId="2245"/>
    <cellStyle name="Normal 12 2 13" xfId="2246"/>
    <cellStyle name="Normal 12 2 2" xfId="2247"/>
    <cellStyle name="Normal 12 2 2 10" xfId="2248"/>
    <cellStyle name="Normal 12 2 2 10 2" xfId="2249"/>
    <cellStyle name="Normal 12 2 2 11" xfId="2250"/>
    <cellStyle name="Normal 12 2 2 2" xfId="2251"/>
    <cellStyle name="Normal 12 2 2 2 10" xfId="2252"/>
    <cellStyle name="Normal 12 2 2 2 2" xfId="2253"/>
    <cellStyle name="Normal 12 2 2 2 2 2" xfId="2254"/>
    <cellStyle name="Normal 12 2 2 2 2 2 2" xfId="2255"/>
    <cellStyle name="Normal 12 2 2 2 2 2 2 2" xfId="2256"/>
    <cellStyle name="Normal 12 2 2 2 2 2 2 2 2" xfId="2257"/>
    <cellStyle name="Normal 12 2 2 2 2 2 2 2 2 2" xfId="2258"/>
    <cellStyle name="Normal 12 2 2 2 2 2 2 2 2 2 2" xfId="2259"/>
    <cellStyle name="Normal 12 2 2 2 2 2 2 2 2 3" xfId="2260"/>
    <cellStyle name="Normal 12 2 2 2 2 2 2 2 3" xfId="2261"/>
    <cellStyle name="Normal 12 2 2 2 2 2 2 2 3 2" xfId="2262"/>
    <cellStyle name="Normal 12 2 2 2 2 2 2 2 4" xfId="2263"/>
    <cellStyle name="Normal 12 2 2 2 2 2 2 3" xfId="2264"/>
    <cellStyle name="Normal 12 2 2 2 2 2 2 3 2" xfId="2265"/>
    <cellStyle name="Normal 12 2 2 2 2 2 2 3 2 2" xfId="2266"/>
    <cellStyle name="Normal 12 2 2 2 2 2 2 3 2 2 2" xfId="2267"/>
    <cellStyle name="Normal 12 2 2 2 2 2 2 3 2 3" xfId="2268"/>
    <cellStyle name="Normal 12 2 2 2 2 2 2 3 3" xfId="2269"/>
    <cellStyle name="Normal 12 2 2 2 2 2 2 3 3 2" xfId="2270"/>
    <cellStyle name="Normal 12 2 2 2 2 2 2 3 4" xfId="2271"/>
    <cellStyle name="Normal 12 2 2 2 2 2 2 4" xfId="2272"/>
    <cellStyle name="Normal 12 2 2 2 2 2 2 4 2" xfId="2273"/>
    <cellStyle name="Normal 12 2 2 2 2 2 2 4 2 2" xfId="2274"/>
    <cellStyle name="Normal 12 2 2 2 2 2 2 4 3" xfId="2275"/>
    <cellStyle name="Normal 12 2 2 2 2 2 2 5" xfId="2276"/>
    <cellStyle name="Normal 12 2 2 2 2 2 2 5 2" xfId="2277"/>
    <cellStyle name="Normal 12 2 2 2 2 2 2 6" xfId="2278"/>
    <cellStyle name="Normal 12 2 2 2 2 2 3" xfId="2279"/>
    <cellStyle name="Normal 12 2 2 2 2 2 3 2" xfId="2280"/>
    <cellStyle name="Normal 12 2 2 2 2 2 3 2 2" xfId="2281"/>
    <cellStyle name="Normal 12 2 2 2 2 2 3 2 2 2" xfId="2282"/>
    <cellStyle name="Normal 12 2 2 2 2 2 3 2 3" xfId="2283"/>
    <cellStyle name="Normal 12 2 2 2 2 2 3 3" xfId="2284"/>
    <cellStyle name="Normal 12 2 2 2 2 2 3 3 2" xfId="2285"/>
    <cellStyle name="Normal 12 2 2 2 2 2 3 4" xfId="2286"/>
    <cellStyle name="Normal 12 2 2 2 2 2 4" xfId="2287"/>
    <cellStyle name="Normal 12 2 2 2 2 2 4 2" xfId="2288"/>
    <cellStyle name="Normal 12 2 2 2 2 2 4 2 2" xfId="2289"/>
    <cellStyle name="Normal 12 2 2 2 2 2 4 2 2 2" xfId="2290"/>
    <cellStyle name="Normal 12 2 2 2 2 2 4 2 3" xfId="2291"/>
    <cellStyle name="Normal 12 2 2 2 2 2 4 3" xfId="2292"/>
    <cellStyle name="Normal 12 2 2 2 2 2 4 3 2" xfId="2293"/>
    <cellStyle name="Normal 12 2 2 2 2 2 4 4" xfId="2294"/>
    <cellStyle name="Normal 12 2 2 2 2 2 5" xfId="2295"/>
    <cellStyle name="Normal 12 2 2 2 2 2 5 2" xfId="2296"/>
    <cellStyle name="Normal 12 2 2 2 2 2 5 2 2" xfId="2297"/>
    <cellStyle name="Normal 12 2 2 2 2 2 5 3" xfId="2298"/>
    <cellStyle name="Normal 12 2 2 2 2 2 6" xfId="2299"/>
    <cellStyle name="Normal 12 2 2 2 2 2 6 2" xfId="2300"/>
    <cellStyle name="Normal 12 2 2 2 2 2 7" xfId="2301"/>
    <cellStyle name="Normal 12 2 2 2 2 3" xfId="2302"/>
    <cellStyle name="Normal 12 2 2 2 2 3 2" xfId="2303"/>
    <cellStyle name="Normal 12 2 2 2 2 3 2 2" xfId="2304"/>
    <cellStyle name="Normal 12 2 2 2 2 3 2 2 2" xfId="2305"/>
    <cellStyle name="Normal 12 2 2 2 2 3 2 2 2 2" xfId="2306"/>
    <cellStyle name="Normal 12 2 2 2 2 3 2 2 3" xfId="2307"/>
    <cellStyle name="Normal 12 2 2 2 2 3 2 3" xfId="2308"/>
    <cellStyle name="Normal 12 2 2 2 2 3 2 3 2" xfId="2309"/>
    <cellStyle name="Normal 12 2 2 2 2 3 2 4" xfId="2310"/>
    <cellStyle name="Normal 12 2 2 2 2 3 3" xfId="2311"/>
    <cellStyle name="Normal 12 2 2 2 2 3 3 2" xfId="2312"/>
    <cellStyle name="Normal 12 2 2 2 2 3 3 2 2" xfId="2313"/>
    <cellStyle name="Normal 12 2 2 2 2 3 3 2 2 2" xfId="2314"/>
    <cellStyle name="Normal 12 2 2 2 2 3 3 2 3" xfId="2315"/>
    <cellStyle name="Normal 12 2 2 2 2 3 3 3" xfId="2316"/>
    <cellStyle name="Normal 12 2 2 2 2 3 3 3 2" xfId="2317"/>
    <cellStyle name="Normal 12 2 2 2 2 3 3 4" xfId="2318"/>
    <cellStyle name="Normal 12 2 2 2 2 3 4" xfId="2319"/>
    <cellStyle name="Normal 12 2 2 2 2 3 4 2" xfId="2320"/>
    <cellStyle name="Normal 12 2 2 2 2 3 4 2 2" xfId="2321"/>
    <cellStyle name="Normal 12 2 2 2 2 3 4 3" xfId="2322"/>
    <cellStyle name="Normal 12 2 2 2 2 3 5" xfId="2323"/>
    <cellStyle name="Normal 12 2 2 2 2 3 5 2" xfId="2324"/>
    <cellStyle name="Normal 12 2 2 2 2 3 6" xfId="2325"/>
    <cellStyle name="Normal 12 2 2 2 2 4" xfId="2326"/>
    <cellStyle name="Normal 12 2 2 2 2 4 2" xfId="2327"/>
    <cellStyle name="Normal 12 2 2 2 2 4 2 2" xfId="2328"/>
    <cellStyle name="Normal 12 2 2 2 2 4 2 2 2" xfId="2329"/>
    <cellStyle name="Normal 12 2 2 2 2 4 2 3" xfId="2330"/>
    <cellStyle name="Normal 12 2 2 2 2 4 3" xfId="2331"/>
    <cellStyle name="Normal 12 2 2 2 2 4 3 2" xfId="2332"/>
    <cellStyle name="Normal 12 2 2 2 2 4 4" xfId="2333"/>
    <cellStyle name="Normal 12 2 2 2 2 5" xfId="2334"/>
    <cellStyle name="Normal 12 2 2 2 2 5 2" xfId="2335"/>
    <cellStyle name="Normal 12 2 2 2 2 5 2 2" xfId="2336"/>
    <cellStyle name="Normal 12 2 2 2 2 5 2 2 2" xfId="2337"/>
    <cellStyle name="Normal 12 2 2 2 2 5 2 3" xfId="2338"/>
    <cellStyle name="Normal 12 2 2 2 2 5 3" xfId="2339"/>
    <cellStyle name="Normal 12 2 2 2 2 5 3 2" xfId="2340"/>
    <cellStyle name="Normal 12 2 2 2 2 5 4" xfId="2341"/>
    <cellStyle name="Normal 12 2 2 2 2 6" xfId="2342"/>
    <cellStyle name="Normal 12 2 2 2 2 6 2" xfId="2343"/>
    <cellStyle name="Normal 12 2 2 2 2 6 2 2" xfId="2344"/>
    <cellStyle name="Normal 12 2 2 2 2 6 2 2 2" xfId="2345"/>
    <cellStyle name="Normal 12 2 2 2 2 6 2 3" xfId="2346"/>
    <cellStyle name="Normal 12 2 2 2 2 6 3" xfId="2347"/>
    <cellStyle name="Normal 12 2 2 2 2 6 3 2" xfId="2348"/>
    <cellStyle name="Normal 12 2 2 2 2 6 4" xfId="2349"/>
    <cellStyle name="Normal 12 2 2 2 2 7" xfId="2350"/>
    <cellStyle name="Normal 12 2 2 2 2 7 2" xfId="2351"/>
    <cellStyle name="Normal 12 2 2 2 2 7 2 2" xfId="2352"/>
    <cellStyle name="Normal 12 2 2 2 2 7 3" xfId="2353"/>
    <cellStyle name="Normal 12 2 2 2 2 8" xfId="2354"/>
    <cellStyle name="Normal 12 2 2 2 2 8 2" xfId="2355"/>
    <cellStyle name="Normal 12 2 2 2 2 9" xfId="2356"/>
    <cellStyle name="Normal 12 2 2 2 3" xfId="2357"/>
    <cellStyle name="Normal 12 2 2 2 3 2" xfId="2358"/>
    <cellStyle name="Normal 12 2 2 2 3 2 2" xfId="2359"/>
    <cellStyle name="Normal 12 2 2 2 3 2 2 2" xfId="2360"/>
    <cellStyle name="Normal 12 2 2 2 3 2 2 2 2" xfId="2361"/>
    <cellStyle name="Normal 12 2 2 2 3 2 2 2 2 2" xfId="2362"/>
    <cellStyle name="Normal 12 2 2 2 3 2 2 2 3" xfId="2363"/>
    <cellStyle name="Normal 12 2 2 2 3 2 2 3" xfId="2364"/>
    <cellStyle name="Normal 12 2 2 2 3 2 2 3 2" xfId="2365"/>
    <cellStyle name="Normal 12 2 2 2 3 2 2 4" xfId="2366"/>
    <cellStyle name="Normal 12 2 2 2 3 2 3" xfId="2367"/>
    <cellStyle name="Normal 12 2 2 2 3 2 3 2" xfId="2368"/>
    <cellStyle name="Normal 12 2 2 2 3 2 3 2 2" xfId="2369"/>
    <cellStyle name="Normal 12 2 2 2 3 2 3 2 2 2" xfId="2370"/>
    <cellStyle name="Normal 12 2 2 2 3 2 3 2 3" xfId="2371"/>
    <cellStyle name="Normal 12 2 2 2 3 2 3 3" xfId="2372"/>
    <cellStyle name="Normal 12 2 2 2 3 2 3 3 2" xfId="2373"/>
    <cellStyle name="Normal 12 2 2 2 3 2 3 4" xfId="2374"/>
    <cellStyle name="Normal 12 2 2 2 3 2 4" xfId="2375"/>
    <cellStyle name="Normal 12 2 2 2 3 2 4 2" xfId="2376"/>
    <cellStyle name="Normal 12 2 2 2 3 2 4 2 2" xfId="2377"/>
    <cellStyle name="Normal 12 2 2 2 3 2 4 3" xfId="2378"/>
    <cellStyle name="Normal 12 2 2 2 3 2 5" xfId="2379"/>
    <cellStyle name="Normal 12 2 2 2 3 2 5 2" xfId="2380"/>
    <cellStyle name="Normal 12 2 2 2 3 2 6" xfId="2381"/>
    <cellStyle name="Normal 12 2 2 2 3 3" xfId="2382"/>
    <cellStyle name="Normal 12 2 2 2 3 3 2" xfId="2383"/>
    <cellStyle name="Normal 12 2 2 2 3 3 2 2" xfId="2384"/>
    <cellStyle name="Normal 12 2 2 2 3 3 2 2 2" xfId="2385"/>
    <cellStyle name="Normal 12 2 2 2 3 3 2 3" xfId="2386"/>
    <cellStyle name="Normal 12 2 2 2 3 3 3" xfId="2387"/>
    <cellStyle name="Normal 12 2 2 2 3 3 3 2" xfId="2388"/>
    <cellStyle name="Normal 12 2 2 2 3 3 4" xfId="2389"/>
    <cellStyle name="Normal 12 2 2 2 3 4" xfId="2390"/>
    <cellStyle name="Normal 12 2 2 2 3 4 2" xfId="2391"/>
    <cellStyle name="Normal 12 2 2 2 3 4 2 2" xfId="2392"/>
    <cellStyle name="Normal 12 2 2 2 3 4 2 2 2" xfId="2393"/>
    <cellStyle name="Normal 12 2 2 2 3 4 2 3" xfId="2394"/>
    <cellStyle name="Normal 12 2 2 2 3 4 3" xfId="2395"/>
    <cellStyle name="Normal 12 2 2 2 3 4 3 2" xfId="2396"/>
    <cellStyle name="Normal 12 2 2 2 3 4 4" xfId="2397"/>
    <cellStyle name="Normal 12 2 2 2 3 5" xfId="2398"/>
    <cellStyle name="Normal 12 2 2 2 3 5 2" xfId="2399"/>
    <cellStyle name="Normal 12 2 2 2 3 5 2 2" xfId="2400"/>
    <cellStyle name="Normal 12 2 2 2 3 5 3" xfId="2401"/>
    <cellStyle name="Normal 12 2 2 2 3 6" xfId="2402"/>
    <cellStyle name="Normal 12 2 2 2 3 6 2" xfId="2403"/>
    <cellStyle name="Normal 12 2 2 2 3 7" xfId="2404"/>
    <cellStyle name="Normal 12 2 2 2 4" xfId="2405"/>
    <cellStyle name="Normal 12 2 2 2 4 2" xfId="2406"/>
    <cellStyle name="Normal 12 2 2 2 4 2 2" xfId="2407"/>
    <cellStyle name="Normal 12 2 2 2 4 2 2 2" xfId="2408"/>
    <cellStyle name="Normal 12 2 2 2 4 2 2 2 2" xfId="2409"/>
    <cellStyle name="Normal 12 2 2 2 4 2 2 3" xfId="2410"/>
    <cellStyle name="Normal 12 2 2 2 4 2 3" xfId="2411"/>
    <cellStyle name="Normal 12 2 2 2 4 2 3 2" xfId="2412"/>
    <cellStyle name="Normal 12 2 2 2 4 2 4" xfId="2413"/>
    <cellStyle name="Normal 12 2 2 2 4 3" xfId="2414"/>
    <cellStyle name="Normal 12 2 2 2 4 3 2" xfId="2415"/>
    <cellStyle name="Normal 12 2 2 2 4 3 2 2" xfId="2416"/>
    <cellStyle name="Normal 12 2 2 2 4 3 2 2 2" xfId="2417"/>
    <cellStyle name="Normal 12 2 2 2 4 3 2 3" xfId="2418"/>
    <cellStyle name="Normal 12 2 2 2 4 3 3" xfId="2419"/>
    <cellStyle name="Normal 12 2 2 2 4 3 3 2" xfId="2420"/>
    <cellStyle name="Normal 12 2 2 2 4 3 4" xfId="2421"/>
    <cellStyle name="Normal 12 2 2 2 4 4" xfId="2422"/>
    <cellStyle name="Normal 12 2 2 2 4 4 2" xfId="2423"/>
    <cellStyle name="Normal 12 2 2 2 4 4 2 2" xfId="2424"/>
    <cellStyle name="Normal 12 2 2 2 4 4 3" xfId="2425"/>
    <cellStyle name="Normal 12 2 2 2 4 5" xfId="2426"/>
    <cellStyle name="Normal 12 2 2 2 4 5 2" xfId="2427"/>
    <cellStyle name="Normal 12 2 2 2 4 6" xfId="2428"/>
    <cellStyle name="Normal 12 2 2 2 5" xfId="2429"/>
    <cellStyle name="Normal 12 2 2 2 5 2" xfId="2430"/>
    <cellStyle name="Normal 12 2 2 2 5 2 2" xfId="2431"/>
    <cellStyle name="Normal 12 2 2 2 5 2 2 2" xfId="2432"/>
    <cellStyle name="Normal 12 2 2 2 5 2 3" xfId="2433"/>
    <cellStyle name="Normal 12 2 2 2 5 3" xfId="2434"/>
    <cellStyle name="Normal 12 2 2 2 5 3 2" xfId="2435"/>
    <cellStyle name="Normal 12 2 2 2 5 4" xfId="2436"/>
    <cellStyle name="Normal 12 2 2 2 6" xfId="2437"/>
    <cellStyle name="Normal 12 2 2 2 6 2" xfId="2438"/>
    <cellStyle name="Normal 12 2 2 2 6 2 2" xfId="2439"/>
    <cellStyle name="Normal 12 2 2 2 6 2 2 2" xfId="2440"/>
    <cellStyle name="Normal 12 2 2 2 6 2 3" xfId="2441"/>
    <cellStyle name="Normal 12 2 2 2 6 3" xfId="2442"/>
    <cellStyle name="Normal 12 2 2 2 6 3 2" xfId="2443"/>
    <cellStyle name="Normal 12 2 2 2 6 4" xfId="2444"/>
    <cellStyle name="Normal 12 2 2 2 7" xfId="2445"/>
    <cellStyle name="Normal 12 2 2 2 7 2" xfId="2446"/>
    <cellStyle name="Normal 12 2 2 2 7 2 2" xfId="2447"/>
    <cellStyle name="Normal 12 2 2 2 7 2 2 2" xfId="2448"/>
    <cellStyle name="Normal 12 2 2 2 7 2 3" xfId="2449"/>
    <cellStyle name="Normal 12 2 2 2 7 3" xfId="2450"/>
    <cellStyle name="Normal 12 2 2 2 7 3 2" xfId="2451"/>
    <cellStyle name="Normal 12 2 2 2 7 4" xfId="2452"/>
    <cellStyle name="Normal 12 2 2 2 8" xfId="2453"/>
    <cellStyle name="Normal 12 2 2 2 8 2" xfId="2454"/>
    <cellStyle name="Normal 12 2 2 2 8 2 2" xfId="2455"/>
    <cellStyle name="Normal 12 2 2 2 8 3" xfId="2456"/>
    <cellStyle name="Normal 12 2 2 2 9" xfId="2457"/>
    <cellStyle name="Normal 12 2 2 2 9 2" xfId="2458"/>
    <cellStyle name="Normal 12 2 2 3" xfId="2459"/>
    <cellStyle name="Normal 12 2 2 3 2" xfId="2460"/>
    <cellStyle name="Normal 12 2 2 3 2 2" xfId="2461"/>
    <cellStyle name="Normal 12 2 2 3 2 2 2" xfId="2462"/>
    <cellStyle name="Normal 12 2 2 3 2 2 2 2" xfId="2463"/>
    <cellStyle name="Normal 12 2 2 3 2 2 2 2 2" xfId="2464"/>
    <cellStyle name="Normal 12 2 2 3 2 2 2 2 2 2" xfId="2465"/>
    <cellStyle name="Normal 12 2 2 3 2 2 2 2 3" xfId="2466"/>
    <cellStyle name="Normal 12 2 2 3 2 2 2 3" xfId="2467"/>
    <cellStyle name="Normal 12 2 2 3 2 2 2 3 2" xfId="2468"/>
    <cellStyle name="Normal 12 2 2 3 2 2 2 4" xfId="2469"/>
    <cellStyle name="Normal 12 2 2 3 2 2 3" xfId="2470"/>
    <cellStyle name="Normal 12 2 2 3 2 2 3 2" xfId="2471"/>
    <cellStyle name="Normal 12 2 2 3 2 2 3 2 2" xfId="2472"/>
    <cellStyle name="Normal 12 2 2 3 2 2 3 2 2 2" xfId="2473"/>
    <cellStyle name="Normal 12 2 2 3 2 2 3 2 3" xfId="2474"/>
    <cellStyle name="Normal 12 2 2 3 2 2 3 3" xfId="2475"/>
    <cellStyle name="Normal 12 2 2 3 2 2 3 3 2" xfId="2476"/>
    <cellStyle name="Normal 12 2 2 3 2 2 3 4" xfId="2477"/>
    <cellStyle name="Normal 12 2 2 3 2 2 4" xfId="2478"/>
    <cellStyle name="Normal 12 2 2 3 2 2 4 2" xfId="2479"/>
    <cellStyle name="Normal 12 2 2 3 2 2 4 2 2" xfId="2480"/>
    <cellStyle name="Normal 12 2 2 3 2 2 4 3" xfId="2481"/>
    <cellStyle name="Normal 12 2 2 3 2 2 5" xfId="2482"/>
    <cellStyle name="Normal 12 2 2 3 2 2 5 2" xfId="2483"/>
    <cellStyle name="Normal 12 2 2 3 2 2 6" xfId="2484"/>
    <cellStyle name="Normal 12 2 2 3 2 3" xfId="2485"/>
    <cellStyle name="Normal 12 2 2 3 2 3 2" xfId="2486"/>
    <cellStyle name="Normal 12 2 2 3 2 3 2 2" xfId="2487"/>
    <cellStyle name="Normal 12 2 2 3 2 3 2 2 2" xfId="2488"/>
    <cellStyle name="Normal 12 2 2 3 2 3 2 3" xfId="2489"/>
    <cellStyle name="Normal 12 2 2 3 2 3 3" xfId="2490"/>
    <cellStyle name="Normal 12 2 2 3 2 3 3 2" xfId="2491"/>
    <cellStyle name="Normal 12 2 2 3 2 3 4" xfId="2492"/>
    <cellStyle name="Normal 12 2 2 3 2 4" xfId="2493"/>
    <cellStyle name="Normal 12 2 2 3 2 4 2" xfId="2494"/>
    <cellStyle name="Normal 12 2 2 3 2 4 2 2" xfId="2495"/>
    <cellStyle name="Normal 12 2 2 3 2 4 2 2 2" xfId="2496"/>
    <cellStyle name="Normal 12 2 2 3 2 4 2 3" xfId="2497"/>
    <cellStyle name="Normal 12 2 2 3 2 4 3" xfId="2498"/>
    <cellStyle name="Normal 12 2 2 3 2 4 3 2" xfId="2499"/>
    <cellStyle name="Normal 12 2 2 3 2 4 4" xfId="2500"/>
    <cellStyle name="Normal 12 2 2 3 2 5" xfId="2501"/>
    <cellStyle name="Normal 12 2 2 3 2 5 2" xfId="2502"/>
    <cellStyle name="Normal 12 2 2 3 2 5 2 2" xfId="2503"/>
    <cellStyle name="Normal 12 2 2 3 2 5 3" xfId="2504"/>
    <cellStyle name="Normal 12 2 2 3 2 6" xfId="2505"/>
    <cellStyle name="Normal 12 2 2 3 2 6 2" xfId="2506"/>
    <cellStyle name="Normal 12 2 2 3 2 7" xfId="2507"/>
    <cellStyle name="Normal 12 2 2 3 3" xfId="2508"/>
    <cellStyle name="Normal 12 2 2 3 3 2" xfId="2509"/>
    <cellStyle name="Normal 12 2 2 3 3 2 2" xfId="2510"/>
    <cellStyle name="Normal 12 2 2 3 3 2 2 2" xfId="2511"/>
    <cellStyle name="Normal 12 2 2 3 3 2 2 2 2" xfId="2512"/>
    <cellStyle name="Normal 12 2 2 3 3 2 2 3" xfId="2513"/>
    <cellStyle name="Normal 12 2 2 3 3 2 3" xfId="2514"/>
    <cellStyle name="Normal 12 2 2 3 3 2 3 2" xfId="2515"/>
    <cellStyle name="Normal 12 2 2 3 3 2 4" xfId="2516"/>
    <cellStyle name="Normal 12 2 2 3 3 3" xfId="2517"/>
    <cellStyle name="Normal 12 2 2 3 3 3 2" xfId="2518"/>
    <cellStyle name="Normal 12 2 2 3 3 3 2 2" xfId="2519"/>
    <cellStyle name="Normal 12 2 2 3 3 3 2 2 2" xfId="2520"/>
    <cellStyle name="Normal 12 2 2 3 3 3 2 3" xfId="2521"/>
    <cellStyle name="Normal 12 2 2 3 3 3 3" xfId="2522"/>
    <cellStyle name="Normal 12 2 2 3 3 3 3 2" xfId="2523"/>
    <cellStyle name="Normal 12 2 2 3 3 3 4" xfId="2524"/>
    <cellStyle name="Normal 12 2 2 3 3 4" xfId="2525"/>
    <cellStyle name="Normal 12 2 2 3 3 4 2" xfId="2526"/>
    <cellStyle name="Normal 12 2 2 3 3 4 2 2" xfId="2527"/>
    <cellStyle name="Normal 12 2 2 3 3 4 3" xfId="2528"/>
    <cellStyle name="Normal 12 2 2 3 3 5" xfId="2529"/>
    <cellStyle name="Normal 12 2 2 3 3 5 2" xfId="2530"/>
    <cellStyle name="Normal 12 2 2 3 3 6" xfId="2531"/>
    <cellStyle name="Normal 12 2 2 3 4" xfId="2532"/>
    <cellStyle name="Normal 12 2 2 3 4 2" xfId="2533"/>
    <cellStyle name="Normal 12 2 2 3 4 2 2" xfId="2534"/>
    <cellStyle name="Normal 12 2 2 3 4 2 2 2" xfId="2535"/>
    <cellStyle name="Normal 12 2 2 3 4 2 3" xfId="2536"/>
    <cellStyle name="Normal 12 2 2 3 4 3" xfId="2537"/>
    <cellStyle name="Normal 12 2 2 3 4 3 2" xfId="2538"/>
    <cellStyle name="Normal 12 2 2 3 4 4" xfId="2539"/>
    <cellStyle name="Normal 12 2 2 3 5" xfId="2540"/>
    <cellStyle name="Normal 12 2 2 3 5 2" xfId="2541"/>
    <cellStyle name="Normal 12 2 2 3 5 2 2" xfId="2542"/>
    <cellStyle name="Normal 12 2 2 3 5 2 2 2" xfId="2543"/>
    <cellStyle name="Normal 12 2 2 3 5 2 3" xfId="2544"/>
    <cellStyle name="Normal 12 2 2 3 5 3" xfId="2545"/>
    <cellStyle name="Normal 12 2 2 3 5 3 2" xfId="2546"/>
    <cellStyle name="Normal 12 2 2 3 5 4" xfId="2547"/>
    <cellStyle name="Normal 12 2 2 3 6" xfId="2548"/>
    <cellStyle name="Normal 12 2 2 3 6 2" xfId="2549"/>
    <cellStyle name="Normal 12 2 2 3 6 2 2" xfId="2550"/>
    <cellStyle name="Normal 12 2 2 3 6 2 2 2" xfId="2551"/>
    <cellStyle name="Normal 12 2 2 3 6 2 3" xfId="2552"/>
    <cellStyle name="Normal 12 2 2 3 6 3" xfId="2553"/>
    <cellStyle name="Normal 12 2 2 3 6 3 2" xfId="2554"/>
    <cellStyle name="Normal 12 2 2 3 6 4" xfId="2555"/>
    <cellStyle name="Normal 12 2 2 3 7" xfId="2556"/>
    <cellStyle name="Normal 12 2 2 3 7 2" xfId="2557"/>
    <cellStyle name="Normal 12 2 2 3 7 2 2" xfId="2558"/>
    <cellStyle name="Normal 12 2 2 3 7 3" xfId="2559"/>
    <cellStyle name="Normal 12 2 2 3 8" xfId="2560"/>
    <cellStyle name="Normal 12 2 2 3 8 2" xfId="2561"/>
    <cellStyle name="Normal 12 2 2 3 9" xfId="2562"/>
    <cellStyle name="Normal 12 2 2 4" xfId="2563"/>
    <cellStyle name="Normal 12 2 2 4 2" xfId="2564"/>
    <cellStyle name="Normal 12 2 2 4 2 2" xfId="2565"/>
    <cellStyle name="Normal 12 2 2 4 2 2 2" xfId="2566"/>
    <cellStyle name="Normal 12 2 2 4 2 2 2 2" xfId="2567"/>
    <cellStyle name="Normal 12 2 2 4 2 2 2 2 2" xfId="2568"/>
    <cellStyle name="Normal 12 2 2 4 2 2 2 3" xfId="2569"/>
    <cellStyle name="Normal 12 2 2 4 2 2 3" xfId="2570"/>
    <cellStyle name="Normal 12 2 2 4 2 2 3 2" xfId="2571"/>
    <cellStyle name="Normal 12 2 2 4 2 2 4" xfId="2572"/>
    <cellStyle name="Normal 12 2 2 4 2 3" xfId="2573"/>
    <cellStyle name="Normal 12 2 2 4 2 3 2" xfId="2574"/>
    <cellStyle name="Normal 12 2 2 4 2 3 2 2" xfId="2575"/>
    <cellStyle name="Normal 12 2 2 4 2 3 2 2 2" xfId="2576"/>
    <cellStyle name="Normal 12 2 2 4 2 3 2 3" xfId="2577"/>
    <cellStyle name="Normal 12 2 2 4 2 3 3" xfId="2578"/>
    <cellStyle name="Normal 12 2 2 4 2 3 3 2" xfId="2579"/>
    <cellStyle name="Normal 12 2 2 4 2 3 4" xfId="2580"/>
    <cellStyle name="Normal 12 2 2 4 2 4" xfId="2581"/>
    <cellStyle name="Normal 12 2 2 4 2 4 2" xfId="2582"/>
    <cellStyle name="Normal 12 2 2 4 2 4 2 2" xfId="2583"/>
    <cellStyle name="Normal 12 2 2 4 2 4 3" xfId="2584"/>
    <cellStyle name="Normal 12 2 2 4 2 5" xfId="2585"/>
    <cellStyle name="Normal 12 2 2 4 2 5 2" xfId="2586"/>
    <cellStyle name="Normal 12 2 2 4 2 6" xfId="2587"/>
    <cellStyle name="Normal 12 2 2 4 3" xfId="2588"/>
    <cellStyle name="Normal 12 2 2 4 3 2" xfId="2589"/>
    <cellStyle name="Normal 12 2 2 4 3 2 2" xfId="2590"/>
    <cellStyle name="Normal 12 2 2 4 3 2 2 2" xfId="2591"/>
    <cellStyle name="Normal 12 2 2 4 3 2 3" xfId="2592"/>
    <cellStyle name="Normal 12 2 2 4 3 3" xfId="2593"/>
    <cellStyle name="Normal 12 2 2 4 3 3 2" xfId="2594"/>
    <cellStyle name="Normal 12 2 2 4 3 4" xfId="2595"/>
    <cellStyle name="Normal 12 2 2 4 4" xfId="2596"/>
    <cellStyle name="Normal 12 2 2 4 4 2" xfId="2597"/>
    <cellStyle name="Normal 12 2 2 4 4 2 2" xfId="2598"/>
    <cellStyle name="Normal 12 2 2 4 4 2 2 2" xfId="2599"/>
    <cellStyle name="Normal 12 2 2 4 4 2 3" xfId="2600"/>
    <cellStyle name="Normal 12 2 2 4 4 3" xfId="2601"/>
    <cellStyle name="Normal 12 2 2 4 4 3 2" xfId="2602"/>
    <cellStyle name="Normal 12 2 2 4 4 4" xfId="2603"/>
    <cellStyle name="Normal 12 2 2 4 5" xfId="2604"/>
    <cellStyle name="Normal 12 2 2 4 5 2" xfId="2605"/>
    <cellStyle name="Normal 12 2 2 4 5 2 2" xfId="2606"/>
    <cellStyle name="Normal 12 2 2 4 5 3" xfId="2607"/>
    <cellStyle name="Normal 12 2 2 4 6" xfId="2608"/>
    <cellStyle name="Normal 12 2 2 4 6 2" xfId="2609"/>
    <cellStyle name="Normal 12 2 2 4 7" xfId="2610"/>
    <cellStyle name="Normal 12 2 2 5" xfId="2611"/>
    <cellStyle name="Normal 12 2 2 5 2" xfId="2612"/>
    <cellStyle name="Normal 12 2 2 5 2 2" xfId="2613"/>
    <cellStyle name="Normal 12 2 2 5 2 2 2" xfId="2614"/>
    <cellStyle name="Normal 12 2 2 5 2 2 2 2" xfId="2615"/>
    <cellStyle name="Normal 12 2 2 5 2 2 3" xfId="2616"/>
    <cellStyle name="Normal 12 2 2 5 2 3" xfId="2617"/>
    <cellStyle name="Normal 12 2 2 5 2 3 2" xfId="2618"/>
    <cellStyle name="Normal 12 2 2 5 2 4" xfId="2619"/>
    <cellStyle name="Normal 12 2 2 5 3" xfId="2620"/>
    <cellStyle name="Normal 12 2 2 5 3 2" xfId="2621"/>
    <cellStyle name="Normal 12 2 2 5 3 2 2" xfId="2622"/>
    <cellStyle name="Normal 12 2 2 5 3 2 2 2" xfId="2623"/>
    <cellStyle name="Normal 12 2 2 5 3 2 3" xfId="2624"/>
    <cellStyle name="Normal 12 2 2 5 3 3" xfId="2625"/>
    <cellStyle name="Normal 12 2 2 5 3 3 2" xfId="2626"/>
    <cellStyle name="Normal 12 2 2 5 3 4" xfId="2627"/>
    <cellStyle name="Normal 12 2 2 5 4" xfId="2628"/>
    <cellStyle name="Normal 12 2 2 5 4 2" xfId="2629"/>
    <cellStyle name="Normal 12 2 2 5 4 2 2" xfId="2630"/>
    <cellStyle name="Normal 12 2 2 5 4 3" xfId="2631"/>
    <cellStyle name="Normal 12 2 2 5 5" xfId="2632"/>
    <cellStyle name="Normal 12 2 2 5 5 2" xfId="2633"/>
    <cellStyle name="Normal 12 2 2 5 6" xfId="2634"/>
    <cellStyle name="Normal 12 2 2 6" xfId="2635"/>
    <cellStyle name="Normal 12 2 2 6 2" xfId="2636"/>
    <cellStyle name="Normal 12 2 2 6 2 2" xfId="2637"/>
    <cellStyle name="Normal 12 2 2 6 2 2 2" xfId="2638"/>
    <cellStyle name="Normal 12 2 2 6 2 3" xfId="2639"/>
    <cellStyle name="Normal 12 2 2 6 3" xfId="2640"/>
    <cellStyle name="Normal 12 2 2 6 3 2" xfId="2641"/>
    <cellStyle name="Normal 12 2 2 6 4" xfId="2642"/>
    <cellStyle name="Normal 12 2 2 7" xfId="2643"/>
    <cellStyle name="Normal 12 2 2 7 2" xfId="2644"/>
    <cellStyle name="Normal 12 2 2 7 2 2" xfId="2645"/>
    <cellStyle name="Normal 12 2 2 7 2 2 2" xfId="2646"/>
    <cellStyle name="Normal 12 2 2 7 2 3" xfId="2647"/>
    <cellStyle name="Normal 12 2 2 7 3" xfId="2648"/>
    <cellStyle name="Normal 12 2 2 7 3 2" xfId="2649"/>
    <cellStyle name="Normal 12 2 2 7 4" xfId="2650"/>
    <cellStyle name="Normal 12 2 2 8" xfId="2651"/>
    <cellStyle name="Normal 12 2 2 8 2" xfId="2652"/>
    <cellStyle name="Normal 12 2 2 8 2 2" xfId="2653"/>
    <cellStyle name="Normal 12 2 2 8 2 2 2" xfId="2654"/>
    <cellStyle name="Normal 12 2 2 8 2 3" xfId="2655"/>
    <cellStyle name="Normal 12 2 2 8 3" xfId="2656"/>
    <cellStyle name="Normal 12 2 2 8 3 2" xfId="2657"/>
    <cellStyle name="Normal 12 2 2 8 4" xfId="2658"/>
    <cellStyle name="Normal 12 2 2 9" xfId="2659"/>
    <cellStyle name="Normal 12 2 2 9 2" xfId="2660"/>
    <cellStyle name="Normal 12 2 2 9 2 2" xfId="2661"/>
    <cellStyle name="Normal 12 2 2 9 3" xfId="2662"/>
    <cellStyle name="Normal 12 2 3" xfId="2663"/>
    <cellStyle name="Normal 12 2 3 10" xfId="2664"/>
    <cellStyle name="Normal 12 2 3 2" xfId="2665"/>
    <cellStyle name="Normal 12 2 3 2 2" xfId="2666"/>
    <cellStyle name="Normal 12 2 3 2 2 2" xfId="2667"/>
    <cellStyle name="Normal 12 2 3 2 2 2 2" xfId="2668"/>
    <cellStyle name="Normal 12 2 3 2 2 2 2 2" xfId="2669"/>
    <cellStyle name="Normal 12 2 3 2 2 2 2 2 2" xfId="2670"/>
    <cellStyle name="Normal 12 2 3 2 2 2 2 2 2 2" xfId="2671"/>
    <cellStyle name="Normal 12 2 3 2 2 2 2 2 3" xfId="2672"/>
    <cellStyle name="Normal 12 2 3 2 2 2 2 3" xfId="2673"/>
    <cellStyle name="Normal 12 2 3 2 2 2 2 3 2" xfId="2674"/>
    <cellStyle name="Normal 12 2 3 2 2 2 2 4" xfId="2675"/>
    <cellStyle name="Normal 12 2 3 2 2 2 3" xfId="2676"/>
    <cellStyle name="Normal 12 2 3 2 2 2 3 2" xfId="2677"/>
    <cellStyle name="Normal 12 2 3 2 2 2 3 2 2" xfId="2678"/>
    <cellStyle name="Normal 12 2 3 2 2 2 3 2 2 2" xfId="2679"/>
    <cellStyle name="Normal 12 2 3 2 2 2 3 2 3" xfId="2680"/>
    <cellStyle name="Normal 12 2 3 2 2 2 3 3" xfId="2681"/>
    <cellStyle name="Normal 12 2 3 2 2 2 3 3 2" xfId="2682"/>
    <cellStyle name="Normal 12 2 3 2 2 2 3 4" xfId="2683"/>
    <cellStyle name="Normal 12 2 3 2 2 2 4" xfId="2684"/>
    <cellStyle name="Normal 12 2 3 2 2 2 4 2" xfId="2685"/>
    <cellStyle name="Normal 12 2 3 2 2 2 4 2 2" xfId="2686"/>
    <cellStyle name="Normal 12 2 3 2 2 2 4 3" xfId="2687"/>
    <cellStyle name="Normal 12 2 3 2 2 2 5" xfId="2688"/>
    <cellStyle name="Normal 12 2 3 2 2 2 5 2" xfId="2689"/>
    <cellStyle name="Normal 12 2 3 2 2 2 6" xfId="2690"/>
    <cellStyle name="Normal 12 2 3 2 2 3" xfId="2691"/>
    <cellStyle name="Normal 12 2 3 2 2 3 2" xfId="2692"/>
    <cellStyle name="Normal 12 2 3 2 2 3 2 2" xfId="2693"/>
    <cellStyle name="Normal 12 2 3 2 2 3 2 2 2" xfId="2694"/>
    <cellStyle name="Normal 12 2 3 2 2 3 2 3" xfId="2695"/>
    <cellStyle name="Normal 12 2 3 2 2 3 3" xfId="2696"/>
    <cellStyle name="Normal 12 2 3 2 2 3 3 2" xfId="2697"/>
    <cellStyle name="Normal 12 2 3 2 2 3 4" xfId="2698"/>
    <cellStyle name="Normal 12 2 3 2 2 4" xfId="2699"/>
    <cellStyle name="Normal 12 2 3 2 2 4 2" xfId="2700"/>
    <cellStyle name="Normal 12 2 3 2 2 4 2 2" xfId="2701"/>
    <cellStyle name="Normal 12 2 3 2 2 4 2 2 2" xfId="2702"/>
    <cellStyle name="Normal 12 2 3 2 2 4 2 3" xfId="2703"/>
    <cellStyle name="Normal 12 2 3 2 2 4 3" xfId="2704"/>
    <cellStyle name="Normal 12 2 3 2 2 4 3 2" xfId="2705"/>
    <cellStyle name="Normal 12 2 3 2 2 4 4" xfId="2706"/>
    <cellStyle name="Normal 12 2 3 2 2 5" xfId="2707"/>
    <cellStyle name="Normal 12 2 3 2 2 5 2" xfId="2708"/>
    <cellStyle name="Normal 12 2 3 2 2 5 2 2" xfId="2709"/>
    <cellStyle name="Normal 12 2 3 2 2 5 3" xfId="2710"/>
    <cellStyle name="Normal 12 2 3 2 2 6" xfId="2711"/>
    <cellStyle name="Normal 12 2 3 2 2 6 2" xfId="2712"/>
    <cellStyle name="Normal 12 2 3 2 2 7" xfId="2713"/>
    <cellStyle name="Normal 12 2 3 2 3" xfId="2714"/>
    <cellStyle name="Normal 12 2 3 2 3 2" xfId="2715"/>
    <cellStyle name="Normal 12 2 3 2 3 2 2" xfId="2716"/>
    <cellStyle name="Normal 12 2 3 2 3 2 2 2" xfId="2717"/>
    <cellStyle name="Normal 12 2 3 2 3 2 2 2 2" xfId="2718"/>
    <cellStyle name="Normal 12 2 3 2 3 2 2 3" xfId="2719"/>
    <cellStyle name="Normal 12 2 3 2 3 2 3" xfId="2720"/>
    <cellStyle name="Normal 12 2 3 2 3 2 3 2" xfId="2721"/>
    <cellStyle name="Normal 12 2 3 2 3 2 4" xfId="2722"/>
    <cellStyle name="Normal 12 2 3 2 3 3" xfId="2723"/>
    <cellStyle name="Normal 12 2 3 2 3 3 2" xfId="2724"/>
    <cellStyle name="Normal 12 2 3 2 3 3 2 2" xfId="2725"/>
    <cellStyle name="Normal 12 2 3 2 3 3 2 2 2" xfId="2726"/>
    <cellStyle name="Normal 12 2 3 2 3 3 2 3" xfId="2727"/>
    <cellStyle name="Normal 12 2 3 2 3 3 3" xfId="2728"/>
    <cellStyle name="Normal 12 2 3 2 3 3 3 2" xfId="2729"/>
    <cellStyle name="Normal 12 2 3 2 3 3 4" xfId="2730"/>
    <cellStyle name="Normal 12 2 3 2 3 4" xfId="2731"/>
    <cellStyle name="Normal 12 2 3 2 3 4 2" xfId="2732"/>
    <cellStyle name="Normal 12 2 3 2 3 4 2 2" xfId="2733"/>
    <cellStyle name="Normal 12 2 3 2 3 4 3" xfId="2734"/>
    <cellStyle name="Normal 12 2 3 2 3 5" xfId="2735"/>
    <cellStyle name="Normal 12 2 3 2 3 5 2" xfId="2736"/>
    <cellStyle name="Normal 12 2 3 2 3 6" xfId="2737"/>
    <cellStyle name="Normal 12 2 3 2 4" xfId="2738"/>
    <cellStyle name="Normal 12 2 3 2 4 2" xfId="2739"/>
    <cellStyle name="Normal 12 2 3 2 4 2 2" xfId="2740"/>
    <cellStyle name="Normal 12 2 3 2 4 2 2 2" xfId="2741"/>
    <cellStyle name="Normal 12 2 3 2 4 2 3" xfId="2742"/>
    <cellStyle name="Normal 12 2 3 2 4 3" xfId="2743"/>
    <cellStyle name="Normal 12 2 3 2 4 3 2" xfId="2744"/>
    <cellStyle name="Normal 12 2 3 2 4 4" xfId="2745"/>
    <cellStyle name="Normal 12 2 3 2 5" xfId="2746"/>
    <cellStyle name="Normal 12 2 3 2 5 2" xfId="2747"/>
    <cellStyle name="Normal 12 2 3 2 5 2 2" xfId="2748"/>
    <cellStyle name="Normal 12 2 3 2 5 2 2 2" xfId="2749"/>
    <cellStyle name="Normal 12 2 3 2 5 2 3" xfId="2750"/>
    <cellStyle name="Normal 12 2 3 2 5 3" xfId="2751"/>
    <cellStyle name="Normal 12 2 3 2 5 3 2" xfId="2752"/>
    <cellStyle name="Normal 12 2 3 2 5 4" xfId="2753"/>
    <cellStyle name="Normal 12 2 3 2 6" xfId="2754"/>
    <cellStyle name="Normal 12 2 3 2 6 2" xfId="2755"/>
    <cellStyle name="Normal 12 2 3 2 6 2 2" xfId="2756"/>
    <cellStyle name="Normal 12 2 3 2 6 2 2 2" xfId="2757"/>
    <cellStyle name="Normal 12 2 3 2 6 2 3" xfId="2758"/>
    <cellStyle name="Normal 12 2 3 2 6 3" xfId="2759"/>
    <cellStyle name="Normal 12 2 3 2 6 3 2" xfId="2760"/>
    <cellStyle name="Normal 12 2 3 2 6 4" xfId="2761"/>
    <cellStyle name="Normal 12 2 3 2 7" xfId="2762"/>
    <cellStyle name="Normal 12 2 3 2 7 2" xfId="2763"/>
    <cellStyle name="Normal 12 2 3 2 7 2 2" xfId="2764"/>
    <cellStyle name="Normal 12 2 3 2 7 3" xfId="2765"/>
    <cellStyle name="Normal 12 2 3 2 8" xfId="2766"/>
    <cellStyle name="Normal 12 2 3 2 8 2" xfId="2767"/>
    <cellStyle name="Normal 12 2 3 2 9" xfId="2768"/>
    <cellStyle name="Normal 12 2 3 3" xfId="2769"/>
    <cellStyle name="Normal 12 2 3 3 2" xfId="2770"/>
    <cellStyle name="Normal 12 2 3 3 2 2" xfId="2771"/>
    <cellStyle name="Normal 12 2 3 3 2 2 2" xfId="2772"/>
    <cellStyle name="Normal 12 2 3 3 2 2 2 2" xfId="2773"/>
    <cellStyle name="Normal 12 2 3 3 2 2 2 2 2" xfId="2774"/>
    <cellStyle name="Normal 12 2 3 3 2 2 2 3" xfId="2775"/>
    <cellStyle name="Normal 12 2 3 3 2 2 3" xfId="2776"/>
    <cellStyle name="Normal 12 2 3 3 2 2 3 2" xfId="2777"/>
    <cellStyle name="Normal 12 2 3 3 2 2 4" xfId="2778"/>
    <cellStyle name="Normal 12 2 3 3 2 3" xfId="2779"/>
    <cellStyle name="Normal 12 2 3 3 2 3 2" xfId="2780"/>
    <cellStyle name="Normal 12 2 3 3 2 3 2 2" xfId="2781"/>
    <cellStyle name="Normal 12 2 3 3 2 3 2 2 2" xfId="2782"/>
    <cellStyle name="Normal 12 2 3 3 2 3 2 3" xfId="2783"/>
    <cellStyle name="Normal 12 2 3 3 2 3 3" xfId="2784"/>
    <cellStyle name="Normal 12 2 3 3 2 3 3 2" xfId="2785"/>
    <cellStyle name="Normal 12 2 3 3 2 3 4" xfId="2786"/>
    <cellStyle name="Normal 12 2 3 3 2 4" xfId="2787"/>
    <cellStyle name="Normal 12 2 3 3 2 4 2" xfId="2788"/>
    <cellStyle name="Normal 12 2 3 3 2 4 2 2" xfId="2789"/>
    <cellStyle name="Normal 12 2 3 3 2 4 3" xfId="2790"/>
    <cellStyle name="Normal 12 2 3 3 2 5" xfId="2791"/>
    <cellStyle name="Normal 12 2 3 3 2 5 2" xfId="2792"/>
    <cellStyle name="Normal 12 2 3 3 2 6" xfId="2793"/>
    <cellStyle name="Normal 12 2 3 3 3" xfId="2794"/>
    <cellStyle name="Normal 12 2 3 3 3 2" xfId="2795"/>
    <cellStyle name="Normal 12 2 3 3 3 2 2" xfId="2796"/>
    <cellStyle name="Normal 12 2 3 3 3 2 2 2" xfId="2797"/>
    <cellStyle name="Normal 12 2 3 3 3 2 3" xfId="2798"/>
    <cellStyle name="Normal 12 2 3 3 3 3" xfId="2799"/>
    <cellStyle name="Normal 12 2 3 3 3 3 2" xfId="2800"/>
    <cellStyle name="Normal 12 2 3 3 3 4" xfId="2801"/>
    <cellStyle name="Normal 12 2 3 3 4" xfId="2802"/>
    <cellStyle name="Normal 12 2 3 3 4 2" xfId="2803"/>
    <cellStyle name="Normal 12 2 3 3 4 2 2" xfId="2804"/>
    <cellStyle name="Normal 12 2 3 3 4 2 2 2" xfId="2805"/>
    <cellStyle name="Normal 12 2 3 3 4 2 3" xfId="2806"/>
    <cellStyle name="Normal 12 2 3 3 4 3" xfId="2807"/>
    <cellStyle name="Normal 12 2 3 3 4 3 2" xfId="2808"/>
    <cellStyle name="Normal 12 2 3 3 4 4" xfId="2809"/>
    <cellStyle name="Normal 12 2 3 3 5" xfId="2810"/>
    <cellStyle name="Normal 12 2 3 3 5 2" xfId="2811"/>
    <cellStyle name="Normal 12 2 3 3 5 2 2" xfId="2812"/>
    <cellStyle name="Normal 12 2 3 3 5 3" xfId="2813"/>
    <cellStyle name="Normal 12 2 3 3 6" xfId="2814"/>
    <cellStyle name="Normal 12 2 3 3 6 2" xfId="2815"/>
    <cellStyle name="Normal 12 2 3 3 7" xfId="2816"/>
    <cellStyle name="Normal 12 2 3 4" xfId="2817"/>
    <cellStyle name="Normal 12 2 3 4 2" xfId="2818"/>
    <cellStyle name="Normal 12 2 3 4 2 2" xfId="2819"/>
    <cellStyle name="Normal 12 2 3 4 2 2 2" xfId="2820"/>
    <cellStyle name="Normal 12 2 3 4 2 2 2 2" xfId="2821"/>
    <cellStyle name="Normal 12 2 3 4 2 2 3" xfId="2822"/>
    <cellStyle name="Normal 12 2 3 4 2 3" xfId="2823"/>
    <cellStyle name="Normal 12 2 3 4 2 3 2" xfId="2824"/>
    <cellStyle name="Normal 12 2 3 4 2 4" xfId="2825"/>
    <cellStyle name="Normal 12 2 3 4 3" xfId="2826"/>
    <cellStyle name="Normal 12 2 3 4 3 2" xfId="2827"/>
    <cellStyle name="Normal 12 2 3 4 3 2 2" xfId="2828"/>
    <cellStyle name="Normal 12 2 3 4 3 2 2 2" xfId="2829"/>
    <cellStyle name="Normal 12 2 3 4 3 2 3" xfId="2830"/>
    <cellStyle name="Normal 12 2 3 4 3 3" xfId="2831"/>
    <cellStyle name="Normal 12 2 3 4 3 3 2" xfId="2832"/>
    <cellStyle name="Normal 12 2 3 4 3 4" xfId="2833"/>
    <cellStyle name="Normal 12 2 3 4 4" xfId="2834"/>
    <cellStyle name="Normal 12 2 3 4 4 2" xfId="2835"/>
    <cellStyle name="Normal 12 2 3 4 4 2 2" xfId="2836"/>
    <cellStyle name="Normal 12 2 3 4 4 3" xfId="2837"/>
    <cellStyle name="Normal 12 2 3 4 5" xfId="2838"/>
    <cellStyle name="Normal 12 2 3 4 5 2" xfId="2839"/>
    <cellStyle name="Normal 12 2 3 4 6" xfId="2840"/>
    <cellStyle name="Normal 12 2 3 5" xfId="2841"/>
    <cellStyle name="Normal 12 2 3 5 2" xfId="2842"/>
    <cellStyle name="Normal 12 2 3 5 2 2" xfId="2843"/>
    <cellStyle name="Normal 12 2 3 5 2 2 2" xfId="2844"/>
    <cellStyle name="Normal 12 2 3 5 2 3" xfId="2845"/>
    <cellStyle name="Normal 12 2 3 5 3" xfId="2846"/>
    <cellStyle name="Normal 12 2 3 5 3 2" xfId="2847"/>
    <cellStyle name="Normal 12 2 3 5 4" xfId="2848"/>
    <cellStyle name="Normal 12 2 3 6" xfId="2849"/>
    <cellStyle name="Normal 12 2 3 6 2" xfId="2850"/>
    <cellStyle name="Normal 12 2 3 6 2 2" xfId="2851"/>
    <cellStyle name="Normal 12 2 3 6 2 2 2" xfId="2852"/>
    <cellStyle name="Normal 12 2 3 6 2 3" xfId="2853"/>
    <cellStyle name="Normal 12 2 3 6 3" xfId="2854"/>
    <cellStyle name="Normal 12 2 3 6 3 2" xfId="2855"/>
    <cellStyle name="Normal 12 2 3 6 4" xfId="2856"/>
    <cellStyle name="Normal 12 2 3 7" xfId="2857"/>
    <cellStyle name="Normal 12 2 3 7 2" xfId="2858"/>
    <cellStyle name="Normal 12 2 3 7 2 2" xfId="2859"/>
    <cellStyle name="Normal 12 2 3 7 2 2 2" xfId="2860"/>
    <cellStyle name="Normal 12 2 3 7 2 3" xfId="2861"/>
    <cellStyle name="Normal 12 2 3 7 3" xfId="2862"/>
    <cellStyle name="Normal 12 2 3 7 3 2" xfId="2863"/>
    <cellStyle name="Normal 12 2 3 7 4" xfId="2864"/>
    <cellStyle name="Normal 12 2 3 8" xfId="2865"/>
    <cellStyle name="Normal 12 2 3 8 2" xfId="2866"/>
    <cellStyle name="Normal 12 2 3 8 2 2" xfId="2867"/>
    <cellStyle name="Normal 12 2 3 8 3" xfId="2868"/>
    <cellStyle name="Normal 12 2 3 9" xfId="2869"/>
    <cellStyle name="Normal 12 2 3 9 2" xfId="2870"/>
    <cellStyle name="Normal 12 2 4" xfId="2871"/>
    <cellStyle name="Normal 12 2 4 10" xfId="2872"/>
    <cellStyle name="Normal 12 2 4 2" xfId="2873"/>
    <cellStyle name="Normal 12 2 4 2 2" xfId="2874"/>
    <cellStyle name="Normal 12 2 4 2 2 2" xfId="2875"/>
    <cellStyle name="Normal 12 2 4 2 2 2 2" xfId="2876"/>
    <cellStyle name="Normal 12 2 4 2 2 2 2 2" xfId="2877"/>
    <cellStyle name="Normal 12 2 4 2 2 2 2 2 2" xfId="2878"/>
    <cellStyle name="Normal 12 2 4 2 2 2 2 2 2 2" xfId="2879"/>
    <cellStyle name="Normal 12 2 4 2 2 2 2 2 3" xfId="2880"/>
    <cellStyle name="Normal 12 2 4 2 2 2 2 3" xfId="2881"/>
    <cellStyle name="Normal 12 2 4 2 2 2 2 3 2" xfId="2882"/>
    <cellStyle name="Normal 12 2 4 2 2 2 2 4" xfId="2883"/>
    <cellStyle name="Normal 12 2 4 2 2 2 3" xfId="2884"/>
    <cellStyle name="Normal 12 2 4 2 2 2 3 2" xfId="2885"/>
    <cellStyle name="Normal 12 2 4 2 2 2 3 2 2" xfId="2886"/>
    <cellStyle name="Normal 12 2 4 2 2 2 3 2 2 2" xfId="2887"/>
    <cellStyle name="Normal 12 2 4 2 2 2 3 2 3" xfId="2888"/>
    <cellStyle name="Normal 12 2 4 2 2 2 3 3" xfId="2889"/>
    <cellStyle name="Normal 12 2 4 2 2 2 3 3 2" xfId="2890"/>
    <cellStyle name="Normal 12 2 4 2 2 2 3 4" xfId="2891"/>
    <cellStyle name="Normal 12 2 4 2 2 2 4" xfId="2892"/>
    <cellStyle name="Normal 12 2 4 2 2 2 4 2" xfId="2893"/>
    <cellStyle name="Normal 12 2 4 2 2 2 4 2 2" xfId="2894"/>
    <cellStyle name="Normal 12 2 4 2 2 2 4 3" xfId="2895"/>
    <cellStyle name="Normal 12 2 4 2 2 2 5" xfId="2896"/>
    <cellStyle name="Normal 12 2 4 2 2 2 5 2" xfId="2897"/>
    <cellStyle name="Normal 12 2 4 2 2 2 6" xfId="2898"/>
    <cellStyle name="Normal 12 2 4 2 2 3" xfId="2899"/>
    <cellStyle name="Normal 12 2 4 2 2 3 2" xfId="2900"/>
    <cellStyle name="Normal 12 2 4 2 2 3 2 2" xfId="2901"/>
    <cellStyle name="Normal 12 2 4 2 2 3 2 2 2" xfId="2902"/>
    <cellStyle name="Normal 12 2 4 2 2 3 2 3" xfId="2903"/>
    <cellStyle name="Normal 12 2 4 2 2 3 3" xfId="2904"/>
    <cellStyle name="Normal 12 2 4 2 2 3 3 2" xfId="2905"/>
    <cellStyle name="Normal 12 2 4 2 2 3 4" xfId="2906"/>
    <cellStyle name="Normal 12 2 4 2 2 4" xfId="2907"/>
    <cellStyle name="Normal 12 2 4 2 2 4 2" xfId="2908"/>
    <cellStyle name="Normal 12 2 4 2 2 4 2 2" xfId="2909"/>
    <cellStyle name="Normal 12 2 4 2 2 4 2 2 2" xfId="2910"/>
    <cellStyle name="Normal 12 2 4 2 2 4 2 3" xfId="2911"/>
    <cellStyle name="Normal 12 2 4 2 2 4 3" xfId="2912"/>
    <cellStyle name="Normal 12 2 4 2 2 4 3 2" xfId="2913"/>
    <cellStyle name="Normal 12 2 4 2 2 4 4" xfId="2914"/>
    <cellStyle name="Normal 12 2 4 2 2 5" xfId="2915"/>
    <cellStyle name="Normal 12 2 4 2 2 5 2" xfId="2916"/>
    <cellStyle name="Normal 12 2 4 2 2 5 2 2" xfId="2917"/>
    <cellStyle name="Normal 12 2 4 2 2 5 3" xfId="2918"/>
    <cellStyle name="Normal 12 2 4 2 2 6" xfId="2919"/>
    <cellStyle name="Normal 12 2 4 2 2 6 2" xfId="2920"/>
    <cellStyle name="Normal 12 2 4 2 2 7" xfId="2921"/>
    <cellStyle name="Normal 12 2 4 2 3" xfId="2922"/>
    <cellStyle name="Normal 12 2 4 2 3 2" xfId="2923"/>
    <cellStyle name="Normal 12 2 4 2 3 2 2" xfId="2924"/>
    <cellStyle name="Normal 12 2 4 2 3 2 2 2" xfId="2925"/>
    <cellStyle name="Normal 12 2 4 2 3 2 2 2 2" xfId="2926"/>
    <cellStyle name="Normal 12 2 4 2 3 2 2 3" xfId="2927"/>
    <cellStyle name="Normal 12 2 4 2 3 2 3" xfId="2928"/>
    <cellStyle name="Normal 12 2 4 2 3 2 3 2" xfId="2929"/>
    <cellStyle name="Normal 12 2 4 2 3 2 4" xfId="2930"/>
    <cellStyle name="Normal 12 2 4 2 3 3" xfId="2931"/>
    <cellStyle name="Normal 12 2 4 2 3 3 2" xfId="2932"/>
    <cellStyle name="Normal 12 2 4 2 3 3 2 2" xfId="2933"/>
    <cellStyle name="Normal 12 2 4 2 3 3 2 2 2" xfId="2934"/>
    <cellStyle name="Normal 12 2 4 2 3 3 2 3" xfId="2935"/>
    <cellStyle name="Normal 12 2 4 2 3 3 3" xfId="2936"/>
    <cellStyle name="Normal 12 2 4 2 3 3 3 2" xfId="2937"/>
    <cellStyle name="Normal 12 2 4 2 3 3 4" xfId="2938"/>
    <cellStyle name="Normal 12 2 4 2 3 4" xfId="2939"/>
    <cellStyle name="Normal 12 2 4 2 3 4 2" xfId="2940"/>
    <cellStyle name="Normal 12 2 4 2 3 4 2 2" xfId="2941"/>
    <cellStyle name="Normal 12 2 4 2 3 4 3" xfId="2942"/>
    <cellStyle name="Normal 12 2 4 2 3 5" xfId="2943"/>
    <cellStyle name="Normal 12 2 4 2 3 5 2" xfId="2944"/>
    <cellStyle name="Normal 12 2 4 2 3 6" xfId="2945"/>
    <cellStyle name="Normal 12 2 4 2 4" xfId="2946"/>
    <cellStyle name="Normal 12 2 4 2 4 2" xfId="2947"/>
    <cellStyle name="Normal 12 2 4 2 4 2 2" xfId="2948"/>
    <cellStyle name="Normal 12 2 4 2 4 2 2 2" xfId="2949"/>
    <cellStyle name="Normal 12 2 4 2 4 2 3" xfId="2950"/>
    <cellStyle name="Normal 12 2 4 2 4 3" xfId="2951"/>
    <cellStyle name="Normal 12 2 4 2 4 3 2" xfId="2952"/>
    <cellStyle name="Normal 12 2 4 2 4 4" xfId="2953"/>
    <cellStyle name="Normal 12 2 4 2 5" xfId="2954"/>
    <cellStyle name="Normal 12 2 4 2 5 2" xfId="2955"/>
    <cellStyle name="Normal 12 2 4 2 5 2 2" xfId="2956"/>
    <cellStyle name="Normal 12 2 4 2 5 2 2 2" xfId="2957"/>
    <cellStyle name="Normal 12 2 4 2 5 2 3" xfId="2958"/>
    <cellStyle name="Normal 12 2 4 2 5 3" xfId="2959"/>
    <cellStyle name="Normal 12 2 4 2 5 3 2" xfId="2960"/>
    <cellStyle name="Normal 12 2 4 2 5 4" xfId="2961"/>
    <cellStyle name="Normal 12 2 4 2 6" xfId="2962"/>
    <cellStyle name="Normal 12 2 4 2 6 2" xfId="2963"/>
    <cellStyle name="Normal 12 2 4 2 6 2 2" xfId="2964"/>
    <cellStyle name="Normal 12 2 4 2 6 2 2 2" xfId="2965"/>
    <cellStyle name="Normal 12 2 4 2 6 2 3" xfId="2966"/>
    <cellStyle name="Normal 12 2 4 2 6 3" xfId="2967"/>
    <cellStyle name="Normal 12 2 4 2 6 3 2" xfId="2968"/>
    <cellStyle name="Normal 12 2 4 2 6 4" xfId="2969"/>
    <cellStyle name="Normal 12 2 4 2 7" xfId="2970"/>
    <cellStyle name="Normal 12 2 4 2 7 2" xfId="2971"/>
    <cellStyle name="Normal 12 2 4 2 7 2 2" xfId="2972"/>
    <cellStyle name="Normal 12 2 4 2 7 3" xfId="2973"/>
    <cellStyle name="Normal 12 2 4 2 8" xfId="2974"/>
    <cellStyle name="Normal 12 2 4 2 8 2" xfId="2975"/>
    <cellStyle name="Normal 12 2 4 2 9" xfId="2976"/>
    <cellStyle name="Normal 12 2 4 3" xfId="2977"/>
    <cellStyle name="Normal 12 2 4 3 2" xfId="2978"/>
    <cellStyle name="Normal 12 2 4 3 2 2" xfId="2979"/>
    <cellStyle name="Normal 12 2 4 3 2 2 2" xfId="2980"/>
    <cellStyle name="Normal 12 2 4 3 2 2 2 2" xfId="2981"/>
    <cellStyle name="Normal 12 2 4 3 2 2 2 2 2" xfId="2982"/>
    <cellStyle name="Normal 12 2 4 3 2 2 2 3" xfId="2983"/>
    <cellStyle name="Normal 12 2 4 3 2 2 3" xfId="2984"/>
    <cellStyle name="Normal 12 2 4 3 2 2 3 2" xfId="2985"/>
    <cellStyle name="Normal 12 2 4 3 2 2 4" xfId="2986"/>
    <cellStyle name="Normal 12 2 4 3 2 3" xfId="2987"/>
    <cellStyle name="Normal 12 2 4 3 2 3 2" xfId="2988"/>
    <cellStyle name="Normal 12 2 4 3 2 3 2 2" xfId="2989"/>
    <cellStyle name="Normal 12 2 4 3 2 3 2 2 2" xfId="2990"/>
    <cellStyle name="Normal 12 2 4 3 2 3 2 3" xfId="2991"/>
    <cellStyle name="Normal 12 2 4 3 2 3 3" xfId="2992"/>
    <cellStyle name="Normal 12 2 4 3 2 3 3 2" xfId="2993"/>
    <cellStyle name="Normal 12 2 4 3 2 3 4" xfId="2994"/>
    <cellStyle name="Normal 12 2 4 3 2 4" xfId="2995"/>
    <cellStyle name="Normal 12 2 4 3 2 4 2" xfId="2996"/>
    <cellStyle name="Normal 12 2 4 3 2 4 2 2" xfId="2997"/>
    <cellStyle name="Normal 12 2 4 3 2 4 3" xfId="2998"/>
    <cellStyle name="Normal 12 2 4 3 2 5" xfId="2999"/>
    <cellStyle name="Normal 12 2 4 3 2 5 2" xfId="3000"/>
    <cellStyle name="Normal 12 2 4 3 2 6" xfId="3001"/>
    <cellStyle name="Normal 12 2 4 3 3" xfId="3002"/>
    <cellStyle name="Normal 12 2 4 3 3 2" xfId="3003"/>
    <cellStyle name="Normal 12 2 4 3 3 2 2" xfId="3004"/>
    <cellStyle name="Normal 12 2 4 3 3 2 2 2" xfId="3005"/>
    <cellStyle name="Normal 12 2 4 3 3 2 3" xfId="3006"/>
    <cellStyle name="Normal 12 2 4 3 3 3" xfId="3007"/>
    <cellStyle name="Normal 12 2 4 3 3 3 2" xfId="3008"/>
    <cellStyle name="Normal 12 2 4 3 3 4" xfId="3009"/>
    <cellStyle name="Normal 12 2 4 3 4" xfId="3010"/>
    <cellStyle name="Normal 12 2 4 3 4 2" xfId="3011"/>
    <cellStyle name="Normal 12 2 4 3 4 2 2" xfId="3012"/>
    <cellStyle name="Normal 12 2 4 3 4 2 2 2" xfId="3013"/>
    <cellStyle name="Normal 12 2 4 3 4 2 3" xfId="3014"/>
    <cellStyle name="Normal 12 2 4 3 4 3" xfId="3015"/>
    <cellStyle name="Normal 12 2 4 3 4 3 2" xfId="3016"/>
    <cellStyle name="Normal 12 2 4 3 4 4" xfId="3017"/>
    <cellStyle name="Normal 12 2 4 3 5" xfId="3018"/>
    <cellStyle name="Normal 12 2 4 3 5 2" xfId="3019"/>
    <cellStyle name="Normal 12 2 4 3 5 2 2" xfId="3020"/>
    <cellStyle name="Normal 12 2 4 3 5 3" xfId="3021"/>
    <cellStyle name="Normal 12 2 4 3 6" xfId="3022"/>
    <cellStyle name="Normal 12 2 4 3 6 2" xfId="3023"/>
    <cellStyle name="Normal 12 2 4 3 7" xfId="3024"/>
    <cellStyle name="Normal 12 2 4 4" xfId="3025"/>
    <cellStyle name="Normal 12 2 4 4 2" xfId="3026"/>
    <cellStyle name="Normal 12 2 4 4 2 2" xfId="3027"/>
    <cellStyle name="Normal 12 2 4 4 2 2 2" xfId="3028"/>
    <cellStyle name="Normal 12 2 4 4 2 2 2 2" xfId="3029"/>
    <cellStyle name="Normal 12 2 4 4 2 2 3" xfId="3030"/>
    <cellStyle name="Normal 12 2 4 4 2 3" xfId="3031"/>
    <cellStyle name="Normal 12 2 4 4 2 3 2" xfId="3032"/>
    <cellStyle name="Normal 12 2 4 4 2 4" xfId="3033"/>
    <cellStyle name="Normal 12 2 4 4 3" xfId="3034"/>
    <cellStyle name="Normal 12 2 4 4 3 2" xfId="3035"/>
    <cellStyle name="Normal 12 2 4 4 3 2 2" xfId="3036"/>
    <cellStyle name="Normal 12 2 4 4 3 2 2 2" xfId="3037"/>
    <cellStyle name="Normal 12 2 4 4 3 2 3" xfId="3038"/>
    <cellStyle name="Normal 12 2 4 4 3 3" xfId="3039"/>
    <cellStyle name="Normal 12 2 4 4 3 3 2" xfId="3040"/>
    <cellStyle name="Normal 12 2 4 4 3 4" xfId="3041"/>
    <cellStyle name="Normal 12 2 4 4 4" xfId="3042"/>
    <cellStyle name="Normal 12 2 4 4 4 2" xfId="3043"/>
    <cellStyle name="Normal 12 2 4 4 4 2 2" xfId="3044"/>
    <cellStyle name="Normal 12 2 4 4 4 3" xfId="3045"/>
    <cellStyle name="Normal 12 2 4 4 5" xfId="3046"/>
    <cellStyle name="Normal 12 2 4 4 5 2" xfId="3047"/>
    <cellStyle name="Normal 12 2 4 4 6" xfId="3048"/>
    <cellStyle name="Normal 12 2 4 5" xfId="3049"/>
    <cellStyle name="Normal 12 2 4 5 2" xfId="3050"/>
    <cellStyle name="Normal 12 2 4 5 2 2" xfId="3051"/>
    <cellStyle name="Normal 12 2 4 5 2 2 2" xfId="3052"/>
    <cellStyle name="Normal 12 2 4 5 2 3" xfId="3053"/>
    <cellStyle name="Normal 12 2 4 5 3" xfId="3054"/>
    <cellStyle name="Normal 12 2 4 5 3 2" xfId="3055"/>
    <cellStyle name="Normal 12 2 4 5 4" xfId="3056"/>
    <cellStyle name="Normal 12 2 4 6" xfId="3057"/>
    <cellStyle name="Normal 12 2 4 6 2" xfId="3058"/>
    <cellStyle name="Normal 12 2 4 6 2 2" xfId="3059"/>
    <cellStyle name="Normal 12 2 4 6 2 2 2" xfId="3060"/>
    <cellStyle name="Normal 12 2 4 6 2 3" xfId="3061"/>
    <cellStyle name="Normal 12 2 4 6 3" xfId="3062"/>
    <cellStyle name="Normal 12 2 4 6 3 2" xfId="3063"/>
    <cellStyle name="Normal 12 2 4 6 4" xfId="3064"/>
    <cellStyle name="Normal 12 2 4 7" xfId="3065"/>
    <cellStyle name="Normal 12 2 4 7 2" xfId="3066"/>
    <cellStyle name="Normal 12 2 4 7 2 2" xfId="3067"/>
    <cellStyle name="Normal 12 2 4 7 2 2 2" xfId="3068"/>
    <cellStyle name="Normal 12 2 4 7 2 3" xfId="3069"/>
    <cellStyle name="Normal 12 2 4 7 3" xfId="3070"/>
    <cellStyle name="Normal 12 2 4 7 3 2" xfId="3071"/>
    <cellStyle name="Normal 12 2 4 7 4" xfId="3072"/>
    <cellStyle name="Normal 12 2 4 8" xfId="3073"/>
    <cellStyle name="Normal 12 2 4 8 2" xfId="3074"/>
    <cellStyle name="Normal 12 2 4 8 2 2" xfId="3075"/>
    <cellStyle name="Normal 12 2 4 8 3" xfId="3076"/>
    <cellStyle name="Normal 12 2 4 9" xfId="3077"/>
    <cellStyle name="Normal 12 2 4 9 2" xfId="3078"/>
    <cellStyle name="Normal 12 2 5" xfId="3079"/>
    <cellStyle name="Normal 12 2 5 2" xfId="3080"/>
    <cellStyle name="Normal 12 2 5 2 2" xfId="3081"/>
    <cellStyle name="Normal 12 2 5 2 2 2" xfId="3082"/>
    <cellStyle name="Normal 12 2 5 2 2 2 2" xfId="3083"/>
    <cellStyle name="Normal 12 2 5 2 2 2 2 2" xfId="3084"/>
    <cellStyle name="Normal 12 2 5 2 2 2 2 2 2" xfId="3085"/>
    <cellStyle name="Normal 12 2 5 2 2 2 2 3" xfId="3086"/>
    <cellStyle name="Normal 12 2 5 2 2 2 3" xfId="3087"/>
    <cellStyle name="Normal 12 2 5 2 2 2 3 2" xfId="3088"/>
    <cellStyle name="Normal 12 2 5 2 2 2 4" xfId="3089"/>
    <cellStyle name="Normal 12 2 5 2 2 3" xfId="3090"/>
    <cellStyle name="Normal 12 2 5 2 2 3 2" xfId="3091"/>
    <cellStyle name="Normal 12 2 5 2 2 3 2 2" xfId="3092"/>
    <cellStyle name="Normal 12 2 5 2 2 3 2 2 2" xfId="3093"/>
    <cellStyle name="Normal 12 2 5 2 2 3 2 3" xfId="3094"/>
    <cellStyle name="Normal 12 2 5 2 2 3 3" xfId="3095"/>
    <cellStyle name="Normal 12 2 5 2 2 3 3 2" xfId="3096"/>
    <cellStyle name="Normal 12 2 5 2 2 3 4" xfId="3097"/>
    <cellStyle name="Normal 12 2 5 2 2 4" xfId="3098"/>
    <cellStyle name="Normal 12 2 5 2 2 4 2" xfId="3099"/>
    <cellStyle name="Normal 12 2 5 2 2 4 2 2" xfId="3100"/>
    <cellStyle name="Normal 12 2 5 2 2 4 3" xfId="3101"/>
    <cellStyle name="Normal 12 2 5 2 2 5" xfId="3102"/>
    <cellStyle name="Normal 12 2 5 2 2 5 2" xfId="3103"/>
    <cellStyle name="Normal 12 2 5 2 2 6" xfId="3104"/>
    <cellStyle name="Normal 12 2 5 2 3" xfId="3105"/>
    <cellStyle name="Normal 12 2 5 2 3 2" xfId="3106"/>
    <cellStyle name="Normal 12 2 5 2 3 2 2" xfId="3107"/>
    <cellStyle name="Normal 12 2 5 2 3 2 2 2" xfId="3108"/>
    <cellStyle name="Normal 12 2 5 2 3 2 3" xfId="3109"/>
    <cellStyle name="Normal 12 2 5 2 3 3" xfId="3110"/>
    <cellStyle name="Normal 12 2 5 2 3 3 2" xfId="3111"/>
    <cellStyle name="Normal 12 2 5 2 3 4" xfId="3112"/>
    <cellStyle name="Normal 12 2 5 2 4" xfId="3113"/>
    <cellStyle name="Normal 12 2 5 2 4 2" xfId="3114"/>
    <cellStyle name="Normal 12 2 5 2 4 2 2" xfId="3115"/>
    <cellStyle name="Normal 12 2 5 2 4 2 2 2" xfId="3116"/>
    <cellStyle name="Normal 12 2 5 2 4 2 3" xfId="3117"/>
    <cellStyle name="Normal 12 2 5 2 4 3" xfId="3118"/>
    <cellStyle name="Normal 12 2 5 2 4 3 2" xfId="3119"/>
    <cellStyle name="Normal 12 2 5 2 4 4" xfId="3120"/>
    <cellStyle name="Normal 12 2 5 2 5" xfId="3121"/>
    <cellStyle name="Normal 12 2 5 2 5 2" xfId="3122"/>
    <cellStyle name="Normal 12 2 5 2 5 2 2" xfId="3123"/>
    <cellStyle name="Normal 12 2 5 2 5 3" xfId="3124"/>
    <cellStyle name="Normal 12 2 5 2 6" xfId="3125"/>
    <cellStyle name="Normal 12 2 5 2 6 2" xfId="3126"/>
    <cellStyle name="Normal 12 2 5 2 7" xfId="3127"/>
    <cellStyle name="Normal 12 2 5 3" xfId="3128"/>
    <cellStyle name="Normal 12 2 5 3 2" xfId="3129"/>
    <cellStyle name="Normal 12 2 5 3 2 2" xfId="3130"/>
    <cellStyle name="Normal 12 2 5 3 2 2 2" xfId="3131"/>
    <cellStyle name="Normal 12 2 5 3 2 2 2 2" xfId="3132"/>
    <cellStyle name="Normal 12 2 5 3 2 2 3" xfId="3133"/>
    <cellStyle name="Normal 12 2 5 3 2 3" xfId="3134"/>
    <cellStyle name="Normal 12 2 5 3 2 3 2" xfId="3135"/>
    <cellStyle name="Normal 12 2 5 3 2 4" xfId="3136"/>
    <cellStyle name="Normal 12 2 5 3 3" xfId="3137"/>
    <cellStyle name="Normal 12 2 5 3 3 2" xfId="3138"/>
    <cellStyle name="Normal 12 2 5 3 3 2 2" xfId="3139"/>
    <cellStyle name="Normal 12 2 5 3 3 2 2 2" xfId="3140"/>
    <cellStyle name="Normal 12 2 5 3 3 2 3" xfId="3141"/>
    <cellStyle name="Normal 12 2 5 3 3 3" xfId="3142"/>
    <cellStyle name="Normal 12 2 5 3 3 3 2" xfId="3143"/>
    <cellStyle name="Normal 12 2 5 3 3 4" xfId="3144"/>
    <cellStyle name="Normal 12 2 5 3 4" xfId="3145"/>
    <cellStyle name="Normal 12 2 5 3 4 2" xfId="3146"/>
    <cellStyle name="Normal 12 2 5 3 4 2 2" xfId="3147"/>
    <cellStyle name="Normal 12 2 5 3 4 3" xfId="3148"/>
    <cellStyle name="Normal 12 2 5 3 5" xfId="3149"/>
    <cellStyle name="Normal 12 2 5 3 5 2" xfId="3150"/>
    <cellStyle name="Normal 12 2 5 3 6" xfId="3151"/>
    <cellStyle name="Normal 12 2 5 4" xfId="3152"/>
    <cellStyle name="Normal 12 2 5 4 2" xfId="3153"/>
    <cellStyle name="Normal 12 2 5 4 2 2" xfId="3154"/>
    <cellStyle name="Normal 12 2 5 4 2 2 2" xfId="3155"/>
    <cellStyle name="Normal 12 2 5 4 2 3" xfId="3156"/>
    <cellStyle name="Normal 12 2 5 4 3" xfId="3157"/>
    <cellStyle name="Normal 12 2 5 4 3 2" xfId="3158"/>
    <cellStyle name="Normal 12 2 5 4 4" xfId="3159"/>
    <cellStyle name="Normal 12 2 5 5" xfId="3160"/>
    <cellStyle name="Normal 12 2 5 5 2" xfId="3161"/>
    <cellStyle name="Normal 12 2 5 5 2 2" xfId="3162"/>
    <cellStyle name="Normal 12 2 5 5 2 2 2" xfId="3163"/>
    <cellStyle name="Normal 12 2 5 5 2 3" xfId="3164"/>
    <cellStyle name="Normal 12 2 5 5 3" xfId="3165"/>
    <cellStyle name="Normal 12 2 5 5 3 2" xfId="3166"/>
    <cellStyle name="Normal 12 2 5 5 4" xfId="3167"/>
    <cellStyle name="Normal 12 2 5 6" xfId="3168"/>
    <cellStyle name="Normal 12 2 5 6 2" xfId="3169"/>
    <cellStyle name="Normal 12 2 5 6 2 2" xfId="3170"/>
    <cellStyle name="Normal 12 2 5 6 2 2 2" xfId="3171"/>
    <cellStyle name="Normal 12 2 5 6 2 3" xfId="3172"/>
    <cellStyle name="Normal 12 2 5 6 3" xfId="3173"/>
    <cellStyle name="Normal 12 2 5 6 3 2" xfId="3174"/>
    <cellStyle name="Normal 12 2 5 6 4" xfId="3175"/>
    <cellStyle name="Normal 12 2 5 7" xfId="3176"/>
    <cellStyle name="Normal 12 2 5 7 2" xfId="3177"/>
    <cellStyle name="Normal 12 2 5 7 2 2" xfId="3178"/>
    <cellStyle name="Normal 12 2 5 7 3" xfId="3179"/>
    <cellStyle name="Normal 12 2 5 8" xfId="3180"/>
    <cellStyle name="Normal 12 2 5 8 2" xfId="3181"/>
    <cellStyle name="Normal 12 2 5 9" xfId="3182"/>
    <cellStyle name="Normal 12 2 6" xfId="3183"/>
    <cellStyle name="Normal 12 2 6 2" xfId="3184"/>
    <cellStyle name="Normal 12 2 6 2 2" xfId="3185"/>
    <cellStyle name="Normal 12 2 6 2 2 2" xfId="3186"/>
    <cellStyle name="Normal 12 2 6 2 2 2 2" xfId="3187"/>
    <cellStyle name="Normal 12 2 6 2 2 2 2 2" xfId="3188"/>
    <cellStyle name="Normal 12 2 6 2 2 2 3" xfId="3189"/>
    <cellStyle name="Normal 12 2 6 2 2 3" xfId="3190"/>
    <cellStyle name="Normal 12 2 6 2 2 3 2" xfId="3191"/>
    <cellStyle name="Normal 12 2 6 2 2 4" xfId="3192"/>
    <cellStyle name="Normal 12 2 6 2 3" xfId="3193"/>
    <cellStyle name="Normal 12 2 6 2 3 2" xfId="3194"/>
    <cellStyle name="Normal 12 2 6 2 3 2 2" xfId="3195"/>
    <cellStyle name="Normal 12 2 6 2 3 2 2 2" xfId="3196"/>
    <cellStyle name="Normal 12 2 6 2 3 2 3" xfId="3197"/>
    <cellStyle name="Normal 12 2 6 2 3 3" xfId="3198"/>
    <cellStyle name="Normal 12 2 6 2 3 3 2" xfId="3199"/>
    <cellStyle name="Normal 12 2 6 2 3 4" xfId="3200"/>
    <cellStyle name="Normal 12 2 6 2 4" xfId="3201"/>
    <cellStyle name="Normal 12 2 6 2 4 2" xfId="3202"/>
    <cellStyle name="Normal 12 2 6 2 4 2 2" xfId="3203"/>
    <cellStyle name="Normal 12 2 6 2 4 3" xfId="3204"/>
    <cellStyle name="Normal 12 2 6 2 5" xfId="3205"/>
    <cellStyle name="Normal 12 2 6 2 5 2" xfId="3206"/>
    <cellStyle name="Normal 12 2 6 2 6" xfId="3207"/>
    <cellStyle name="Normal 12 2 6 3" xfId="3208"/>
    <cellStyle name="Normal 12 2 6 3 2" xfId="3209"/>
    <cellStyle name="Normal 12 2 6 3 2 2" xfId="3210"/>
    <cellStyle name="Normal 12 2 6 3 2 2 2" xfId="3211"/>
    <cellStyle name="Normal 12 2 6 3 2 3" xfId="3212"/>
    <cellStyle name="Normal 12 2 6 3 3" xfId="3213"/>
    <cellStyle name="Normal 12 2 6 3 3 2" xfId="3214"/>
    <cellStyle name="Normal 12 2 6 3 4" xfId="3215"/>
    <cellStyle name="Normal 12 2 6 4" xfId="3216"/>
    <cellStyle name="Normal 12 2 6 4 2" xfId="3217"/>
    <cellStyle name="Normal 12 2 6 4 2 2" xfId="3218"/>
    <cellStyle name="Normal 12 2 6 4 2 2 2" xfId="3219"/>
    <cellStyle name="Normal 12 2 6 4 2 3" xfId="3220"/>
    <cellStyle name="Normal 12 2 6 4 3" xfId="3221"/>
    <cellStyle name="Normal 12 2 6 4 3 2" xfId="3222"/>
    <cellStyle name="Normal 12 2 6 4 4" xfId="3223"/>
    <cellStyle name="Normal 12 2 6 5" xfId="3224"/>
    <cellStyle name="Normal 12 2 6 5 2" xfId="3225"/>
    <cellStyle name="Normal 12 2 6 5 2 2" xfId="3226"/>
    <cellStyle name="Normal 12 2 6 5 3" xfId="3227"/>
    <cellStyle name="Normal 12 2 6 6" xfId="3228"/>
    <cellStyle name="Normal 12 2 6 6 2" xfId="3229"/>
    <cellStyle name="Normal 12 2 6 7" xfId="3230"/>
    <cellStyle name="Normal 12 2 7" xfId="3231"/>
    <cellStyle name="Normal 12 2 7 2" xfId="3232"/>
    <cellStyle name="Normal 12 2 7 2 2" xfId="3233"/>
    <cellStyle name="Normal 12 2 7 2 2 2" xfId="3234"/>
    <cellStyle name="Normal 12 2 7 2 2 2 2" xfId="3235"/>
    <cellStyle name="Normal 12 2 7 2 2 3" xfId="3236"/>
    <cellStyle name="Normal 12 2 7 2 3" xfId="3237"/>
    <cellStyle name="Normal 12 2 7 2 3 2" xfId="3238"/>
    <cellStyle name="Normal 12 2 7 2 4" xfId="3239"/>
    <cellStyle name="Normal 12 2 7 3" xfId="3240"/>
    <cellStyle name="Normal 12 2 7 3 2" xfId="3241"/>
    <cellStyle name="Normal 12 2 7 3 2 2" xfId="3242"/>
    <cellStyle name="Normal 12 2 7 3 2 2 2" xfId="3243"/>
    <cellStyle name="Normal 12 2 7 3 2 3" xfId="3244"/>
    <cellStyle name="Normal 12 2 7 3 3" xfId="3245"/>
    <cellStyle name="Normal 12 2 7 3 3 2" xfId="3246"/>
    <cellStyle name="Normal 12 2 7 3 4" xfId="3247"/>
    <cellStyle name="Normal 12 2 7 4" xfId="3248"/>
    <cellStyle name="Normal 12 2 7 4 2" xfId="3249"/>
    <cellStyle name="Normal 12 2 7 4 2 2" xfId="3250"/>
    <cellStyle name="Normal 12 2 7 4 3" xfId="3251"/>
    <cellStyle name="Normal 12 2 7 5" xfId="3252"/>
    <cellStyle name="Normal 12 2 7 5 2" xfId="3253"/>
    <cellStyle name="Normal 12 2 7 6" xfId="3254"/>
    <cellStyle name="Normal 12 2 8" xfId="3255"/>
    <cellStyle name="Normal 12 2 8 2" xfId="3256"/>
    <cellStyle name="Normal 12 2 8 2 2" xfId="3257"/>
    <cellStyle name="Normal 12 2 8 2 2 2" xfId="3258"/>
    <cellStyle name="Normal 12 2 8 2 3" xfId="3259"/>
    <cellStyle name="Normal 12 2 8 3" xfId="3260"/>
    <cellStyle name="Normal 12 2 8 3 2" xfId="3261"/>
    <cellStyle name="Normal 12 2 8 4" xfId="3262"/>
    <cellStyle name="Normal 12 2 9" xfId="3263"/>
    <cellStyle name="Normal 12 2 9 2" xfId="3264"/>
    <cellStyle name="Normal 12 2 9 2 2" xfId="3265"/>
    <cellStyle name="Normal 12 2 9 2 2 2" xfId="3266"/>
    <cellStyle name="Normal 12 2 9 2 3" xfId="3267"/>
    <cellStyle name="Normal 12 2 9 3" xfId="3268"/>
    <cellStyle name="Normal 12 2 9 3 2" xfId="3269"/>
    <cellStyle name="Normal 12 2 9 4" xfId="3270"/>
    <cellStyle name="Normal 12 3" xfId="3271"/>
    <cellStyle name="Normal 12 3 10" xfId="3272"/>
    <cellStyle name="Normal 12 3 10 2" xfId="3273"/>
    <cellStyle name="Normal 12 3 11" xfId="3274"/>
    <cellStyle name="Normal 12 3 2" xfId="3275"/>
    <cellStyle name="Normal 12 3 2 10" xfId="3276"/>
    <cellStyle name="Normal 12 3 2 2" xfId="3277"/>
    <cellStyle name="Normal 12 3 2 2 2" xfId="3278"/>
    <cellStyle name="Normal 12 3 2 2 2 2" xfId="3279"/>
    <cellStyle name="Normal 12 3 2 2 2 2 2" xfId="3280"/>
    <cellStyle name="Normal 12 3 2 2 2 2 2 2" xfId="3281"/>
    <cellStyle name="Normal 12 3 2 2 2 2 2 2 2" xfId="3282"/>
    <cellStyle name="Normal 12 3 2 2 2 2 2 2 2 2" xfId="3283"/>
    <cellStyle name="Normal 12 3 2 2 2 2 2 2 3" xfId="3284"/>
    <cellStyle name="Normal 12 3 2 2 2 2 2 3" xfId="3285"/>
    <cellStyle name="Normal 12 3 2 2 2 2 2 3 2" xfId="3286"/>
    <cellStyle name="Normal 12 3 2 2 2 2 2 4" xfId="3287"/>
    <cellStyle name="Normal 12 3 2 2 2 2 3" xfId="3288"/>
    <cellStyle name="Normal 12 3 2 2 2 2 3 2" xfId="3289"/>
    <cellStyle name="Normal 12 3 2 2 2 2 3 2 2" xfId="3290"/>
    <cellStyle name="Normal 12 3 2 2 2 2 3 2 2 2" xfId="3291"/>
    <cellStyle name="Normal 12 3 2 2 2 2 3 2 3" xfId="3292"/>
    <cellStyle name="Normal 12 3 2 2 2 2 3 3" xfId="3293"/>
    <cellStyle name="Normal 12 3 2 2 2 2 3 3 2" xfId="3294"/>
    <cellStyle name="Normal 12 3 2 2 2 2 3 4" xfId="3295"/>
    <cellStyle name="Normal 12 3 2 2 2 2 4" xfId="3296"/>
    <cellStyle name="Normal 12 3 2 2 2 2 4 2" xfId="3297"/>
    <cellStyle name="Normal 12 3 2 2 2 2 4 2 2" xfId="3298"/>
    <cellStyle name="Normal 12 3 2 2 2 2 4 3" xfId="3299"/>
    <cellStyle name="Normal 12 3 2 2 2 2 5" xfId="3300"/>
    <cellStyle name="Normal 12 3 2 2 2 2 5 2" xfId="3301"/>
    <cellStyle name="Normal 12 3 2 2 2 2 6" xfId="3302"/>
    <cellStyle name="Normal 12 3 2 2 2 3" xfId="3303"/>
    <cellStyle name="Normal 12 3 2 2 2 3 2" xfId="3304"/>
    <cellStyle name="Normal 12 3 2 2 2 3 2 2" xfId="3305"/>
    <cellStyle name="Normal 12 3 2 2 2 3 2 2 2" xfId="3306"/>
    <cellStyle name="Normal 12 3 2 2 2 3 2 3" xfId="3307"/>
    <cellStyle name="Normal 12 3 2 2 2 3 3" xfId="3308"/>
    <cellStyle name="Normal 12 3 2 2 2 3 3 2" xfId="3309"/>
    <cellStyle name="Normal 12 3 2 2 2 3 4" xfId="3310"/>
    <cellStyle name="Normal 12 3 2 2 2 4" xfId="3311"/>
    <cellStyle name="Normal 12 3 2 2 2 4 2" xfId="3312"/>
    <cellStyle name="Normal 12 3 2 2 2 4 2 2" xfId="3313"/>
    <cellStyle name="Normal 12 3 2 2 2 4 2 2 2" xfId="3314"/>
    <cellStyle name="Normal 12 3 2 2 2 4 2 3" xfId="3315"/>
    <cellStyle name="Normal 12 3 2 2 2 4 3" xfId="3316"/>
    <cellStyle name="Normal 12 3 2 2 2 4 3 2" xfId="3317"/>
    <cellStyle name="Normal 12 3 2 2 2 4 4" xfId="3318"/>
    <cellStyle name="Normal 12 3 2 2 2 5" xfId="3319"/>
    <cellStyle name="Normal 12 3 2 2 2 5 2" xfId="3320"/>
    <cellStyle name="Normal 12 3 2 2 2 5 2 2" xfId="3321"/>
    <cellStyle name="Normal 12 3 2 2 2 5 3" xfId="3322"/>
    <cellStyle name="Normal 12 3 2 2 2 6" xfId="3323"/>
    <cellStyle name="Normal 12 3 2 2 2 6 2" xfId="3324"/>
    <cellStyle name="Normal 12 3 2 2 2 7" xfId="3325"/>
    <cellStyle name="Normal 12 3 2 2 3" xfId="3326"/>
    <cellStyle name="Normal 12 3 2 2 3 2" xfId="3327"/>
    <cellStyle name="Normal 12 3 2 2 3 2 2" xfId="3328"/>
    <cellStyle name="Normal 12 3 2 2 3 2 2 2" xfId="3329"/>
    <cellStyle name="Normal 12 3 2 2 3 2 2 2 2" xfId="3330"/>
    <cellStyle name="Normal 12 3 2 2 3 2 2 3" xfId="3331"/>
    <cellStyle name="Normal 12 3 2 2 3 2 3" xfId="3332"/>
    <cellStyle name="Normal 12 3 2 2 3 2 3 2" xfId="3333"/>
    <cellStyle name="Normal 12 3 2 2 3 2 4" xfId="3334"/>
    <cellStyle name="Normal 12 3 2 2 3 3" xfId="3335"/>
    <cellStyle name="Normal 12 3 2 2 3 3 2" xfId="3336"/>
    <cellStyle name="Normal 12 3 2 2 3 3 2 2" xfId="3337"/>
    <cellStyle name="Normal 12 3 2 2 3 3 2 2 2" xfId="3338"/>
    <cellStyle name="Normal 12 3 2 2 3 3 2 3" xfId="3339"/>
    <cellStyle name="Normal 12 3 2 2 3 3 3" xfId="3340"/>
    <cellStyle name="Normal 12 3 2 2 3 3 3 2" xfId="3341"/>
    <cellStyle name="Normal 12 3 2 2 3 3 4" xfId="3342"/>
    <cellStyle name="Normal 12 3 2 2 3 4" xfId="3343"/>
    <cellStyle name="Normal 12 3 2 2 3 4 2" xfId="3344"/>
    <cellStyle name="Normal 12 3 2 2 3 4 2 2" xfId="3345"/>
    <cellStyle name="Normal 12 3 2 2 3 4 3" xfId="3346"/>
    <cellStyle name="Normal 12 3 2 2 3 5" xfId="3347"/>
    <cellStyle name="Normal 12 3 2 2 3 5 2" xfId="3348"/>
    <cellStyle name="Normal 12 3 2 2 3 6" xfId="3349"/>
    <cellStyle name="Normal 12 3 2 2 4" xfId="3350"/>
    <cellStyle name="Normal 12 3 2 2 4 2" xfId="3351"/>
    <cellStyle name="Normal 12 3 2 2 4 2 2" xfId="3352"/>
    <cellStyle name="Normal 12 3 2 2 4 2 2 2" xfId="3353"/>
    <cellStyle name="Normal 12 3 2 2 4 2 3" xfId="3354"/>
    <cellStyle name="Normal 12 3 2 2 4 3" xfId="3355"/>
    <cellStyle name="Normal 12 3 2 2 4 3 2" xfId="3356"/>
    <cellStyle name="Normal 12 3 2 2 4 4" xfId="3357"/>
    <cellStyle name="Normal 12 3 2 2 5" xfId="3358"/>
    <cellStyle name="Normal 12 3 2 2 5 2" xfId="3359"/>
    <cellStyle name="Normal 12 3 2 2 5 2 2" xfId="3360"/>
    <cellStyle name="Normal 12 3 2 2 5 2 2 2" xfId="3361"/>
    <cellStyle name="Normal 12 3 2 2 5 2 3" xfId="3362"/>
    <cellStyle name="Normal 12 3 2 2 5 3" xfId="3363"/>
    <cellStyle name="Normal 12 3 2 2 5 3 2" xfId="3364"/>
    <cellStyle name="Normal 12 3 2 2 5 4" xfId="3365"/>
    <cellStyle name="Normal 12 3 2 2 6" xfId="3366"/>
    <cellStyle name="Normal 12 3 2 2 6 2" xfId="3367"/>
    <cellStyle name="Normal 12 3 2 2 6 2 2" xfId="3368"/>
    <cellStyle name="Normal 12 3 2 2 6 2 2 2" xfId="3369"/>
    <cellStyle name="Normal 12 3 2 2 6 2 3" xfId="3370"/>
    <cellStyle name="Normal 12 3 2 2 6 3" xfId="3371"/>
    <cellStyle name="Normal 12 3 2 2 6 3 2" xfId="3372"/>
    <cellStyle name="Normal 12 3 2 2 6 4" xfId="3373"/>
    <cellStyle name="Normal 12 3 2 2 7" xfId="3374"/>
    <cellStyle name="Normal 12 3 2 2 7 2" xfId="3375"/>
    <cellStyle name="Normal 12 3 2 2 7 2 2" xfId="3376"/>
    <cellStyle name="Normal 12 3 2 2 7 3" xfId="3377"/>
    <cellStyle name="Normal 12 3 2 2 8" xfId="3378"/>
    <cellStyle name="Normal 12 3 2 2 8 2" xfId="3379"/>
    <cellStyle name="Normal 12 3 2 2 9" xfId="3380"/>
    <cellStyle name="Normal 12 3 2 3" xfId="3381"/>
    <cellStyle name="Normal 12 3 2 3 2" xfId="3382"/>
    <cellStyle name="Normal 12 3 2 3 2 2" xfId="3383"/>
    <cellStyle name="Normal 12 3 2 3 2 2 2" xfId="3384"/>
    <cellStyle name="Normal 12 3 2 3 2 2 2 2" xfId="3385"/>
    <cellStyle name="Normal 12 3 2 3 2 2 2 2 2" xfId="3386"/>
    <cellStyle name="Normal 12 3 2 3 2 2 2 3" xfId="3387"/>
    <cellStyle name="Normal 12 3 2 3 2 2 3" xfId="3388"/>
    <cellStyle name="Normal 12 3 2 3 2 2 3 2" xfId="3389"/>
    <cellStyle name="Normal 12 3 2 3 2 2 4" xfId="3390"/>
    <cellStyle name="Normal 12 3 2 3 2 3" xfId="3391"/>
    <cellStyle name="Normal 12 3 2 3 2 3 2" xfId="3392"/>
    <cellStyle name="Normal 12 3 2 3 2 3 2 2" xfId="3393"/>
    <cellStyle name="Normal 12 3 2 3 2 3 2 2 2" xfId="3394"/>
    <cellStyle name="Normal 12 3 2 3 2 3 2 3" xfId="3395"/>
    <cellStyle name="Normal 12 3 2 3 2 3 3" xfId="3396"/>
    <cellStyle name="Normal 12 3 2 3 2 3 3 2" xfId="3397"/>
    <cellStyle name="Normal 12 3 2 3 2 3 4" xfId="3398"/>
    <cellStyle name="Normal 12 3 2 3 2 4" xfId="3399"/>
    <cellStyle name="Normal 12 3 2 3 2 4 2" xfId="3400"/>
    <cellStyle name="Normal 12 3 2 3 2 4 2 2" xfId="3401"/>
    <cellStyle name="Normal 12 3 2 3 2 4 3" xfId="3402"/>
    <cellStyle name="Normal 12 3 2 3 2 5" xfId="3403"/>
    <cellStyle name="Normal 12 3 2 3 2 5 2" xfId="3404"/>
    <cellStyle name="Normal 12 3 2 3 2 6" xfId="3405"/>
    <cellStyle name="Normal 12 3 2 3 3" xfId="3406"/>
    <cellStyle name="Normal 12 3 2 3 3 2" xfId="3407"/>
    <cellStyle name="Normal 12 3 2 3 3 2 2" xfId="3408"/>
    <cellStyle name="Normal 12 3 2 3 3 2 2 2" xfId="3409"/>
    <cellStyle name="Normal 12 3 2 3 3 2 3" xfId="3410"/>
    <cellStyle name="Normal 12 3 2 3 3 3" xfId="3411"/>
    <cellStyle name="Normal 12 3 2 3 3 3 2" xfId="3412"/>
    <cellStyle name="Normal 12 3 2 3 3 4" xfId="3413"/>
    <cellStyle name="Normal 12 3 2 3 4" xfId="3414"/>
    <cellStyle name="Normal 12 3 2 3 4 2" xfId="3415"/>
    <cellStyle name="Normal 12 3 2 3 4 2 2" xfId="3416"/>
    <cellStyle name="Normal 12 3 2 3 4 2 2 2" xfId="3417"/>
    <cellStyle name="Normal 12 3 2 3 4 2 3" xfId="3418"/>
    <cellStyle name="Normal 12 3 2 3 4 3" xfId="3419"/>
    <cellStyle name="Normal 12 3 2 3 4 3 2" xfId="3420"/>
    <cellStyle name="Normal 12 3 2 3 4 4" xfId="3421"/>
    <cellStyle name="Normal 12 3 2 3 5" xfId="3422"/>
    <cellStyle name="Normal 12 3 2 3 5 2" xfId="3423"/>
    <cellStyle name="Normal 12 3 2 3 5 2 2" xfId="3424"/>
    <cellStyle name="Normal 12 3 2 3 5 3" xfId="3425"/>
    <cellStyle name="Normal 12 3 2 3 6" xfId="3426"/>
    <cellStyle name="Normal 12 3 2 3 6 2" xfId="3427"/>
    <cellStyle name="Normal 12 3 2 3 7" xfId="3428"/>
    <cellStyle name="Normal 12 3 2 4" xfId="3429"/>
    <cellStyle name="Normal 12 3 2 4 2" xfId="3430"/>
    <cellStyle name="Normal 12 3 2 4 2 2" xfId="3431"/>
    <cellStyle name="Normal 12 3 2 4 2 2 2" xfId="3432"/>
    <cellStyle name="Normal 12 3 2 4 2 2 2 2" xfId="3433"/>
    <cellStyle name="Normal 12 3 2 4 2 2 3" xfId="3434"/>
    <cellStyle name="Normal 12 3 2 4 2 3" xfId="3435"/>
    <cellStyle name="Normal 12 3 2 4 2 3 2" xfId="3436"/>
    <cellStyle name="Normal 12 3 2 4 2 4" xfId="3437"/>
    <cellStyle name="Normal 12 3 2 4 3" xfId="3438"/>
    <cellStyle name="Normal 12 3 2 4 3 2" xfId="3439"/>
    <cellStyle name="Normal 12 3 2 4 3 2 2" xfId="3440"/>
    <cellStyle name="Normal 12 3 2 4 3 2 2 2" xfId="3441"/>
    <cellStyle name="Normal 12 3 2 4 3 2 3" xfId="3442"/>
    <cellStyle name="Normal 12 3 2 4 3 3" xfId="3443"/>
    <cellStyle name="Normal 12 3 2 4 3 3 2" xfId="3444"/>
    <cellStyle name="Normal 12 3 2 4 3 4" xfId="3445"/>
    <cellStyle name="Normal 12 3 2 4 4" xfId="3446"/>
    <cellStyle name="Normal 12 3 2 4 4 2" xfId="3447"/>
    <cellStyle name="Normal 12 3 2 4 4 2 2" xfId="3448"/>
    <cellStyle name="Normal 12 3 2 4 4 3" xfId="3449"/>
    <cellStyle name="Normal 12 3 2 4 5" xfId="3450"/>
    <cellStyle name="Normal 12 3 2 4 5 2" xfId="3451"/>
    <cellStyle name="Normal 12 3 2 4 6" xfId="3452"/>
    <cellStyle name="Normal 12 3 2 5" xfId="3453"/>
    <cellStyle name="Normal 12 3 2 5 2" xfId="3454"/>
    <cellStyle name="Normal 12 3 2 5 2 2" xfId="3455"/>
    <cellStyle name="Normal 12 3 2 5 2 2 2" xfId="3456"/>
    <cellStyle name="Normal 12 3 2 5 2 3" xfId="3457"/>
    <cellStyle name="Normal 12 3 2 5 3" xfId="3458"/>
    <cellStyle name="Normal 12 3 2 5 3 2" xfId="3459"/>
    <cellStyle name="Normal 12 3 2 5 4" xfId="3460"/>
    <cellStyle name="Normal 12 3 2 6" xfId="3461"/>
    <cellStyle name="Normal 12 3 2 6 2" xfId="3462"/>
    <cellStyle name="Normal 12 3 2 6 2 2" xfId="3463"/>
    <cellStyle name="Normal 12 3 2 6 2 2 2" xfId="3464"/>
    <cellStyle name="Normal 12 3 2 6 2 3" xfId="3465"/>
    <cellStyle name="Normal 12 3 2 6 3" xfId="3466"/>
    <cellStyle name="Normal 12 3 2 6 3 2" xfId="3467"/>
    <cellStyle name="Normal 12 3 2 6 4" xfId="3468"/>
    <cellStyle name="Normal 12 3 2 7" xfId="3469"/>
    <cellStyle name="Normal 12 3 2 7 2" xfId="3470"/>
    <cellStyle name="Normal 12 3 2 7 2 2" xfId="3471"/>
    <cellStyle name="Normal 12 3 2 7 2 2 2" xfId="3472"/>
    <cellStyle name="Normal 12 3 2 7 2 3" xfId="3473"/>
    <cellStyle name="Normal 12 3 2 7 3" xfId="3474"/>
    <cellStyle name="Normal 12 3 2 7 3 2" xfId="3475"/>
    <cellStyle name="Normal 12 3 2 7 4" xfId="3476"/>
    <cellStyle name="Normal 12 3 2 8" xfId="3477"/>
    <cellStyle name="Normal 12 3 2 8 2" xfId="3478"/>
    <cellStyle name="Normal 12 3 2 8 2 2" xfId="3479"/>
    <cellStyle name="Normal 12 3 2 8 3" xfId="3480"/>
    <cellStyle name="Normal 12 3 2 9" xfId="3481"/>
    <cellStyle name="Normal 12 3 2 9 2" xfId="3482"/>
    <cellStyle name="Normal 12 3 3" xfId="3483"/>
    <cellStyle name="Normal 12 3 3 2" xfId="3484"/>
    <cellStyle name="Normal 12 3 3 2 2" xfId="3485"/>
    <cellStyle name="Normal 12 3 3 2 2 2" xfId="3486"/>
    <cellStyle name="Normal 12 3 3 2 2 2 2" xfId="3487"/>
    <cellStyle name="Normal 12 3 3 2 2 2 2 2" xfId="3488"/>
    <cellStyle name="Normal 12 3 3 2 2 2 2 2 2" xfId="3489"/>
    <cellStyle name="Normal 12 3 3 2 2 2 2 3" xfId="3490"/>
    <cellStyle name="Normal 12 3 3 2 2 2 3" xfId="3491"/>
    <cellStyle name="Normal 12 3 3 2 2 2 3 2" xfId="3492"/>
    <cellStyle name="Normal 12 3 3 2 2 2 4" xfId="3493"/>
    <cellStyle name="Normal 12 3 3 2 2 3" xfId="3494"/>
    <cellStyle name="Normal 12 3 3 2 2 3 2" xfId="3495"/>
    <cellStyle name="Normal 12 3 3 2 2 3 2 2" xfId="3496"/>
    <cellStyle name="Normal 12 3 3 2 2 3 2 2 2" xfId="3497"/>
    <cellStyle name="Normal 12 3 3 2 2 3 2 3" xfId="3498"/>
    <cellStyle name="Normal 12 3 3 2 2 3 3" xfId="3499"/>
    <cellStyle name="Normal 12 3 3 2 2 3 3 2" xfId="3500"/>
    <cellStyle name="Normal 12 3 3 2 2 3 4" xfId="3501"/>
    <cellStyle name="Normal 12 3 3 2 2 4" xfId="3502"/>
    <cellStyle name="Normal 12 3 3 2 2 4 2" xfId="3503"/>
    <cellStyle name="Normal 12 3 3 2 2 4 2 2" xfId="3504"/>
    <cellStyle name="Normal 12 3 3 2 2 4 3" xfId="3505"/>
    <cellStyle name="Normal 12 3 3 2 2 5" xfId="3506"/>
    <cellStyle name="Normal 12 3 3 2 2 5 2" xfId="3507"/>
    <cellStyle name="Normal 12 3 3 2 2 6" xfId="3508"/>
    <cellStyle name="Normal 12 3 3 2 3" xfId="3509"/>
    <cellStyle name="Normal 12 3 3 2 3 2" xfId="3510"/>
    <cellStyle name="Normal 12 3 3 2 3 2 2" xfId="3511"/>
    <cellStyle name="Normal 12 3 3 2 3 2 2 2" xfId="3512"/>
    <cellStyle name="Normal 12 3 3 2 3 2 3" xfId="3513"/>
    <cellStyle name="Normal 12 3 3 2 3 3" xfId="3514"/>
    <cellStyle name="Normal 12 3 3 2 3 3 2" xfId="3515"/>
    <cellStyle name="Normal 12 3 3 2 3 4" xfId="3516"/>
    <cellStyle name="Normal 12 3 3 2 4" xfId="3517"/>
    <cellStyle name="Normal 12 3 3 2 4 2" xfId="3518"/>
    <cellStyle name="Normal 12 3 3 2 4 2 2" xfId="3519"/>
    <cellStyle name="Normal 12 3 3 2 4 2 2 2" xfId="3520"/>
    <cellStyle name="Normal 12 3 3 2 4 2 3" xfId="3521"/>
    <cellStyle name="Normal 12 3 3 2 4 3" xfId="3522"/>
    <cellStyle name="Normal 12 3 3 2 4 3 2" xfId="3523"/>
    <cellStyle name="Normal 12 3 3 2 4 4" xfId="3524"/>
    <cellStyle name="Normal 12 3 3 2 5" xfId="3525"/>
    <cellStyle name="Normal 12 3 3 2 5 2" xfId="3526"/>
    <cellStyle name="Normal 12 3 3 2 5 2 2" xfId="3527"/>
    <cellStyle name="Normal 12 3 3 2 5 3" xfId="3528"/>
    <cellStyle name="Normal 12 3 3 2 6" xfId="3529"/>
    <cellStyle name="Normal 12 3 3 2 6 2" xfId="3530"/>
    <cellStyle name="Normal 12 3 3 2 7" xfId="3531"/>
    <cellStyle name="Normal 12 3 3 3" xfId="3532"/>
    <cellStyle name="Normal 12 3 3 3 2" xfId="3533"/>
    <cellStyle name="Normal 12 3 3 3 2 2" xfId="3534"/>
    <cellStyle name="Normal 12 3 3 3 2 2 2" xfId="3535"/>
    <cellStyle name="Normal 12 3 3 3 2 2 2 2" xfId="3536"/>
    <cellStyle name="Normal 12 3 3 3 2 2 3" xfId="3537"/>
    <cellStyle name="Normal 12 3 3 3 2 3" xfId="3538"/>
    <cellStyle name="Normal 12 3 3 3 2 3 2" xfId="3539"/>
    <cellStyle name="Normal 12 3 3 3 2 4" xfId="3540"/>
    <cellStyle name="Normal 12 3 3 3 3" xfId="3541"/>
    <cellStyle name="Normal 12 3 3 3 3 2" xfId="3542"/>
    <cellStyle name="Normal 12 3 3 3 3 2 2" xfId="3543"/>
    <cellStyle name="Normal 12 3 3 3 3 2 2 2" xfId="3544"/>
    <cellStyle name="Normal 12 3 3 3 3 2 3" xfId="3545"/>
    <cellStyle name="Normal 12 3 3 3 3 3" xfId="3546"/>
    <cellStyle name="Normal 12 3 3 3 3 3 2" xfId="3547"/>
    <cellStyle name="Normal 12 3 3 3 3 4" xfId="3548"/>
    <cellStyle name="Normal 12 3 3 3 4" xfId="3549"/>
    <cellStyle name="Normal 12 3 3 3 4 2" xfId="3550"/>
    <cellStyle name="Normal 12 3 3 3 4 2 2" xfId="3551"/>
    <cellStyle name="Normal 12 3 3 3 4 3" xfId="3552"/>
    <cellStyle name="Normal 12 3 3 3 5" xfId="3553"/>
    <cellStyle name="Normal 12 3 3 3 5 2" xfId="3554"/>
    <cellStyle name="Normal 12 3 3 3 6" xfId="3555"/>
    <cellStyle name="Normal 12 3 3 4" xfId="3556"/>
    <cellStyle name="Normal 12 3 3 4 2" xfId="3557"/>
    <cellStyle name="Normal 12 3 3 4 2 2" xfId="3558"/>
    <cellStyle name="Normal 12 3 3 4 2 2 2" xfId="3559"/>
    <cellStyle name="Normal 12 3 3 4 2 3" xfId="3560"/>
    <cellStyle name="Normal 12 3 3 4 3" xfId="3561"/>
    <cellStyle name="Normal 12 3 3 4 3 2" xfId="3562"/>
    <cellStyle name="Normal 12 3 3 4 4" xfId="3563"/>
    <cellStyle name="Normal 12 3 3 5" xfId="3564"/>
    <cellStyle name="Normal 12 3 3 5 2" xfId="3565"/>
    <cellStyle name="Normal 12 3 3 5 2 2" xfId="3566"/>
    <cellStyle name="Normal 12 3 3 5 2 2 2" xfId="3567"/>
    <cellStyle name="Normal 12 3 3 5 2 3" xfId="3568"/>
    <cellStyle name="Normal 12 3 3 5 3" xfId="3569"/>
    <cellStyle name="Normal 12 3 3 5 3 2" xfId="3570"/>
    <cellStyle name="Normal 12 3 3 5 4" xfId="3571"/>
    <cellStyle name="Normal 12 3 3 6" xfId="3572"/>
    <cellStyle name="Normal 12 3 3 6 2" xfId="3573"/>
    <cellStyle name="Normal 12 3 3 6 2 2" xfId="3574"/>
    <cellStyle name="Normal 12 3 3 6 2 2 2" xfId="3575"/>
    <cellStyle name="Normal 12 3 3 6 2 3" xfId="3576"/>
    <cellStyle name="Normal 12 3 3 6 3" xfId="3577"/>
    <cellStyle name="Normal 12 3 3 6 3 2" xfId="3578"/>
    <cellStyle name="Normal 12 3 3 6 4" xfId="3579"/>
    <cellStyle name="Normal 12 3 3 7" xfId="3580"/>
    <cellStyle name="Normal 12 3 3 7 2" xfId="3581"/>
    <cellStyle name="Normal 12 3 3 7 2 2" xfId="3582"/>
    <cellStyle name="Normal 12 3 3 7 3" xfId="3583"/>
    <cellStyle name="Normal 12 3 3 8" xfId="3584"/>
    <cellStyle name="Normal 12 3 3 8 2" xfId="3585"/>
    <cellStyle name="Normal 12 3 3 9" xfId="3586"/>
    <cellStyle name="Normal 12 3 4" xfId="3587"/>
    <cellStyle name="Normal 12 3 4 2" xfId="3588"/>
    <cellStyle name="Normal 12 3 4 2 2" xfId="3589"/>
    <cellStyle name="Normal 12 3 4 2 2 2" xfId="3590"/>
    <cellStyle name="Normal 12 3 4 2 2 2 2" xfId="3591"/>
    <cellStyle name="Normal 12 3 4 2 2 2 2 2" xfId="3592"/>
    <cellStyle name="Normal 12 3 4 2 2 2 3" xfId="3593"/>
    <cellStyle name="Normal 12 3 4 2 2 3" xfId="3594"/>
    <cellStyle name="Normal 12 3 4 2 2 3 2" xfId="3595"/>
    <cellStyle name="Normal 12 3 4 2 2 4" xfId="3596"/>
    <cellStyle name="Normal 12 3 4 2 3" xfId="3597"/>
    <cellStyle name="Normal 12 3 4 2 3 2" xfId="3598"/>
    <cellStyle name="Normal 12 3 4 2 3 2 2" xfId="3599"/>
    <cellStyle name="Normal 12 3 4 2 3 2 2 2" xfId="3600"/>
    <cellStyle name="Normal 12 3 4 2 3 2 3" xfId="3601"/>
    <cellStyle name="Normal 12 3 4 2 3 3" xfId="3602"/>
    <cellStyle name="Normal 12 3 4 2 3 3 2" xfId="3603"/>
    <cellStyle name="Normal 12 3 4 2 3 4" xfId="3604"/>
    <cellStyle name="Normal 12 3 4 2 4" xfId="3605"/>
    <cellStyle name="Normal 12 3 4 2 4 2" xfId="3606"/>
    <cellStyle name="Normal 12 3 4 2 4 2 2" xfId="3607"/>
    <cellStyle name="Normal 12 3 4 2 4 3" xfId="3608"/>
    <cellStyle name="Normal 12 3 4 2 5" xfId="3609"/>
    <cellStyle name="Normal 12 3 4 2 5 2" xfId="3610"/>
    <cellStyle name="Normal 12 3 4 2 6" xfId="3611"/>
    <cellStyle name="Normal 12 3 4 3" xfId="3612"/>
    <cellStyle name="Normal 12 3 4 3 2" xfId="3613"/>
    <cellStyle name="Normal 12 3 4 3 2 2" xfId="3614"/>
    <cellStyle name="Normal 12 3 4 3 2 2 2" xfId="3615"/>
    <cellStyle name="Normal 12 3 4 3 2 3" xfId="3616"/>
    <cellStyle name="Normal 12 3 4 3 3" xfId="3617"/>
    <cellStyle name="Normal 12 3 4 3 3 2" xfId="3618"/>
    <cellStyle name="Normal 12 3 4 3 4" xfId="3619"/>
    <cellStyle name="Normal 12 3 4 4" xfId="3620"/>
    <cellStyle name="Normal 12 3 4 4 2" xfId="3621"/>
    <cellStyle name="Normal 12 3 4 4 2 2" xfId="3622"/>
    <cellStyle name="Normal 12 3 4 4 2 2 2" xfId="3623"/>
    <cellStyle name="Normal 12 3 4 4 2 3" xfId="3624"/>
    <cellStyle name="Normal 12 3 4 4 3" xfId="3625"/>
    <cellStyle name="Normal 12 3 4 4 3 2" xfId="3626"/>
    <cellStyle name="Normal 12 3 4 4 4" xfId="3627"/>
    <cellStyle name="Normal 12 3 4 5" xfId="3628"/>
    <cellStyle name="Normal 12 3 4 5 2" xfId="3629"/>
    <cellStyle name="Normal 12 3 4 5 2 2" xfId="3630"/>
    <cellStyle name="Normal 12 3 4 5 3" xfId="3631"/>
    <cellStyle name="Normal 12 3 4 6" xfId="3632"/>
    <cellStyle name="Normal 12 3 4 6 2" xfId="3633"/>
    <cellStyle name="Normal 12 3 4 7" xfId="3634"/>
    <cellStyle name="Normal 12 3 5" xfId="3635"/>
    <cellStyle name="Normal 12 3 5 2" xfId="3636"/>
    <cellStyle name="Normal 12 3 5 2 2" xfId="3637"/>
    <cellStyle name="Normal 12 3 5 2 2 2" xfId="3638"/>
    <cellStyle name="Normal 12 3 5 2 2 2 2" xfId="3639"/>
    <cellStyle name="Normal 12 3 5 2 2 3" xfId="3640"/>
    <cellStyle name="Normal 12 3 5 2 3" xfId="3641"/>
    <cellStyle name="Normal 12 3 5 2 3 2" xfId="3642"/>
    <cellStyle name="Normal 12 3 5 2 4" xfId="3643"/>
    <cellStyle name="Normal 12 3 5 3" xfId="3644"/>
    <cellStyle name="Normal 12 3 5 3 2" xfId="3645"/>
    <cellStyle name="Normal 12 3 5 3 2 2" xfId="3646"/>
    <cellStyle name="Normal 12 3 5 3 2 2 2" xfId="3647"/>
    <cellStyle name="Normal 12 3 5 3 2 3" xfId="3648"/>
    <cellStyle name="Normal 12 3 5 3 3" xfId="3649"/>
    <cellStyle name="Normal 12 3 5 3 3 2" xfId="3650"/>
    <cellStyle name="Normal 12 3 5 3 4" xfId="3651"/>
    <cellStyle name="Normal 12 3 5 4" xfId="3652"/>
    <cellStyle name="Normal 12 3 5 4 2" xfId="3653"/>
    <cellStyle name="Normal 12 3 5 4 2 2" xfId="3654"/>
    <cellStyle name="Normal 12 3 5 4 3" xfId="3655"/>
    <cellStyle name="Normal 12 3 5 5" xfId="3656"/>
    <cellStyle name="Normal 12 3 5 5 2" xfId="3657"/>
    <cellStyle name="Normal 12 3 5 6" xfId="3658"/>
    <cellStyle name="Normal 12 3 6" xfId="3659"/>
    <cellStyle name="Normal 12 3 6 2" xfId="3660"/>
    <cellStyle name="Normal 12 3 6 2 2" xfId="3661"/>
    <cellStyle name="Normal 12 3 6 2 2 2" xfId="3662"/>
    <cellStyle name="Normal 12 3 6 2 3" xfId="3663"/>
    <cellStyle name="Normal 12 3 6 3" xfId="3664"/>
    <cellStyle name="Normal 12 3 6 3 2" xfId="3665"/>
    <cellStyle name="Normal 12 3 6 4" xfId="3666"/>
    <cellStyle name="Normal 12 3 7" xfId="3667"/>
    <cellStyle name="Normal 12 3 7 2" xfId="3668"/>
    <cellStyle name="Normal 12 3 7 2 2" xfId="3669"/>
    <cellStyle name="Normal 12 3 7 2 2 2" xfId="3670"/>
    <cellStyle name="Normal 12 3 7 2 3" xfId="3671"/>
    <cellStyle name="Normal 12 3 7 3" xfId="3672"/>
    <cellStyle name="Normal 12 3 7 3 2" xfId="3673"/>
    <cellStyle name="Normal 12 3 7 4" xfId="3674"/>
    <cellStyle name="Normal 12 3 8" xfId="3675"/>
    <cellStyle name="Normal 12 3 8 2" xfId="3676"/>
    <cellStyle name="Normal 12 3 8 2 2" xfId="3677"/>
    <cellStyle name="Normal 12 3 8 2 2 2" xfId="3678"/>
    <cellStyle name="Normal 12 3 8 2 3" xfId="3679"/>
    <cellStyle name="Normal 12 3 8 3" xfId="3680"/>
    <cellStyle name="Normal 12 3 8 3 2" xfId="3681"/>
    <cellStyle name="Normal 12 3 8 4" xfId="3682"/>
    <cellStyle name="Normal 12 3 9" xfId="3683"/>
    <cellStyle name="Normal 12 3 9 2" xfId="3684"/>
    <cellStyle name="Normal 12 3 9 2 2" xfId="3685"/>
    <cellStyle name="Normal 12 3 9 3" xfId="3686"/>
    <cellStyle name="Normal 12 4" xfId="3687"/>
    <cellStyle name="Normal 12 4 10" xfId="3688"/>
    <cellStyle name="Normal 12 4 2" xfId="3689"/>
    <cellStyle name="Normal 12 4 2 2" xfId="3690"/>
    <cellStyle name="Normal 12 4 2 2 2" xfId="3691"/>
    <cellStyle name="Normal 12 4 2 2 2 2" xfId="3692"/>
    <cellStyle name="Normal 12 4 2 2 2 2 2" xfId="3693"/>
    <cellStyle name="Normal 12 4 2 2 2 2 2 2" xfId="3694"/>
    <cellStyle name="Normal 12 4 2 2 2 2 2 2 2" xfId="3695"/>
    <cellStyle name="Normal 12 4 2 2 2 2 2 3" xfId="3696"/>
    <cellStyle name="Normal 12 4 2 2 2 2 3" xfId="3697"/>
    <cellStyle name="Normal 12 4 2 2 2 2 3 2" xfId="3698"/>
    <cellStyle name="Normal 12 4 2 2 2 2 4" xfId="3699"/>
    <cellStyle name="Normal 12 4 2 2 2 3" xfId="3700"/>
    <cellStyle name="Normal 12 4 2 2 2 3 2" xfId="3701"/>
    <cellStyle name="Normal 12 4 2 2 2 3 2 2" xfId="3702"/>
    <cellStyle name="Normal 12 4 2 2 2 3 2 2 2" xfId="3703"/>
    <cellStyle name="Normal 12 4 2 2 2 3 2 3" xfId="3704"/>
    <cellStyle name="Normal 12 4 2 2 2 3 3" xfId="3705"/>
    <cellStyle name="Normal 12 4 2 2 2 3 3 2" xfId="3706"/>
    <cellStyle name="Normal 12 4 2 2 2 3 4" xfId="3707"/>
    <cellStyle name="Normal 12 4 2 2 2 4" xfId="3708"/>
    <cellStyle name="Normal 12 4 2 2 2 4 2" xfId="3709"/>
    <cellStyle name="Normal 12 4 2 2 2 4 2 2" xfId="3710"/>
    <cellStyle name="Normal 12 4 2 2 2 4 3" xfId="3711"/>
    <cellStyle name="Normal 12 4 2 2 2 5" xfId="3712"/>
    <cellStyle name="Normal 12 4 2 2 2 5 2" xfId="3713"/>
    <cellStyle name="Normal 12 4 2 2 2 6" xfId="3714"/>
    <cellStyle name="Normal 12 4 2 2 3" xfId="3715"/>
    <cellStyle name="Normal 12 4 2 2 3 2" xfId="3716"/>
    <cellStyle name="Normal 12 4 2 2 3 2 2" xfId="3717"/>
    <cellStyle name="Normal 12 4 2 2 3 2 2 2" xfId="3718"/>
    <cellStyle name="Normal 12 4 2 2 3 2 3" xfId="3719"/>
    <cellStyle name="Normal 12 4 2 2 3 3" xfId="3720"/>
    <cellStyle name="Normal 12 4 2 2 3 3 2" xfId="3721"/>
    <cellStyle name="Normal 12 4 2 2 3 4" xfId="3722"/>
    <cellStyle name="Normal 12 4 2 2 4" xfId="3723"/>
    <cellStyle name="Normal 12 4 2 2 4 2" xfId="3724"/>
    <cellStyle name="Normal 12 4 2 2 4 2 2" xfId="3725"/>
    <cellStyle name="Normal 12 4 2 2 4 2 2 2" xfId="3726"/>
    <cellStyle name="Normal 12 4 2 2 4 2 3" xfId="3727"/>
    <cellStyle name="Normal 12 4 2 2 4 3" xfId="3728"/>
    <cellStyle name="Normal 12 4 2 2 4 3 2" xfId="3729"/>
    <cellStyle name="Normal 12 4 2 2 4 4" xfId="3730"/>
    <cellStyle name="Normal 12 4 2 2 5" xfId="3731"/>
    <cellStyle name="Normal 12 4 2 2 5 2" xfId="3732"/>
    <cellStyle name="Normal 12 4 2 2 5 2 2" xfId="3733"/>
    <cellStyle name="Normal 12 4 2 2 5 3" xfId="3734"/>
    <cellStyle name="Normal 12 4 2 2 6" xfId="3735"/>
    <cellStyle name="Normal 12 4 2 2 6 2" xfId="3736"/>
    <cellStyle name="Normal 12 4 2 2 7" xfId="3737"/>
    <cellStyle name="Normal 12 4 2 3" xfId="3738"/>
    <cellStyle name="Normal 12 4 2 3 2" xfId="3739"/>
    <cellStyle name="Normal 12 4 2 3 2 2" xfId="3740"/>
    <cellStyle name="Normal 12 4 2 3 2 2 2" xfId="3741"/>
    <cellStyle name="Normal 12 4 2 3 2 2 2 2" xfId="3742"/>
    <cellStyle name="Normal 12 4 2 3 2 2 3" xfId="3743"/>
    <cellStyle name="Normal 12 4 2 3 2 3" xfId="3744"/>
    <cellStyle name="Normal 12 4 2 3 2 3 2" xfId="3745"/>
    <cellStyle name="Normal 12 4 2 3 2 4" xfId="3746"/>
    <cellStyle name="Normal 12 4 2 3 3" xfId="3747"/>
    <cellStyle name="Normal 12 4 2 3 3 2" xfId="3748"/>
    <cellStyle name="Normal 12 4 2 3 3 2 2" xfId="3749"/>
    <cellStyle name="Normal 12 4 2 3 3 2 2 2" xfId="3750"/>
    <cellStyle name="Normal 12 4 2 3 3 2 3" xfId="3751"/>
    <cellStyle name="Normal 12 4 2 3 3 3" xfId="3752"/>
    <cellStyle name="Normal 12 4 2 3 3 3 2" xfId="3753"/>
    <cellStyle name="Normal 12 4 2 3 3 4" xfId="3754"/>
    <cellStyle name="Normal 12 4 2 3 4" xfId="3755"/>
    <cellStyle name="Normal 12 4 2 3 4 2" xfId="3756"/>
    <cellStyle name="Normal 12 4 2 3 4 2 2" xfId="3757"/>
    <cellStyle name="Normal 12 4 2 3 4 3" xfId="3758"/>
    <cellStyle name="Normal 12 4 2 3 5" xfId="3759"/>
    <cellStyle name="Normal 12 4 2 3 5 2" xfId="3760"/>
    <cellStyle name="Normal 12 4 2 3 6" xfId="3761"/>
    <cellStyle name="Normal 12 4 2 4" xfId="3762"/>
    <cellStyle name="Normal 12 4 2 4 2" xfId="3763"/>
    <cellStyle name="Normal 12 4 2 4 2 2" xfId="3764"/>
    <cellStyle name="Normal 12 4 2 4 2 2 2" xfId="3765"/>
    <cellStyle name="Normal 12 4 2 4 2 3" xfId="3766"/>
    <cellStyle name="Normal 12 4 2 4 3" xfId="3767"/>
    <cellStyle name="Normal 12 4 2 4 3 2" xfId="3768"/>
    <cellStyle name="Normal 12 4 2 4 4" xfId="3769"/>
    <cellStyle name="Normal 12 4 2 5" xfId="3770"/>
    <cellStyle name="Normal 12 4 2 5 2" xfId="3771"/>
    <cellStyle name="Normal 12 4 2 5 2 2" xfId="3772"/>
    <cellStyle name="Normal 12 4 2 5 2 2 2" xfId="3773"/>
    <cellStyle name="Normal 12 4 2 5 2 3" xfId="3774"/>
    <cellStyle name="Normal 12 4 2 5 3" xfId="3775"/>
    <cellStyle name="Normal 12 4 2 5 3 2" xfId="3776"/>
    <cellStyle name="Normal 12 4 2 5 4" xfId="3777"/>
    <cellStyle name="Normal 12 4 2 6" xfId="3778"/>
    <cellStyle name="Normal 12 4 2 6 2" xfId="3779"/>
    <cellStyle name="Normal 12 4 2 6 2 2" xfId="3780"/>
    <cellStyle name="Normal 12 4 2 6 2 2 2" xfId="3781"/>
    <cellStyle name="Normal 12 4 2 6 2 3" xfId="3782"/>
    <cellStyle name="Normal 12 4 2 6 3" xfId="3783"/>
    <cellStyle name="Normal 12 4 2 6 3 2" xfId="3784"/>
    <cellStyle name="Normal 12 4 2 6 4" xfId="3785"/>
    <cellStyle name="Normal 12 4 2 7" xfId="3786"/>
    <cellStyle name="Normal 12 4 2 7 2" xfId="3787"/>
    <cellStyle name="Normal 12 4 2 7 2 2" xfId="3788"/>
    <cellStyle name="Normal 12 4 2 7 3" xfId="3789"/>
    <cellStyle name="Normal 12 4 2 8" xfId="3790"/>
    <cellStyle name="Normal 12 4 2 8 2" xfId="3791"/>
    <cellStyle name="Normal 12 4 2 9" xfId="3792"/>
    <cellStyle name="Normal 12 4 3" xfId="3793"/>
    <cellStyle name="Normal 12 4 3 2" xfId="3794"/>
    <cellStyle name="Normal 12 4 3 2 2" xfId="3795"/>
    <cellStyle name="Normal 12 4 3 2 2 2" xfId="3796"/>
    <cellStyle name="Normal 12 4 3 2 2 2 2" xfId="3797"/>
    <cellStyle name="Normal 12 4 3 2 2 2 2 2" xfId="3798"/>
    <cellStyle name="Normal 12 4 3 2 2 2 3" xfId="3799"/>
    <cellStyle name="Normal 12 4 3 2 2 3" xfId="3800"/>
    <cellStyle name="Normal 12 4 3 2 2 3 2" xfId="3801"/>
    <cellStyle name="Normal 12 4 3 2 2 4" xfId="3802"/>
    <cellStyle name="Normal 12 4 3 2 3" xfId="3803"/>
    <cellStyle name="Normal 12 4 3 2 3 2" xfId="3804"/>
    <cellStyle name="Normal 12 4 3 2 3 2 2" xfId="3805"/>
    <cellStyle name="Normal 12 4 3 2 3 2 2 2" xfId="3806"/>
    <cellStyle name="Normal 12 4 3 2 3 2 3" xfId="3807"/>
    <cellStyle name="Normal 12 4 3 2 3 3" xfId="3808"/>
    <cellStyle name="Normal 12 4 3 2 3 3 2" xfId="3809"/>
    <cellStyle name="Normal 12 4 3 2 3 4" xfId="3810"/>
    <cellStyle name="Normal 12 4 3 2 4" xfId="3811"/>
    <cellStyle name="Normal 12 4 3 2 4 2" xfId="3812"/>
    <cellStyle name="Normal 12 4 3 2 4 2 2" xfId="3813"/>
    <cellStyle name="Normal 12 4 3 2 4 3" xfId="3814"/>
    <cellStyle name="Normal 12 4 3 2 5" xfId="3815"/>
    <cellStyle name="Normal 12 4 3 2 5 2" xfId="3816"/>
    <cellStyle name="Normal 12 4 3 2 6" xfId="3817"/>
    <cellStyle name="Normal 12 4 3 3" xfId="3818"/>
    <cellStyle name="Normal 12 4 3 3 2" xfId="3819"/>
    <cellStyle name="Normal 12 4 3 3 2 2" xfId="3820"/>
    <cellStyle name="Normal 12 4 3 3 2 2 2" xfId="3821"/>
    <cellStyle name="Normal 12 4 3 3 2 3" xfId="3822"/>
    <cellStyle name="Normal 12 4 3 3 3" xfId="3823"/>
    <cellStyle name="Normal 12 4 3 3 3 2" xfId="3824"/>
    <cellStyle name="Normal 12 4 3 3 4" xfId="3825"/>
    <cellStyle name="Normal 12 4 3 4" xfId="3826"/>
    <cellStyle name="Normal 12 4 3 4 2" xfId="3827"/>
    <cellStyle name="Normal 12 4 3 4 2 2" xfId="3828"/>
    <cellStyle name="Normal 12 4 3 4 2 2 2" xfId="3829"/>
    <cellStyle name="Normal 12 4 3 4 2 3" xfId="3830"/>
    <cellStyle name="Normal 12 4 3 4 3" xfId="3831"/>
    <cellStyle name="Normal 12 4 3 4 3 2" xfId="3832"/>
    <cellStyle name="Normal 12 4 3 4 4" xfId="3833"/>
    <cellStyle name="Normal 12 4 3 5" xfId="3834"/>
    <cellStyle name="Normal 12 4 3 5 2" xfId="3835"/>
    <cellStyle name="Normal 12 4 3 5 2 2" xfId="3836"/>
    <cellStyle name="Normal 12 4 3 5 3" xfId="3837"/>
    <cellStyle name="Normal 12 4 3 6" xfId="3838"/>
    <cellStyle name="Normal 12 4 3 6 2" xfId="3839"/>
    <cellStyle name="Normal 12 4 3 7" xfId="3840"/>
    <cellStyle name="Normal 12 4 4" xfId="3841"/>
    <cellStyle name="Normal 12 4 4 2" xfId="3842"/>
    <cellStyle name="Normal 12 4 4 2 2" xfId="3843"/>
    <cellStyle name="Normal 12 4 4 2 2 2" xfId="3844"/>
    <cellStyle name="Normal 12 4 4 2 2 2 2" xfId="3845"/>
    <cellStyle name="Normal 12 4 4 2 2 3" xfId="3846"/>
    <cellStyle name="Normal 12 4 4 2 3" xfId="3847"/>
    <cellStyle name="Normal 12 4 4 2 3 2" xfId="3848"/>
    <cellStyle name="Normal 12 4 4 2 4" xfId="3849"/>
    <cellStyle name="Normal 12 4 4 3" xfId="3850"/>
    <cellStyle name="Normal 12 4 4 3 2" xfId="3851"/>
    <cellStyle name="Normal 12 4 4 3 2 2" xfId="3852"/>
    <cellStyle name="Normal 12 4 4 3 2 2 2" xfId="3853"/>
    <cellStyle name="Normal 12 4 4 3 2 3" xfId="3854"/>
    <cellStyle name="Normal 12 4 4 3 3" xfId="3855"/>
    <cellStyle name="Normal 12 4 4 3 3 2" xfId="3856"/>
    <cellStyle name="Normal 12 4 4 3 4" xfId="3857"/>
    <cellStyle name="Normal 12 4 4 4" xfId="3858"/>
    <cellStyle name="Normal 12 4 4 4 2" xfId="3859"/>
    <cellStyle name="Normal 12 4 4 4 2 2" xfId="3860"/>
    <cellStyle name="Normal 12 4 4 4 3" xfId="3861"/>
    <cellStyle name="Normal 12 4 4 5" xfId="3862"/>
    <cellStyle name="Normal 12 4 4 5 2" xfId="3863"/>
    <cellStyle name="Normal 12 4 4 6" xfId="3864"/>
    <cellStyle name="Normal 12 4 5" xfId="3865"/>
    <cellStyle name="Normal 12 4 5 2" xfId="3866"/>
    <cellStyle name="Normal 12 4 5 2 2" xfId="3867"/>
    <cellStyle name="Normal 12 4 5 2 2 2" xfId="3868"/>
    <cellStyle name="Normal 12 4 5 2 3" xfId="3869"/>
    <cellStyle name="Normal 12 4 5 3" xfId="3870"/>
    <cellStyle name="Normal 12 4 5 3 2" xfId="3871"/>
    <cellStyle name="Normal 12 4 5 4" xfId="3872"/>
    <cellStyle name="Normal 12 4 6" xfId="3873"/>
    <cellStyle name="Normal 12 4 6 2" xfId="3874"/>
    <cellStyle name="Normal 12 4 6 2 2" xfId="3875"/>
    <cellStyle name="Normal 12 4 6 2 2 2" xfId="3876"/>
    <cellStyle name="Normal 12 4 6 2 3" xfId="3877"/>
    <cellStyle name="Normal 12 4 6 3" xfId="3878"/>
    <cellStyle name="Normal 12 4 6 3 2" xfId="3879"/>
    <cellStyle name="Normal 12 4 6 4" xfId="3880"/>
    <cellStyle name="Normal 12 4 7" xfId="3881"/>
    <cellStyle name="Normal 12 4 7 2" xfId="3882"/>
    <cellStyle name="Normal 12 4 7 2 2" xfId="3883"/>
    <cellStyle name="Normal 12 4 7 2 2 2" xfId="3884"/>
    <cellStyle name="Normal 12 4 7 2 3" xfId="3885"/>
    <cellStyle name="Normal 12 4 7 3" xfId="3886"/>
    <cellStyle name="Normal 12 4 7 3 2" xfId="3887"/>
    <cellStyle name="Normal 12 4 7 4" xfId="3888"/>
    <cellStyle name="Normal 12 4 8" xfId="3889"/>
    <cellStyle name="Normal 12 4 8 2" xfId="3890"/>
    <cellStyle name="Normal 12 4 8 2 2" xfId="3891"/>
    <cellStyle name="Normal 12 4 8 3" xfId="3892"/>
    <cellStyle name="Normal 12 4 9" xfId="3893"/>
    <cellStyle name="Normal 12 4 9 2" xfId="3894"/>
    <cellStyle name="Normal 12 5" xfId="3895"/>
    <cellStyle name="Normal 12 5 10" xfId="3896"/>
    <cellStyle name="Normal 12 5 2" xfId="3897"/>
    <cellStyle name="Normal 12 5 2 2" xfId="3898"/>
    <cellStyle name="Normal 12 5 2 2 2" xfId="3899"/>
    <cellStyle name="Normal 12 5 2 2 2 2" xfId="3900"/>
    <cellStyle name="Normal 12 5 2 2 2 2 2" xfId="3901"/>
    <cellStyle name="Normal 12 5 2 2 2 2 2 2" xfId="3902"/>
    <cellStyle name="Normal 12 5 2 2 2 2 2 2 2" xfId="3903"/>
    <cellStyle name="Normal 12 5 2 2 2 2 2 3" xfId="3904"/>
    <cellStyle name="Normal 12 5 2 2 2 2 3" xfId="3905"/>
    <cellStyle name="Normal 12 5 2 2 2 2 3 2" xfId="3906"/>
    <cellStyle name="Normal 12 5 2 2 2 2 4" xfId="3907"/>
    <cellStyle name="Normal 12 5 2 2 2 3" xfId="3908"/>
    <cellStyle name="Normal 12 5 2 2 2 3 2" xfId="3909"/>
    <cellStyle name="Normal 12 5 2 2 2 3 2 2" xfId="3910"/>
    <cellStyle name="Normal 12 5 2 2 2 3 2 2 2" xfId="3911"/>
    <cellStyle name="Normal 12 5 2 2 2 3 2 3" xfId="3912"/>
    <cellStyle name="Normal 12 5 2 2 2 3 3" xfId="3913"/>
    <cellStyle name="Normal 12 5 2 2 2 3 3 2" xfId="3914"/>
    <cellStyle name="Normal 12 5 2 2 2 3 4" xfId="3915"/>
    <cellStyle name="Normal 12 5 2 2 2 4" xfId="3916"/>
    <cellStyle name="Normal 12 5 2 2 2 4 2" xfId="3917"/>
    <cellStyle name="Normal 12 5 2 2 2 4 2 2" xfId="3918"/>
    <cellStyle name="Normal 12 5 2 2 2 4 3" xfId="3919"/>
    <cellStyle name="Normal 12 5 2 2 2 5" xfId="3920"/>
    <cellStyle name="Normal 12 5 2 2 2 5 2" xfId="3921"/>
    <cellStyle name="Normal 12 5 2 2 2 6" xfId="3922"/>
    <cellStyle name="Normal 12 5 2 2 3" xfId="3923"/>
    <cellStyle name="Normal 12 5 2 2 3 2" xfId="3924"/>
    <cellStyle name="Normal 12 5 2 2 3 2 2" xfId="3925"/>
    <cellStyle name="Normal 12 5 2 2 3 2 2 2" xfId="3926"/>
    <cellStyle name="Normal 12 5 2 2 3 2 3" xfId="3927"/>
    <cellStyle name="Normal 12 5 2 2 3 3" xfId="3928"/>
    <cellStyle name="Normal 12 5 2 2 3 3 2" xfId="3929"/>
    <cellStyle name="Normal 12 5 2 2 3 4" xfId="3930"/>
    <cellStyle name="Normal 12 5 2 2 4" xfId="3931"/>
    <cellStyle name="Normal 12 5 2 2 4 2" xfId="3932"/>
    <cellStyle name="Normal 12 5 2 2 4 2 2" xfId="3933"/>
    <cellStyle name="Normal 12 5 2 2 4 2 2 2" xfId="3934"/>
    <cellStyle name="Normal 12 5 2 2 4 2 3" xfId="3935"/>
    <cellStyle name="Normal 12 5 2 2 4 3" xfId="3936"/>
    <cellStyle name="Normal 12 5 2 2 4 3 2" xfId="3937"/>
    <cellStyle name="Normal 12 5 2 2 4 4" xfId="3938"/>
    <cellStyle name="Normal 12 5 2 2 5" xfId="3939"/>
    <cellStyle name="Normal 12 5 2 2 5 2" xfId="3940"/>
    <cellStyle name="Normal 12 5 2 2 5 2 2" xfId="3941"/>
    <cellStyle name="Normal 12 5 2 2 5 3" xfId="3942"/>
    <cellStyle name="Normal 12 5 2 2 6" xfId="3943"/>
    <cellStyle name="Normal 12 5 2 2 6 2" xfId="3944"/>
    <cellStyle name="Normal 12 5 2 2 7" xfId="3945"/>
    <cellStyle name="Normal 12 5 2 3" xfId="3946"/>
    <cellStyle name="Normal 12 5 2 3 2" xfId="3947"/>
    <cellStyle name="Normal 12 5 2 3 2 2" xfId="3948"/>
    <cellStyle name="Normal 12 5 2 3 2 2 2" xfId="3949"/>
    <cellStyle name="Normal 12 5 2 3 2 2 2 2" xfId="3950"/>
    <cellStyle name="Normal 12 5 2 3 2 2 3" xfId="3951"/>
    <cellStyle name="Normal 12 5 2 3 2 3" xfId="3952"/>
    <cellStyle name="Normal 12 5 2 3 2 3 2" xfId="3953"/>
    <cellStyle name="Normal 12 5 2 3 2 4" xfId="3954"/>
    <cellStyle name="Normal 12 5 2 3 3" xfId="3955"/>
    <cellStyle name="Normal 12 5 2 3 3 2" xfId="3956"/>
    <cellStyle name="Normal 12 5 2 3 3 2 2" xfId="3957"/>
    <cellStyle name="Normal 12 5 2 3 3 2 2 2" xfId="3958"/>
    <cellStyle name="Normal 12 5 2 3 3 2 3" xfId="3959"/>
    <cellStyle name="Normal 12 5 2 3 3 3" xfId="3960"/>
    <cellStyle name="Normal 12 5 2 3 3 3 2" xfId="3961"/>
    <cellStyle name="Normal 12 5 2 3 3 4" xfId="3962"/>
    <cellStyle name="Normal 12 5 2 3 4" xfId="3963"/>
    <cellStyle name="Normal 12 5 2 3 4 2" xfId="3964"/>
    <cellStyle name="Normal 12 5 2 3 4 2 2" xfId="3965"/>
    <cellStyle name="Normal 12 5 2 3 4 3" xfId="3966"/>
    <cellStyle name="Normal 12 5 2 3 5" xfId="3967"/>
    <cellStyle name="Normal 12 5 2 3 5 2" xfId="3968"/>
    <cellStyle name="Normal 12 5 2 3 6" xfId="3969"/>
    <cellStyle name="Normal 12 5 2 4" xfId="3970"/>
    <cellStyle name="Normal 12 5 2 4 2" xfId="3971"/>
    <cellStyle name="Normal 12 5 2 4 2 2" xfId="3972"/>
    <cellStyle name="Normal 12 5 2 4 2 2 2" xfId="3973"/>
    <cellStyle name="Normal 12 5 2 4 2 3" xfId="3974"/>
    <cellStyle name="Normal 12 5 2 4 3" xfId="3975"/>
    <cellStyle name="Normal 12 5 2 4 3 2" xfId="3976"/>
    <cellStyle name="Normal 12 5 2 4 4" xfId="3977"/>
    <cellStyle name="Normal 12 5 2 5" xfId="3978"/>
    <cellStyle name="Normal 12 5 2 5 2" xfId="3979"/>
    <cellStyle name="Normal 12 5 2 5 2 2" xfId="3980"/>
    <cellStyle name="Normal 12 5 2 5 2 2 2" xfId="3981"/>
    <cellStyle name="Normal 12 5 2 5 2 3" xfId="3982"/>
    <cellStyle name="Normal 12 5 2 5 3" xfId="3983"/>
    <cellStyle name="Normal 12 5 2 5 3 2" xfId="3984"/>
    <cellStyle name="Normal 12 5 2 5 4" xfId="3985"/>
    <cellStyle name="Normal 12 5 2 6" xfId="3986"/>
    <cellStyle name="Normal 12 5 2 6 2" xfId="3987"/>
    <cellStyle name="Normal 12 5 2 6 2 2" xfId="3988"/>
    <cellStyle name="Normal 12 5 2 6 2 2 2" xfId="3989"/>
    <cellStyle name="Normal 12 5 2 6 2 3" xfId="3990"/>
    <cellStyle name="Normal 12 5 2 6 3" xfId="3991"/>
    <cellStyle name="Normal 12 5 2 6 3 2" xfId="3992"/>
    <cellStyle name="Normal 12 5 2 6 4" xfId="3993"/>
    <cellStyle name="Normal 12 5 2 7" xfId="3994"/>
    <cellStyle name="Normal 12 5 2 7 2" xfId="3995"/>
    <cellStyle name="Normal 12 5 2 7 2 2" xfId="3996"/>
    <cellStyle name="Normal 12 5 2 7 3" xfId="3997"/>
    <cellStyle name="Normal 12 5 2 8" xfId="3998"/>
    <cellStyle name="Normal 12 5 2 8 2" xfId="3999"/>
    <cellStyle name="Normal 12 5 2 9" xfId="4000"/>
    <cellStyle name="Normal 12 5 3" xfId="4001"/>
    <cellStyle name="Normal 12 5 3 2" xfId="4002"/>
    <cellStyle name="Normal 12 5 3 2 2" xfId="4003"/>
    <cellStyle name="Normal 12 5 3 2 2 2" xfId="4004"/>
    <cellStyle name="Normal 12 5 3 2 2 2 2" xfId="4005"/>
    <cellStyle name="Normal 12 5 3 2 2 2 2 2" xfId="4006"/>
    <cellStyle name="Normal 12 5 3 2 2 2 3" xfId="4007"/>
    <cellStyle name="Normal 12 5 3 2 2 3" xfId="4008"/>
    <cellStyle name="Normal 12 5 3 2 2 3 2" xfId="4009"/>
    <cellStyle name="Normal 12 5 3 2 2 4" xfId="4010"/>
    <cellStyle name="Normal 12 5 3 2 3" xfId="4011"/>
    <cellStyle name="Normal 12 5 3 2 3 2" xfId="4012"/>
    <cellStyle name="Normal 12 5 3 2 3 2 2" xfId="4013"/>
    <cellStyle name="Normal 12 5 3 2 3 2 2 2" xfId="4014"/>
    <cellStyle name="Normal 12 5 3 2 3 2 3" xfId="4015"/>
    <cellStyle name="Normal 12 5 3 2 3 3" xfId="4016"/>
    <cellStyle name="Normal 12 5 3 2 3 3 2" xfId="4017"/>
    <cellStyle name="Normal 12 5 3 2 3 4" xfId="4018"/>
    <cellStyle name="Normal 12 5 3 2 4" xfId="4019"/>
    <cellStyle name="Normal 12 5 3 2 4 2" xfId="4020"/>
    <cellStyle name="Normal 12 5 3 2 4 2 2" xfId="4021"/>
    <cellStyle name="Normal 12 5 3 2 4 3" xfId="4022"/>
    <cellStyle name="Normal 12 5 3 2 5" xfId="4023"/>
    <cellStyle name="Normal 12 5 3 2 5 2" xfId="4024"/>
    <cellStyle name="Normal 12 5 3 2 6" xfId="4025"/>
    <cellStyle name="Normal 12 5 3 3" xfId="4026"/>
    <cellStyle name="Normal 12 5 3 3 2" xfId="4027"/>
    <cellStyle name="Normal 12 5 3 3 2 2" xfId="4028"/>
    <cellStyle name="Normal 12 5 3 3 2 2 2" xfId="4029"/>
    <cellStyle name="Normal 12 5 3 3 2 3" xfId="4030"/>
    <cellStyle name="Normal 12 5 3 3 3" xfId="4031"/>
    <cellStyle name="Normal 12 5 3 3 3 2" xfId="4032"/>
    <cellStyle name="Normal 12 5 3 3 4" xfId="4033"/>
    <cellStyle name="Normal 12 5 3 4" xfId="4034"/>
    <cellStyle name="Normal 12 5 3 4 2" xfId="4035"/>
    <cellStyle name="Normal 12 5 3 4 2 2" xfId="4036"/>
    <cellStyle name="Normal 12 5 3 4 2 2 2" xfId="4037"/>
    <cellStyle name="Normal 12 5 3 4 2 3" xfId="4038"/>
    <cellStyle name="Normal 12 5 3 4 3" xfId="4039"/>
    <cellStyle name="Normal 12 5 3 4 3 2" xfId="4040"/>
    <cellStyle name="Normal 12 5 3 4 4" xfId="4041"/>
    <cellStyle name="Normal 12 5 3 5" xfId="4042"/>
    <cellStyle name="Normal 12 5 3 5 2" xfId="4043"/>
    <cellStyle name="Normal 12 5 3 5 2 2" xfId="4044"/>
    <cellStyle name="Normal 12 5 3 5 3" xfId="4045"/>
    <cellStyle name="Normal 12 5 3 6" xfId="4046"/>
    <cellStyle name="Normal 12 5 3 6 2" xfId="4047"/>
    <cellStyle name="Normal 12 5 3 7" xfId="4048"/>
    <cellStyle name="Normal 12 5 4" xfId="4049"/>
    <cellStyle name="Normal 12 5 4 2" xfId="4050"/>
    <cellStyle name="Normal 12 5 4 2 2" xfId="4051"/>
    <cellStyle name="Normal 12 5 4 2 2 2" xfId="4052"/>
    <cellStyle name="Normal 12 5 4 2 2 2 2" xfId="4053"/>
    <cellStyle name="Normal 12 5 4 2 2 3" xfId="4054"/>
    <cellStyle name="Normal 12 5 4 2 3" xfId="4055"/>
    <cellStyle name="Normal 12 5 4 2 3 2" xfId="4056"/>
    <cellStyle name="Normal 12 5 4 2 4" xfId="4057"/>
    <cellStyle name="Normal 12 5 4 3" xfId="4058"/>
    <cellStyle name="Normal 12 5 4 3 2" xfId="4059"/>
    <cellStyle name="Normal 12 5 4 3 2 2" xfId="4060"/>
    <cellStyle name="Normal 12 5 4 3 2 2 2" xfId="4061"/>
    <cellStyle name="Normal 12 5 4 3 2 3" xfId="4062"/>
    <cellStyle name="Normal 12 5 4 3 3" xfId="4063"/>
    <cellStyle name="Normal 12 5 4 3 3 2" xfId="4064"/>
    <cellStyle name="Normal 12 5 4 3 4" xfId="4065"/>
    <cellStyle name="Normal 12 5 4 4" xfId="4066"/>
    <cellStyle name="Normal 12 5 4 4 2" xfId="4067"/>
    <cellStyle name="Normal 12 5 4 4 2 2" xfId="4068"/>
    <cellStyle name="Normal 12 5 4 4 3" xfId="4069"/>
    <cellStyle name="Normal 12 5 4 5" xfId="4070"/>
    <cellStyle name="Normal 12 5 4 5 2" xfId="4071"/>
    <cellStyle name="Normal 12 5 4 6" xfId="4072"/>
    <cellStyle name="Normal 12 5 5" xfId="4073"/>
    <cellStyle name="Normal 12 5 5 2" xfId="4074"/>
    <cellStyle name="Normal 12 5 5 2 2" xfId="4075"/>
    <cellStyle name="Normal 12 5 5 2 2 2" xfId="4076"/>
    <cellStyle name="Normal 12 5 5 2 3" xfId="4077"/>
    <cellStyle name="Normal 12 5 5 3" xfId="4078"/>
    <cellStyle name="Normal 12 5 5 3 2" xfId="4079"/>
    <cellStyle name="Normal 12 5 5 4" xfId="4080"/>
    <cellStyle name="Normal 12 5 6" xfId="4081"/>
    <cellStyle name="Normal 12 5 6 2" xfId="4082"/>
    <cellStyle name="Normal 12 5 6 2 2" xfId="4083"/>
    <cellStyle name="Normal 12 5 6 2 2 2" xfId="4084"/>
    <cellStyle name="Normal 12 5 6 2 3" xfId="4085"/>
    <cellStyle name="Normal 12 5 6 3" xfId="4086"/>
    <cellStyle name="Normal 12 5 6 3 2" xfId="4087"/>
    <cellStyle name="Normal 12 5 6 4" xfId="4088"/>
    <cellStyle name="Normal 12 5 7" xfId="4089"/>
    <cellStyle name="Normal 12 5 7 2" xfId="4090"/>
    <cellStyle name="Normal 12 5 7 2 2" xfId="4091"/>
    <cellStyle name="Normal 12 5 7 2 2 2" xfId="4092"/>
    <cellStyle name="Normal 12 5 7 2 3" xfId="4093"/>
    <cellStyle name="Normal 12 5 7 3" xfId="4094"/>
    <cellStyle name="Normal 12 5 7 3 2" xfId="4095"/>
    <cellStyle name="Normal 12 5 7 4" xfId="4096"/>
    <cellStyle name="Normal 12 5 8" xfId="4097"/>
    <cellStyle name="Normal 12 5 8 2" xfId="4098"/>
    <cellStyle name="Normal 12 5 8 2 2" xfId="4099"/>
    <cellStyle name="Normal 12 5 8 3" xfId="4100"/>
    <cellStyle name="Normal 12 5 9" xfId="4101"/>
    <cellStyle name="Normal 12 5 9 2" xfId="4102"/>
    <cellStyle name="Normal 12 6" xfId="4103"/>
    <cellStyle name="Normal 12 6 2" xfId="4104"/>
    <cellStyle name="Normal 12 6 2 2" xfId="4105"/>
    <cellStyle name="Normal 12 6 2 2 2" xfId="4106"/>
    <cellStyle name="Normal 12 6 2 2 2 2" xfId="4107"/>
    <cellStyle name="Normal 12 6 2 2 2 2 2" xfId="4108"/>
    <cellStyle name="Normal 12 6 2 2 2 2 2 2" xfId="4109"/>
    <cellStyle name="Normal 12 6 2 2 2 2 3" xfId="4110"/>
    <cellStyle name="Normal 12 6 2 2 2 3" xfId="4111"/>
    <cellStyle name="Normal 12 6 2 2 2 3 2" xfId="4112"/>
    <cellStyle name="Normal 12 6 2 2 2 4" xfId="4113"/>
    <cellStyle name="Normal 12 6 2 2 3" xfId="4114"/>
    <cellStyle name="Normal 12 6 2 2 3 2" xfId="4115"/>
    <cellStyle name="Normal 12 6 2 2 3 2 2" xfId="4116"/>
    <cellStyle name="Normal 12 6 2 2 3 2 2 2" xfId="4117"/>
    <cellStyle name="Normal 12 6 2 2 3 2 3" xfId="4118"/>
    <cellStyle name="Normal 12 6 2 2 3 3" xfId="4119"/>
    <cellStyle name="Normal 12 6 2 2 3 3 2" xfId="4120"/>
    <cellStyle name="Normal 12 6 2 2 3 4" xfId="4121"/>
    <cellStyle name="Normal 12 6 2 2 4" xfId="4122"/>
    <cellStyle name="Normal 12 6 2 2 4 2" xfId="4123"/>
    <cellStyle name="Normal 12 6 2 2 4 2 2" xfId="4124"/>
    <cellStyle name="Normal 12 6 2 2 4 3" xfId="4125"/>
    <cellStyle name="Normal 12 6 2 2 5" xfId="4126"/>
    <cellStyle name="Normal 12 6 2 2 5 2" xfId="4127"/>
    <cellStyle name="Normal 12 6 2 2 6" xfId="4128"/>
    <cellStyle name="Normal 12 6 2 3" xfId="4129"/>
    <cellStyle name="Normal 12 6 2 3 2" xfId="4130"/>
    <cellStyle name="Normal 12 6 2 3 2 2" xfId="4131"/>
    <cellStyle name="Normal 12 6 2 3 2 2 2" xfId="4132"/>
    <cellStyle name="Normal 12 6 2 3 2 3" xfId="4133"/>
    <cellStyle name="Normal 12 6 2 3 3" xfId="4134"/>
    <cellStyle name="Normal 12 6 2 3 3 2" xfId="4135"/>
    <cellStyle name="Normal 12 6 2 3 4" xfId="4136"/>
    <cellStyle name="Normal 12 6 2 4" xfId="4137"/>
    <cellStyle name="Normal 12 6 2 4 2" xfId="4138"/>
    <cellStyle name="Normal 12 6 2 4 2 2" xfId="4139"/>
    <cellStyle name="Normal 12 6 2 4 2 2 2" xfId="4140"/>
    <cellStyle name="Normal 12 6 2 4 2 3" xfId="4141"/>
    <cellStyle name="Normal 12 6 2 4 3" xfId="4142"/>
    <cellStyle name="Normal 12 6 2 4 3 2" xfId="4143"/>
    <cellStyle name="Normal 12 6 2 4 4" xfId="4144"/>
    <cellStyle name="Normal 12 6 2 5" xfId="4145"/>
    <cellStyle name="Normal 12 6 2 5 2" xfId="4146"/>
    <cellStyle name="Normal 12 6 2 5 2 2" xfId="4147"/>
    <cellStyle name="Normal 12 6 2 5 3" xfId="4148"/>
    <cellStyle name="Normal 12 6 2 6" xfId="4149"/>
    <cellStyle name="Normal 12 6 2 6 2" xfId="4150"/>
    <cellStyle name="Normal 12 6 2 7" xfId="4151"/>
    <cellStyle name="Normal 12 6 3" xfId="4152"/>
    <cellStyle name="Normal 12 6 3 2" xfId="4153"/>
    <cellStyle name="Normal 12 6 3 2 2" xfId="4154"/>
    <cellStyle name="Normal 12 6 3 2 2 2" xfId="4155"/>
    <cellStyle name="Normal 12 6 3 2 2 2 2" xfId="4156"/>
    <cellStyle name="Normal 12 6 3 2 2 3" xfId="4157"/>
    <cellStyle name="Normal 12 6 3 2 3" xfId="4158"/>
    <cellStyle name="Normal 12 6 3 2 3 2" xfId="4159"/>
    <cellStyle name="Normal 12 6 3 2 4" xfId="4160"/>
    <cellStyle name="Normal 12 6 3 3" xfId="4161"/>
    <cellStyle name="Normal 12 6 3 3 2" xfId="4162"/>
    <cellStyle name="Normal 12 6 3 3 2 2" xfId="4163"/>
    <cellStyle name="Normal 12 6 3 3 2 2 2" xfId="4164"/>
    <cellStyle name="Normal 12 6 3 3 2 3" xfId="4165"/>
    <cellStyle name="Normal 12 6 3 3 3" xfId="4166"/>
    <cellStyle name="Normal 12 6 3 3 3 2" xfId="4167"/>
    <cellStyle name="Normal 12 6 3 3 4" xfId="4168"/>
    <cellStyle name="Normal 12 6 3 4" xfId="4169"/>
    <cellStyle name="Normal 12 6 3 4 2" xfId="4170"/>
    <cellStyle name="Normal 12 6 3 4 2 2" xfId="4171"/>
    <cellStyle name="Normal 12 6 3 4 3" xfId="4172"/>
    <cellStyle name="Normal 12 6 3 5" xfId="4173"/>
    <cellStyle name="Normal 12 6 3 5 2" xfId="4174"/>
    <cellStyle name="Normal 12 6 3 6" xfId="4175"/>
    <cellStyle name="Normal 12 6 4" xfId="4176"/>
    <cellStyle name="Normal 12 6 4 2" xfId="4177"/>
    <cellStyle name="Normal 12 6 4 2 2" xfId="4178"/>
    <cellStyle name="Normal 12 6 4 2 2 2" xfId="4179"/>
    <cellStyle name="Normal 12 6 4 2 3" xfId="4180"/>
    <cellStyle name="Normal 12 6 4 3" xfId="4181"/>
    <cellStyle name="Normal 12 6 4 3 2" xfId="4182"/>
    <cellStyle name="Normal 12 6 4 4" xfId="4183"/>
    <cellStyle name="Normal 12 6 5" xfId="4184"/>
    <cellStyle name="Normal 12 6 5 2" xfId="4185"/>
    <cellStyle name="Normal 12 6 5 2 2" xfId="4186"/>
    <cellStyle name="Normal 12 6 5 2 2 2" xfId="4187"/>
    <cellStyle name="Normal 12 6 5 2 3" xfId="4188"/>
    <cellStyle name="Normal 12 6 5 3" xfId="4189"/>
    <cellStyle name="Normal 12 6 5 3 2" xfId="4190"/>
    <cellStyle name="Normal 12 6 5 4" xfId="4191"/>
    <cellStyle name="Normal 12 6 6" xfId="4192"/>
    <cellStyle name="Normal 12 6 6 2" xfId="4193"/>
    <cellStyle name="Normal 12 6 6 2 2" xfId="4194"/>
    <cellStyle name="Normal 12 6 6 2 2 2" xfId="4195"/>
    <cellStyle name="Normal 12 6 6 2 3" xfId="4196"/>
    <cellStyle name="Normal 12 6 6 3" xfId="4197"/>
    <cellStyle name="Normal 12 6 6 3 2" xfId="4198"/>
    <cellStyle name="Normal 12 6 6 4" xfId="4199"/>
    <cellStyle name="Normal 12 6 7" xfId="4200"/>
    <cellStyle name="Normal 12 6 7 2" xfId="4201"/>
    <cellStyle name="Normal 12 6 7 2 2" xfId="4202"/>
    <cellStyle name="Normal 12 6 7 3" xfId="4203"/>
    <cellStyle name="Normal 12 6 8" xfId="4204"/>
    <cellStyle name="Normal 12 6 8 2" xfId="4205"/>
    <cellStyle name="Normal 12 6 9" xfId="4206"/>
    <cellStyle name="Normal 12 7" xfId="4207"/>
    <cellStyle name="Normal 12 7 2" xfId="4208"/>
    <cellStyle name="Normal 12 7 2 2" xfId="4209"/>
    <cellStyle name="Normal 12 7 2 2 2" xfId="4210"/>
    <cellStyle name="Normal 12 7 2 2 2 2" xfId="4211"/>
    <cellStyle name="Normal 12 7 2 2 2 2 2" xfId="4212"/>
    <cellStyle name="Normal 12 7 2 2 2 3" xfId="4213"/>
    <cellStyle name="Normal 12 7 2 2 3" xfId="4214"/>
    <cellStyle name="Normal 12 7 2 2 3 2" xfId="4215"/>
    <cellStyle name="Normal 12 7 2 2 4" xfId="4216"/>
    <cellStyle name="Normal 12 7 2 3" xfId="4217"/>
    <cellStyle name="Normal 12 7 2 3 2" xfId="4218"/>
    <cellStyle name="Normal 12 7 2 3 2 2" xfId="4219"/>
    <cellStyle name="Normal 12 7 2 3 2 2 2" xfId="4220"/>
    <cellStyle name="Normal 12 7 2 3 2 3" xfId="4221"/>
    <cellStyle name="Normal 12 7 2 3 3" xfId="4222"/>
    <cellStyle name="Normal 12 7 2 3 3 2" xfId="4223"/>
    <cellStyle name="Normal 12 7 2 3 4" xfId="4224"/>
    <cellStyle name="Normal 12 7 2 4" xfId="4225"/>
    <cellStyle name="Normal 12 7 2 4 2" xfId="4226"/>
    <cellStyle name="Normal 12 7 2 4 2 2" xfId="4227"/>
    <cellStyle name="Normal 12 7 2 4 3" xfId="4228"/>
    <cellStyle name="Normal 12 7 2 5" xfId="4229"/>
    <cellStyle name="Normal 12 7 2 5 2" xfId="4230"/>
    <cellStyle name="Normal 12 7 2 6" xfId="4231"/>
    <cellStyle name="Normal 12 7 3" xfId="4232"/>
    <cellStyle name="Normal 12 7 3 2" xfId="4233"/>
    <cellStyle name="Normal 12 7 3 2 2" xfId="4234"/>
    <cellStyle name="Normal 12 7 3 2 2 2" xfId="4235"/>
    <cellStyle name="Normal 12 7 3 2 3" xfId="4236"/>
    <cellStyle name="Normal 12 7 3 3" xfId="4237"/>
    <cellStyle name="Normal 12 7 3 3 2" xfId="4238"/>
    <cellStyle name="Normal 12 7 3 4" xfId="4239"/>
    <cellStyle name="Normal 12 7 4" xfId="4240"/>
    <cellStyle name="Normal 12 7 4 2" xfId="4241"/>
    <cellStyle name="Normal 12 7 4 2 2" xfId="4242"/>
    <cellStyle name="Normal 12 7 4 2 2 2" xfId="4243"/>
    <cellStyle name="Normal 12 7 4 2 3" xfId="4244"/>
    <cellStyle name="Normal 12 7 4 3" xfId="4245"/>
    <cellStyle name="Normal 12 7 4 3 2" xfId="4246"/>
    <cellStyle name="Normal 12 7 4 4" xfId="4247"/>
    <cellStyle name="Normal 12 7 5" xfId="4248"/>
    <cellStyle name="Normal 12 7 5 2" xfId="4249"/>
    <cellStyle name="Normal 12 7 5 2 2" xfId="4250"/>
    <cellStyle name="Normal 12 7 5 3" xfId="4251"/>
    <cellStyle name="Normal 12 7 6" xfId="4252"/>
    <cellStyle name="Normal 12 7 6 2" xfId="4253"/>
    <cellStyle name="Normal 12 7 7" xfId="4254"/>
    <cellStyle name="Normal 12 8" xfId="4255"/>
    <cellStyle name="Normal 12 8 2" xfId="4256"/>
    <cellStyle name="Normal 12 8 2 2" xfId="4257"/>
    <cellStyle name="Normal 12 8 2 2 2" xfId="4258"/>
    <cellStyle name="Normal 12 8 2 2 2 2" xfId="4259"/>
    <cellStyle name="Normal 12 8 2 2 3" xfId="4260"/>
    <cellStyle name="Normal 12 8 2 3" xfId="4261"/>
    <cellStyle name="Normal 12 8 2 3 2" xfId="4262"/>
    <cellStyle name="Normal 12 8 2 4" xfId="4263"/>
    <cellStyle name="Normal 12 8 3" xfId="4264"/>
    <cellStyle name="Normal 12 8 3 2" xfId="4265"/>
    <cellStyle name="Normal 12 8 3 2 2" xfId="4266"/>
    <cellStyle name="Normal 12 8 3 2 2 2" xfId="4267"/>
    <cellStyle name="Normal 12 8 3 2 3" xfId="4268"/>
    <cellStyle name="Normal 12 8 3 3" xfId="4269"/>
    <cellStyle name="Normal 12 8 3 3 2" xfId="4270"/>
    <cellStyle name="Normal 12 8 3 4" xfId="4271"/>
    <cellStyle name="Normal 12 8 4" xfId="4272"/>
    <cellStyle name="Normal 12 8 4 2" xfId="4273"/>
    <cellStyle name="Normal 12 8 4 2 2" xfId="4274"/>
    <cellStyle name="Normal 12 8 4 3" xfId="4275"/>
    <cellStyle name="Normal 12 8 5" xfId="4276"/>
    <cellStyle name="Normal 12 8 5 2" xfId="4277"/>
    <cellStyle name="Normal 12 8 6" xfId="4278"/>
    <cellStyle name="Normal 12 9" xfId="4279"/>
    <cellStyle name="Normal 12 9 2" xfId="4280"/>
    <cellStyle name="Normal 12 9 2 2" xfId="4281"/>
    <cellStyle name="Normal 12 9 2 2 2" xfId="4282"/>
    <cellStyle name="Normal 12 9 2 3" xfId="4283"/>
    <cellStyle name="Normal 12 9 3" xfId="4284"/>
    <cellStyle name="Normal 12 9 3 2" xfId="4285"/>
    <cellStyle name="Normal 12 9 4" xfId="4286"/>
    <cellStyle name="Normal 13" xfId="4287"/>
    <cellStyle name="Normal 13 10" xfId="4288"/>
    <cellStyle name="Normal 13 10 2" xfId="4289"/>
    <cellStyle name="Normal 13 10 2 2" xfId="4290"/>
    <cellStyle name="Normal 13 10 2 2 2" xfId="4291"/>
    <cellStyle name="Normal 13 10 2 3" xfId="4292"/>
    <cellStyle name="Normal 13 10 3" xfId="4293"/>
    <cellStyle name="Normal 13 10 3 2" xfId="4294"/>
    <cellStyle name="Normal 13 10 4" xfId="4295"/>
    <cellStyle name="Normal 13 11" xfId="4296"/>
    <cellStyle name="Normal 13 11 2" xfId="4297"/>
    <cellStyle name="Normal 13 11 2 2" xfId="4298"/>
    <cellStyle name="Normal 13 11 2 2 2" xfId="4299"/>
    <cellStyle name="Normal 13 11 2 3" xfId="4300"/>
    <cellStyle name="Normal 13 11 3" xfId="4301"/>
    <cellStyle name="Normal 13 11 3 2" xfId="4302"/>
    <cellStyle name="Normal 13 11 4" xfId="4303"/>
    <cellStyle name="Normal 13 12" xfId="4304"/>
    <cellStyle name="Normal 13 12 2" xfId="4305"/>
    <cellStyle name="Normal 13 12 2 2" xfId="4306"/>
    <cellStyle name="Normal 13 12 3" xfId="4307"/>
    <cellStyle name="Normal 13 13" xfId="4308"/>
    <cellStyle name="Normal 13 13 2" xfId="4309"/>
    <cellStyle name="Normal 13 14" xfId="4310"/>
    <cellStyle name="Normal 13 2" xfId="4311"/>
    <cellStyle name="Normal 13 2 10" xfId="4312"/>
    <cellStyle name="Normal 13 2 10 2" xfId="4313"/>
    <cellStyle name="Normal 13 2 10 2 2" xfId="4314"/>
    <cellStyle name="Normal 13 2 10 2 2 2" xfId="4315"/>
    <cellStyle name="Normal 13 2 10 2 3" xfId="4316"/>
    <cellStyle name="Normal 13 2 10 3" xfId="4317"/>
    <cellStyle name="Normal 13 2 10 3 2" xfId="4318"/>
    <cellStyle name="Normal 13 2 10 4" xfId="4319"/>
    <cellStyle name="Normal 13 2 11" xfId="4320"/>
    <cellStyle name="Normal 13 2 11 2" xfId="4321"/>
    <cellStyle name="Normal 13 2 11 2 2" xfId="4322"/>
    <cellStyle name="Normal 13 2 11 3" xfId="4323"/>
    <cellStyle name="Normal 13 2 12" xfId="4324"/>
    <cellStyle name="Normal 13 2 12 2" xfId="4325"/>
    <cellStyle name="Normal 13 2 13" xfId="4326"/>
    <cellStyle name="Normal 13 2 2" xfId="4327"/>
    <cellStyle name="Normal 13 2 2 10" xfId="4328"/>
    <cellStyle name="Normal 13 2 2 10 2" xfId="4329"/>
    <cellStyle name="Normal 13 2 2 11" xfId="4330"/>
    <cellStyle name="Normal 13 2 2 2" xfId="4331"/>
    <cellStyle name="Normal 13 2 2 2 10" xfId="4332"/>
    <cellStyle name="Normal 13 2 2 2 2" xfId="4333"/>
    <cellStyle name="Normal 13 2 2 2 2 2" xfId="4334"/>
    <cellStyle name="Normal 13 2 2 2 2 2 2" xfId="4335"/>
    <cellStyle name="Normal 13 2 2 2 2 2 2 2" xfId="4336"/>
    <cellStyle name="Normal 13 2 2 2 2 2 2 2 2" xfId="4337"/>
    <cellStyle name="Normal 13 2 2 2 2 2 2 2 2 2" xfId="4338"/>
    <cellStyle name="Normal 13 2 2 2 2 2 2 2 2 2 2" xfId="4339"/>
    <cellStyle name="Normal 13 2 2 2 2 2 2 2 2 3" xfId="4340"/>
    <cellStyle name="Normal 13 2 2 2 2 2 2 2 3" xfId="4341"/>
    <cellStyle name="Normal 13 2 2 2 2 2 2 2 3 2" xfId="4342"/>
    <cellStyle name="Normal 13 2 2 2 2 2 2 2 4" xfId="4343"/>
    <cellStyle name="Normal 13 2 2 2 2 2 2 3" xfId="4344"/>
    <cellStyle name="Normal 13 2 2 2 2 2 2 3 2" xfId="4345"/>
    <cellStyle name="Normal 13 2 2 2 2 2 2 3 2 2" xfId="4346"/>
    <cellStyle name="Normal 13 2 2 2 2 2 2 3 2 2 2" xfId="4347"/>
    <cellStyle name="Normal 13 2 2 2 2 2 2 3 2 3" xfId="4348"/>
    <cellStyle name="Normal 13 2 2 2 2 2 2 3 3" xfId="4349"/>
    <cellStyle name="Normal 13 2 2 2 2 2 2 3 3 2" xfId="4350"/>
    <cellStyle name="Normal 13 2 2 2 2 2 2 3 4" xfId="4351"/>
    <cellStyle name="Normal 13 2 2 2 2 2 2 4" xfId="4352"/>
    <cellStyle name="Normal 13 2 2 2 2 2 2 4 2" xfId="4353"/>
    <cellStyle name="Normal 13 2 2 2 2 2 2 4 2 2" xfId="4354"/>
    <cellStyle name="Normal 13 2 2 2 2 2 2 4 3" xfId="4355"/>
    <cellStyle name="Normal 13 2 2 2 2 2 2 5" xfId="4356"/>
    <cellStyle name="Normal 13 2 2 2 2 2 2 5 2" xfId="4357"/>
    <cellStyle name="Normal 13 2 2 2 2 2 2 6" xfId="4358"/>
    <cellStyle name="Normal 13 2 2 2 2 2 3" xfId="4359"/>
    <cellStyle name="Normal 13 2 2 2 2 2 3 2" xfId="4360"/>
    <cellStyle name="Normal 13 2 2 2 2 2 3 2 2" xfId="4361"/>
    <cellStyle name="Normal 13 2 2 2 2 2 3 2 2 2" xfId="4362"/>
    <cellStyle name="Normal 13 2 2 2 2 2 3 2 3" xfId="4363"/>
    <cellStyle name="Normal 13 2 2 2 2 2 3 3" xfId="4364"/>
    <cellStyle name="Normal 13 2 2 2 2 2 3 3 2" xfId="4365"/>
    <cellStyle name="Normal 13 2 2 2 2 2 3 4" xfId="4366"/>
    <cellStyle name="Normal 13 2 2 2 2 2 4" xfId="4367"/>
    <cellStyle name="Normal 13 2 2 2 2 2 4 2" xfId="4368"/>
    <cellStyle name="Normal 13 2 2 2 2 2 4 2 2" xfId="4369"/>
    <cellStyle name="Normal 13 2 2 2 2 2 4 2 2 2" xfId="4370"/>
    <cellStyle name="Normal 13 2 2 2 2 2 4 2 3" xfId="4371"/>
    <cellStyle name="Normal 13 2 2 2 2 2 4 3" xfId="4372"/>
    <cellStyle name="Normal 13 2 2 2 2 2 4 3 2" xfId="4373"/>
    <cellStyle name="Normal 13 2 2 2 2 2 4 4" xfId="4374"/>
    <cellStyle name="Normal 13 2 2 2 2 2 5" xfId="4375"/>
    <cellStyle name="Normal 13 2 2 2 2 2 5 2" xfId="4376"/>
    <cellStyle name="Normal 13 2 2 2 2 2 5 2 2" xfId="4377"/>
    <cellStyle name="Normal 13 2 2 2 2 2 5 3" xfId="4378"/>
    <cellStyle name="Normal 13 2 2 2 2 2 6" xfId="4379"/>
    <cellStyle name="Normal 13 2 2 2 2 2 6 2" xfId="4380"/>
    <cellStyle name="Normal 13 2 2 2 2 2 7" xfId="4381"/>
    <cellStyle name="Normal 13 2 2 2 2 3" xfId="4382"/>
    <cellStyle name="Normal 13 2 2 2 2 3 2" xfId="4383"/>
    <cellStyle name="Normal 13 2 2 2 2 3 2 2" xfId="4384"/>
    <cellStyle name="Normal 13 2 2 2 2 3 2 2 2" xfId="4385"/>
    <cellStyle name="Normal 13 2 2 2 2 3 2 2 2 2" xfId="4386"/>
    <cellStyle name="Normal 13 2 2 2 2 3 2 2 3" xfId="4387"/>
    <cellStyle name="Normal 13 2 2 2 2 3 2 3" xfId="4388"/>
    <cellStyle name="Normal 13 2 2 2 2 3 2 3 2" xfId="4389"/>
    <cellStyle name="Normal 13 2 2 2 2 3 2 4" xfId="4390"/>
    <cellStyle name="Normal 13 2 2 2 2 3 3" xfId="4391"/>
    <cellStyle name="Normal 13 2 2 2 2 3 3 2" xfId="4392"/>
    <cellStyle name="Normal 13 2 2 2 2 3 3 2 2" xfId="4393"/>
    <cellStyle name="Normal 13 2 2 2 2 3 3 2 2 2" xfId="4394"/>
    <cellStyle name="Normal 13 2 2 2 2 3 3 2 3" xfId="4395"/>
    <cellStyle name="Normal 13 2 2 2 2 3 3 3" xfId="4396"/>
    <cellStyle name="Normal 13 2 2 2 2 3 3 3 2" xfId="4397"/>
    <cellStyle name="Normal 13 2 2 2 2 3 3 4" xfId="4398"/>
    <cellStyle name="Normal 13 2 2 2 2 3 4" xfId="4399"/>
    <cellStyle name="Normal 13 2 2 2 2 3 4 2" xfId="4400"/>
    <cellStyle name="Normal 13 2 2 2 2 3 4 2 2" xfId="4401"/>
    <cellStyle name="Normal 13 2 2 2 2 3 4 3" xfId="4402"/>
    <cellStyle name="Normal 13 2 2 2 2 3 5" xfId="4403"/>
    <cellStyle name="Normal 13 2 2 2 2 3 5 2" xfId="4404"/>
    <cellStyle name="Normal 13 2 2 2 2 3 6" xfId="4405"/>
    <cellStyle name="Normal 13 2 2 2 2 4" xfId="4406"/>
    <cellStyle name="Normal 13 2 2 2 2 4 2" xfId="4407"/>
    <cellStyle name="Normal 13 2 2 2 2 4 2 2" xfId="4408"/>
    <cellStyle name="Normal 13 2 2 2 2 4 2 2 2" xfId="4409"/>
    <cellStyle name="Normal 13 2 2 2 2 4 2 3" xfId="4410"/>
    <cellStyle name="Normal 13 2 2 2 2 4 3" xfId="4411"/>
    <cellStyle name="Normal 13 2 2 2 2 4 3 2" xfId="4412"/>
    <cellStyle name="Normal 13 2 2 2 2 4 4" xfId="4413"/>
    <cellStyle name="Normal 13 2 2 2 2 5" xfId="4414"/>
    <cellStyle name="Normal 13 2 2 2 2 5 2" xfId="4415"/>
    <cellStyle name="Normal 13 2 2 2 2 5 2 2" xfId="4416"/>
    <cellStyle name="Normal 13 2 2 2 2 5 2 2 2" xfId="4417"/>
    <cellStyle name="Normal 13 2 2 2 2 5 2 3" xfId="4418"/>
    <cellStyle name="Normal 13 2 2 2 2 5 3" xfId="4419"/>
    <cellStyle name="Normal 13 2 2 2 2 5 3 2" xfId="4420"/>
    <cellStyle name="Normal 13 2 2 2 2 5 4" xfId="4421"/>
    <cellStyle name="Normal 13 2 2 2 2 6" xfId="4422"/>
    <cellStyle name="Normal 13 2 2 2 2 6 2" xfId="4423"/>
    <cellStyle name="Normal 13 2 2 2 2 6 2 2" xfId="4424"/>
    <cellStyle name="Normal 13 2 2 2 2 6 2 2 2" xfId="4425"/>
    <cellStyle name="Normal 13 2 2 2 2 6 2 3" xfId="4426"/>
    <cellStyle name="Normal 13 2 2 2 2 6 3" xfId="4427"/>
    <cellStyle name="Normal 13 2 2 2 2 6 3 2" xfId="4428"/>
    <cellStyle name="Normal 13 2 2 2 2 6 4" xfId="4429"/>
    <cellStyle name="Normal 13 2 2 2 2 7" xfId="4430"/>
    <cellStyle name="Normal 13 2 2 2 2 7 2" xfId="4431"/>
    <cellStyle name="Normal 13 2 2 2 2 7 2 2" xfId="4432"/>
    <cellStyle name="Normal 13 2 2 2 2 7 3" xfId="4433"/>
    <cellStyle name="Normal 13 2 2 2 2 8" xfId="4434"/>
    <cellStyle name="Normal 13 2 2 2 2 8 2" xfId="4435"/>
    <cellStyle name="Normal 13 2 2 2 2 9" xfId="4436"/>
    <cellStyle name="Normal 13 2 2 2 3" xfId="4437"/>
    <cellStyle name="Normal 13 2 2 2 3 2" xfId="4438"/>
    <cellStyle name="Normal 13 2 2 2 3 2 2" xfId="4439"/>
    <cellStyle name="Normal 13 2 2 2 3 2 2 2" xfId="4440"/>
    <cellStyle name="Normal 13 2 2 2 3 2 2 2 2" xfId="4441"/>
    <cellStyle name="Normal 13 2 2 2 3 2 2 2 2 2" xfId="4442"/>
    <cellStyle name="Normal 13 2 2 2 3 2 2 2 3" xfId="4443"/>
    <cellStyle name="Normal 13 2 2 2 3 2 2 3" xfId="4444"/>
    <cellStyle name="Normal 13 2 2 2 3 2 2 3 2" xfId="4445"/>
    <cellStyle name="Normal 13 2 2 2 3 2 2 4" xfId="4446"/>
    <cellStyle name="Normal 13 2 2 2 3 2 3" xfId="4447"/>
    <cellStyle name="Normal 13 2 2 2 3 2 3 2" xfId="4448"/>
    <cellStyle name="Normal 13 2 2 2 3 2 3 2 2" xfId="4449"/>
    <cellStyle name="Normal 13 2 2 2 3 2 3 2 2 2" xfId="4450"/>
    <cellStyle name="Normal 13 2 2 2 3 2 3 2 3" xfId="4451"/>
    <cellStyle name="Normal 13 2 2 2 3 2 3 3" xfId="4452"/>
    <cellStyle name="Normal 13 2 2 2 3 2 3 3 2" xfId="4453"/>
    <cellStyle name="Normal 13 2 2 2 3 2 3 4" xfId="4454"/>
    <cellStyle name="Normal 13 2 2 2 3 2 4" xfId="4455"/>
    <cellStyle name="Normal 13 2 2 2 3 2 4 2" xfId="4456"/>
    <cellStyle name="Normal 13 2 2 2 3 2 4 2 2" xfId="4457"/>
    <cellStyle name="Normal 13 2 2 2 3 2 4 3" xfId="4458"/>
    <cellStyle name="Normal 13 2 2 2 3 2 5" xfId="4459"/>
    <cellStyle name="Normal 13 2 2 2 3 2 5 2" xfId="4460"/>
    <cellStyle name="Normal 13 2 2 2 3 2 6" xfId="4461"/>
    <cellStyle name="Normal 13 2 2 2 3 3" xfId="4462"/>
    <cellStyle name="Normal 13 2 2 2 3 3 2" xfId="4463"/>
    <cellStyle name="Normal 13 2 2 2 3 3 2 2" xfId="4464"/>
    <cellStyle name="Normal 13 2 2 2 3 3 2 2 2" xfId="4465"/>
    <cellStyle name="Normal 13 2 2 2 3 3 2 3" xfId="4466"/>
    <cellStyle name="Normal 13 2 2 2 3 3 3" xfId="4467"/>
    <cellStyle name="Normal 13 2 2 2 3 3 3 2" xfId="4468"/>
    <cellStyle name="Normal 13 2 2 2 3 3 4" xfId="4469"/>
    <cellStyle name="Normal 13 2 2 2 3 4" xfId="4470"/>
    <cellStyle name="Normal 13 2 2 2 3 4 2" xfId="4471"/>
    <cellStyle name="Normal 13 2 2 2 3 4 2 2" xfId="4472"/>
    <cellStyle name="Normal 13 2 2 2 3 4 2 2 2" xfId="4473"/>
    <cellStyle name="Normal 13 2 2 2 3 4 2 3" xfId="4474"/>
    <cellStyle name="Normal 13 2 2 2 3 4 3" xfId="4475"/>
    <cellStyle name="Normal 13 2 2 2 3 4 3 2" xfId="4476"/>
    <cellStyle name="Normal 13 2 2 2 3 4 4" xfId="4477"/>
    <cellStyle name="Normal 13 2 2 2 3 5" xfId="4478"/>
    <cellStyle name="Normal 13 2 2 2 3 5 2" xfId="4479"/>
    <cellStyle name="Normal 13 2 2 2 3 5 2 2" xfId="4480"/>
    <cellStyle name="Normal 13 2 2 2 3 5 3" xfId="4481"/>
    <cellStyle name="Normal 13 2 2 2 3 6" xfId="4482"/>
    <cellStyle name="Normal 13 2 2 2 3 6 2" xfId="4483"/>
    <cellStyle name="Normal 13 2 2 2 3 7" xfId="4484"/>
    <cellStyle name="Normal 13 2 2 2 4" xfId="4485"/>
    <cellStyle name="Normal 13 2 2 2 4 2" xfId="4486"/>
    <cellStyle name="Normal 13 2 2 2 4 2 2" xfId="4487"/>
    <cellStyle name="Normal 13 2 2 2 4 2 2 2" xfId="4488"/>
    <cellStyle name="Normal 13 2 2 2 4 2 2 2 2" xfId="4489"/>
    <cellStyle name="Normal 13 2 2 2 4 2 2 3" xfId="4490"/>
    <cellStyle name="Normal 13 2 2 2 4 2 3" xfId="4491"/>
    <cellStyle name="Normal 13 2 2 2 4 2 3 2" xfId="4492"/>
    <cellStyle name="Normal 13 2 2 2 4 2 4" xfId="4493"/>
    <cellStyle name="Normal 13 2 2 2 4 3" xfId="4494"/>
    <cellStyle name="Normal 13 2 2 2 4 3 2" xfId="4495"/>
    <cellStyle name="Normal 13 2 2 2 4 3 2 2" xfId="4496"/>
    <cellStyle name="Normal 13 2 2 2 4 3 2 2 2" xfId="4497"/>
    <cellStyle name="Normal 13 2 2 2 4 3 2 3" xfId="4498"/>
    <cellStyle name="Normal 13 2 2 2 4 3 3" xfId="4499"/>
    <cellStyle name="Normal 13 2 2 2 4 3 3 2" xfId="4500"/>
    <cellStyle name="Normal 13 2 2 2 4 3 4" xfId="4501"/>
    <cellStyle name="Normal 13 2 2 2 4 4" xfId="4502"/>
    <cellStyle name="Normal 13 2 2 2 4 4 2" xfId="4503"/>
    <cellStyle name="Normal 13 2 2 2 4 4 2 2" xfId="4504"/>
    <cellStyle name="Normal 13 2 2 2 4 4 3" xfId="4505"/>
    <cellStyle name="Normal 13 2 2 2 4 5" xfId="4506"/>
    <cellStyle name="Normal 13 2 2 2 4 5 2" xfId="4507"/>
    <cellStyle name="Normal 13 2 2 2 4 6" xfId="4508"/>
    <cellStyle name="Normal 13 2 2 2 5" xfId="4509"/>
    <cellStyle name="Normal 13 2 2 2 5 2" xfId="4510"/>
    <cellStyle name="Normal 13 2 2 2 5 2 2" xfId="4511"/>
    <cellStyle name="Normal 13 2 2 2 5 2 2 2" xfId="4512"/>
    <cellStyle name="Normal 13 2 2 2 5 2 3" xfId="4513"/>
    <cellStyle name="Normal 13 2 2 2 5 3" xfId="4514"/>
    <cellStyle name="Normal 13 2 2 2 5 3 2" xfId="4515"/>
    <cellStyle name="Normal 13 2 2 2 5 4" xfId="4516"/>
    <cellStyle name="Normal 13 2 2 2 6" xfId="4517"/>
    <cellStyle name="Normal 13 2 2 2 6 2" xfId="4518"/>
    <cellStyle name="Normal 13 2 2 2 6 2 2" xfId="4519"/>
    <cellStyle name="Normal 13 2 2 2 6 2 2 2" xfId="4520"/>
    <cellStyle name="Normal 13 2 2 2 6 2 3" xfId="4521"/>
    <cellStyle name="Normal 13 2 2 2 6 3" xfId="4522"/>
    <cellStyle name="Normal 13 2 2 2 6 3 2" xfId="4523"/>
    <cellStyle name="Normal 13 2 2 2 6 4" xfId="4524"/>
    <cellStyle name="Normal 13 2 2 2 7" xfId="4525"/>
    <cellStyle name="Normal 13 2 2 2 7 2" xfId="4526"/>
    <cellStyle name="Normal 13 2 2 2 7 2 2" xfId="4527"/>
    <cellStyle name="Normal 13 2 2 2 7 2 2 2" xfId="4528"/>
    <cellStyle name="Normal 13 2 2 2 7 2 3" xfId="4529"/>
    <cellStyle name="Normal 13 2 2 2 7 3" xfId="4530"/>
    <cellStyle name="Normal 13 2 2 2 7 3 2" xfId="4531"/>
    <cellStyle name="Normal 13 2 2 2 7 4" xfId="4532"/>
    <cellStyle name="Normal 13 2 2 2 8" xfId="4533"/>
    <cellStyle name="Normal 13 2 2 2 8 2" xfId="4534"/>
    <cellStyle name="Normal 13 2 2 2 8 2 2" xfId="4535"/>
    <cellStyle name="Normal 13 2 2 2 8 3" xfId="4536"/>
    <cellStyle name="Normal 13 2 2 2 9" xfId="4537"/>
    <cellStyle name="Normal 13 2 2 2 9 2" xfId="4538"/>
    <cellStyle name="Normal 13 2 2 3" xfId="4539"/>
    <cellStyle name="Normal 13 2 2 3 2" xfId="4540"/>
    <cellStyle name="Normal 13 2 2 3 2 2" xfId="4541"/>
    <cellStyle name="Normal 13 2 2 3 2 2 2" xfId="4542"/>
    <cellStyle name="Normal 13 2 2 3 2 2 2 2" xfId="4543"/>
    <cellStyle name="Normal 13 2 2 3 2 2 2 2 2" xfId="4544"/>
    <cellStyle name="Normal 13 2 2 3 2 2 2 2 2 2" xfId="4545"/>
    <cellStyle name="Normal 13 2 2 3 2 2 2 2 3" xfId="4546"/>
    <cellStyle name="Normal 13 2 2 3 2 2 2 3" xfId="4547"/>
    <cellStyle name="Normal 13 2 2 3 2 2 2 3 2" xfId="4548"/>
    <cellStyle name="Normal 13 2 2 3 2 2 2 4" xfId="4549"/>
    <cellStyle name="Normal 13 2 2 3 2 2 3" xfId="4550"/>
    <cellStyle name="Normal 13 2 2 3 2 2 3 2" xfId="4551"/>
    <cellStyle name="Normal 13 2 2 3 2 2 3 2 2" xfId="4552"/>
    <cellStyle name="Normal 13 2 2 3 2 2 3 2 2 2" xfId="4553"/>
    <cellStyle name="Normal 13 2 2 3 2 2 3 2 3" xfId="4554"/>
    <cellStyle name="Normal 13 2 2 3 2 2 3 3" xfId="4555"/>
    <cellStyle name="Normal 13 2 2 3 2 2 3 3 2" xfId="4556"/>
    <cellStyle name="Normal 13 2 2 3 2 2 3 4" xfId="4557"/>
    <cellStyle name="Normal 13 2 2 3 2 2 4" xfId="4558"/>
    <cellStyle name="Normal 13 2 2 3 2 2 4 2" xfId="4559"/>
    <cellStyle name="Normal 13 2 2 3 2 2 4 2 2" xfId="4560"/>
    <cellStyle name="Normal 13 2 2 3 2 2 4 3" xfId="4561"/>
    <cellStyle name="Normal 13 2 2 3 2 2 5" xfId="4562"/>
    <cellStyle name="Normal 13 2 2 3 2 2 5 2" xfId="4563"/>
    <cellStyle name="Normal 13 2 2 3 2 2 6" xfId="4564"/>
    <cellStyle name="Normal 13 2 2 3 2 3" xfId="4565"/>
    <cellStyle name="Normal 13 2 2 3 2 3 2" xfId="4566"/>
    <cellStyle name="Normal 13 2 2 3 2 3 2 2" xfId="4567"/>
    <cellStyle name="Normal 13 2 2 3 2 3 2 2 2" xfId="4568"/>
    <cellStyle name="Normal 13 2 2 3 2 3 2 3" xfId="4569"/>
    <cellStyle name="Normal 13 2 2 3 2 3 3" xfId="4570"/>
    <cellStyle name="Normal 13 2 2 3 2 3 3 2" xfId="4571"/>
    <cellStyle name="Normal 13 2 2 3 2 3 4" xfId="4572"/>
    <cellStyle name="Normal 13 2 2 3 2 4" xfId="4573"/>
    <cellStyle name="Normal 13 2 2 3 2 4 2" xfId="4574"/>
    <cellStyle name="Normal 13 2 2 3 2 4 2 2" xfId="4575"/>
    <cellStyle name="Normal 13 2 2 3 2 4 2 2 2" xfId="4576"/>
    <cellStyle name="Normal 13 2 2 3 2 4 2 3" xfId="4577"/>
    <cellStyle name="Normal 13 2 2 3 2 4 3" xfId="4578"/>
    <cellStyle name="Normal 13 2 2 3 2 4 3 2" xfId="4579"/>
    <cellStyle name="Normal 13 2 2 3 2 4 4" xfId="4580"/>
    <cellStyle name="Normal 13 2 2 3 2 5" xfId="4581"/>
    <cellStyle name="Normal 13 2 2 3 2 5 2" xfId="4582"/>
    <cellStyle name="Normal 13 2 2 3 2 5 2 2" xfId="4583"/>
    <cellStyle name="Normal 13 2 2 3 2 5 3" xfId="4584"/>
    <cellStyle name="Normal 13 2 2 3 2 6" xfId="4585"/>
    <cellStyle name="Normal 13 2 2 3 2 6 2" xfId="4586"/>
    <cellStyle name="Normal 13 2 2 3 2 7" xfId="4587"/>
    <cellStyle name="Normal 13 2 2 3 3" xfId="4588"/>
    <cellStyle name="Normal 13 2 2 3 3 2" xfId="4589"/>
    <cellStyle name="Normal 13 2 2 3 3 2 2" xfId="4590"/>
    <cellStyle name="Normal 13 2 2 3 3 2 2 2" xfId="4591"/>
    <cellStyle name="Normal 13 2 2 3 3 2 2 2 2" xfId="4592"/>
    <cellStyle name="Normal 13 2 2 3 3 2 2 3" xfId="4593"/>
    <cellStyle name="Normal 13 2 2 3 3 2 3" xfId="4594"/>
    <cellStyle name="Normal 13 2 2 3 3 2 3 2" xfId="4595"/>
    <cellStyle name="Normal 13 2 2 3 3 2 4" xfId="4596"/>
    <cellStyle name="Normal 13 2 2 3 3 3" xfId="4597"/>
    <cellStyle name="Normal 13 2 2 3 3 3 2" xfId="4598"/>
    <cellStyle name="Normal 13 2 2 3 3 3 2 2" xfId="4599"/>
    <cellStyle name="Normal 13 2 2 3 3 3 2 2 2" xfId="4600"/>
    <cellStyle name="Normal 13 2 2 3 3 3 2 3" xfId="4601"/>
    <cellStyle name="Normal 13 2 2 3 3 3 3" xfId="4602"/>
    <cellStyle name="Normal 13 2 2 3 3 3 3 2" xfId="4603"/>
    <cellStyle name="Normal 13 2 2 3 3 3 4" xfId="4604"/>
    <cellStyle name="Normal 13 2 2 3 3 4" xfId="4605"/>
    <cellStyle name="Normal 13 2 2 3 3 4 2" xfId="4606"/>
    <cellStyle name="Normal 13 2 2 3 3 4 2 2" xfId="4607"/>
    <cellStyle name="Normal 13 2 2 3 3 4 3" xfId="4608"/>
    <cellStyle name="Normal 13 2 2 3 3 5" xfId="4609"/>
    <cellStyle name="Normal 13 2 2 3 3 5 2" xfId="4610"/>
    <cellStyle name="Normal 13 2 2 3 3 6" xfId="4611"/>
    <cellStyle name="Normal 13 2 2 3 4" xfId="4612"/>
    <cellStyle name="Normal 13 2 2 3 4 2" xfId="4613"/>
    <cellStyle name="Normal 13 2 2 3 4 2 2" xfId="4614"/>
    <cellStyle name="Normal 13 2 2 3 4 2 2 2" xfId="4615"/>
    <cellStyle name="Normal 13 2 2 3 4 2 3" xfId="4616"/>
    <cellStyle name="Normal 13 2 2 3 4 3" xfId="4617"/>
    <cellStyle name="Normal 13 2 2 3 4 3 2" xfId="4618"/>
    <cellStyle name="Normal 13 2 2 3 4 4" xfId="4619"/>
    <cellStyle name="Normal 13 2 2 3 5" xfId="4620"/>
    <cellStyle name="Normal 13 2 2 3 5 2" xfId="4621"/>
    <cellStyle name="Normal 13 2 2 3 5 2 2" xfId="4622"/>
    <cellStyle name="Normal 13 2 2 3 5 2 2 2" xfId="4623"/>
    <cellStyle name="Normal 13 2 2 3 5 2 3" xfId="4624"/>
    <cellStyle name="Normal 13 2 2 3 5 3" xfId="4625"/>
    <cellStyle name="Normal 13 2 2 3 5 3 2" xfId="4626"/>
    <cellStyle name="Normal 13 2 2 3 5 4" xfId="4627"/>
    <cellStyle name="Normal 13 2 2 3 6" xfId="4628"/>
    <cellStyle name="Normal 13 2 2 3 6 2" xfId="4629"/>
    <cellStyle name="Normal 13 2 2 3 6 2 2" xfId="4630"/>
    <cellStyle name="Normal 13 2 2 3 6 2 2 2" xfId="4631"/>
    <cellStyle name="Normal 13 2 2 3 6 2 3" xfId="4632"/>
    <cellStyle name="Normal 13 2 2 3 6 3" xfId="4633"/>
    <cellStyle name="Normal 13 2 2 3 6 3 2" xfId="4634"/>
    <cellStyle name="Normal 13 2 2 3 6 4" xfId="4635"/>
    <cellStyle name="Normal 13 2 2 3 7" xfId="4636"/>
    <cellStyle name="Normal 13 2 2 3 7 2" xfId="4637"/>
    <cellStyle name="Normal 13 2 2 3 7 2 2" xfId="4638"/>
    <cellStyle name="Normal 13 2 2 3 7 3" xfId="4639"/>
    <cellStyle name="Normal 13 2 2 3 8" xfId="4640"/>
    <cellStyle name="Normal 13 2 2 3 8 2" xfId="4641"/>
    <cellStyle name="Normal 13 2 2 3 9" xfId="4642"/>
    <cellStyle name="Normal 13 2 2 4" xfId="4643"/>
    <cellStyle name="Normal 13 2 2 4 2" xfId="4644"/>
    <cellStyle name="Normal 13 2 2 4 2 2" xfId="4645"/>
    <cellStyle name="Normal 13 2 2 4 2 2 2" xfId="4646"/>
    <cellStyle name="Normal 13 2 2 4 2 2 2 2" xfId="4647"/>
    <cellStyle name="Normal 13 2 2 4 2 2 2 2 2" xfId="4648"/>
    <cellStyle name="Normal 13 2 2 4 2 2 2 3" xfId="4649"/>
    <cellStyle name="Normal 13 2 2 4 2 2 3" xfId="4650"/>
    <cellStyle name="Normal 13 2 2 4 2 2 3 2" xfId="4651"/>
    <cellStyle name="Normal 13 2 2 4 2 2 4" xfId="4652"/>
    <cellStyle name="Normal 13 2 2 4 2 3" xfId="4653"/>
    <cellStyle name="Normal 13 2 2 4 2 3 2" xfId="4654"/>
    <cellStyle name="Normal 13 2 2 4 2 3 2 2" xfId="4655"/>
    <cellStyle name="Normal 13 2 2 4 2 3 2 2 2" xfId="4656"/>
    <cellStyle name="Normal 13 2 2 4 2 3 2 3" xfId="4657"/>
    <cellStyle name="Normal 13 2 2 4 2 3 3" xfId="4658"/>
    <cellStyle name="Normal 13 2 2 4 2 3 3 2" xfId="4659"/>
    <cellStyle name="Normal 13 2 2 4 2 3 4" xfId="4660"/>
    <cellStyle name="Normal 13 2 2 4 2 4" xfId="4661"/>
    <cellStyle name="Normal 13 2 2 4 2 4 2" xfId="4662"/>
    <cellStyle name="Normal 13 2 2 4 2 4 2 2" xfId="4663"/>
    <cellStyle name="Normal 13 2 2 4 2 4 3" xfId="4664"/>
    <cellStyle name="Normal 13 2 2 4 2 5" xfId="4665"/>
    <cellStyle name="Normal 13 2 2 4 2 5 2" xfId="4666"/>
    <cellStyle name="Normal 13 2 2 4 2 6" xfId="4667"/>
    <cellStyle name="Normal 13 2 2 4 3" xfId="4668"/>
    <cellStyle name="Normal 13 2 2 4 3 2" xfId="4669"/>
    <cellStyle name="Normal 13 2 2 4 3 2 2" xfId="4670"/>
    <cellStyle name="Normal 13 2 2 4 3 2 2 2" xfId="4671"/>
    <cellStyle name="Normal 13 2 2 4 3 2 3" xfId="4672"/>
    <cellStyle name="Normal 13 2 2 4 3 3" xfId="4673"/>
    <cellStyle name="Normal 13 2 2 4 3 3 2" xfId="4674"/>
    <cellStyle name="Normal 13 2 2 4 3 4" xfId="4675"/>
    <cellStyle name="Normal 13 2 2 4 4" xfId="4676"/>
    <cellStyle name="Normal 13 2 2 4 4 2" xfId="4677"/>
    <cellStyle name="Normal 13 2 2 4 4 2 2" xfId="4678"/>
    <cellStyle name="Normal 13 2 2 4 4 2 2 2" xfId="4679"/>
    <cellStyle name="Normal 13 2 2 4 4 2 3" xfId="4680"/>
    <cellStyle name="Normal 13 2 2 4 4 3" xfId="4681"/>
    <cellStyle name="Normal 13 2 2 4 4 3 2" xfId="4682"/>
    <cellStyle name="Normal 13 2 2 4 4 4" xfId="4683"/>
    <cellStyle name="Normal 13 2 2 4 5" xfId="4684"/>
    <cellStyle name="Normal 13 2 2 4 5 2" xfId="4685"/>
    <cellStyle name="Normal 13 2 2 4 5 2 2" xfId="4686"/>
    <cellStyle name="Normal 13 2 2 4 5 3" xfId="4687"/>
    <cellStyle name="Normal 13 2 2 4 6" xfId="4688"/>
    <cellStyle name="Normal 13 2 2 4 6 2" xfId="4689"/>
    <cellStyle name="Normal 13 2 2 4 7" xfId="4690"/>
    <cellStyle name="Normal 13 2 2 5" xfId="4691"/>
    <cellStyle name="Normal 13 2 2 5 2" xfId="4692"/>
    <cellStyle name="Normal 13 2 2 5 2 2" xfId="4693"/>
    <cellStyle name="Normal 13 2 2 5 2 2 2" xfId="4694"/>
    <cellStyle name="Normal 13 2 2 5 2 2 2 2" xfId="4695"/>
    <cellStyle name="Normal 13 2 2 5 2 2 3" xfId="4696"/>
    <cellStyle name="Normal 13 2 2 5 2 3" xfId="4697"/>
    <cellStyle name="Normal 13 2 2 5 2 3 2" xfId="4698"/>
    <cellStyle name="Normal 13 2 2 5 2 4" xfId="4699"/>
    <cellStyle name="Normal 13 2 2 5 3" xfId="4700"/>
    <cellStyle name="Normal 13 2 2 5 3 2" xfId="4701"/>
    <cellStyle name="Normal 13 2 2 5 3 2 2" xfId="4702"/>
    <cellStyle name="Normal 13 2 2 5 3 2 2 2" xfId="4703"/>
    <cellStyle name="Normal 13 2 2 5 3 2 3" xfId="4704"/>
    <cellStyle name="Normal 13 2 2 5 3 3" xfId="4705"/>
    <cellStyle name="Normal 13 2 2 5 3 3 2" xfId="4706"/>
    <cellStyle name="Normal 13 2 2 5 3 4" xfId="4707"/>
    <cellStyle name="Normal 13 2 2 5 4" xfId="4708"/>
    <cellStyle name="Normal 13 2 2 5 4 2" xfId="4709"/>
    <cellStyle name="Normal 13 2 2 5 4 2 2" xfId="4710"/>
    <cellStyle name="Normal 13 2 2 5 4 3" xfId="4711"/>
    <cellStyle name="Normal 13 2 2 5 5" xfId="4712"/>
    <cellStyle name="Normal 13 2 2 5 5 2" xfId="4713"/>
    <cellStyle name="Normal 13 2 2 5 6" xfId="4714"/>
    <cellStyle name="Normal 13 2 2 6" xfId="4715"/>
    <cellStyle name="Normal 13 2 2 6 2" xfId="4716"/>
    <cellStyle name="Normal 13 2 2 6 2 2" xfId="4717"/>
    <cellStyle name="Normal 13 2 2 6 2 2 2" xfId="4718"/>
    <cellStyle name="Normal 13 2 2 6 2 3" xfId="4719"/>
    <cellStyle name="Normal 13 2 2 6 3" xfId="4720"/>
    <cellStyle name="Normal 13 2 2 6 3 2" xfId="4721"/>
    <cellStyle name="Normal 13 2 2 6 4" xfId="4722"/>
    <cellStyle name="Normal 13 2 2 7" xfId="4723"/>
    <cellStyle name="Normal 13 2 2 7 2" xfId="4724"/>
    <cellStyle name="Normal 13 2 2 7 2 2" xfId="4725"/>
    <cellStyle name="Normal 13 2 2 7 2 2 2" xfId="4726"/>
    <cellStyle name="Normal 13 2 2 7 2 3" xfId="4727"/>
    <cellStyle name="Normal 13 2 2 7 3" xfId="4728"/>
    <cellStyle name="Normal 13 2 2 7 3 2" xfId="4729"/>
    <cellStyle name="Normal 13 2 2 7 4" xfId="4730"/>
    <cellStyle name="Normal 13 2 2 8" xfId="4731"/>
    <cellStyle name="Normal 13 2 2 8 2" xfId="4732"/>
    <cellStyle name="Normal 13 2 2 8 2 2" xfId="4733"/>
    <cellStyle name="Normal 13 2 2 8 2 2 2" xfId="4734"/>
    <cellStyle name="Normal 13 2 2 8 2 3" xfId="4735"/>
    <cellStyle name="Normal 13 2 2 8 3" xfId="4736"/>
    <cellStyle name="Normal 13 2 2 8 3 2" xfId="4737"/>
    <cellStyle name="Normal 13 2 2 8 4" xfId="4738"/>
    <cellStyle name="Normal 13 2 2 9" xfId="4739"/>
    <cellStyle name="Normal 13 2 2 9 2" xfId="4740"/>
    <cellStyle name="Normal 13 2 2 9 2 2" xfId="4741"/>
    <cellStyle name="Normal 13 2 2 9 3" xfId="4742"/>
    <cellStyle name="Normal 13 2 3" xfId="4743"/>
    <cellStyle name="Normal 13 2 3 10" xfId="4744"/>
    <cellStyle name="Normal 13 2 3 2" xfId="4745"/>
    <cellStyle name="Normal 13 2 3 2 2" xfId="4746"/>
    <cellStyle name="Normal 13 2 3 2 2 2" xfId="4747"/>
    <cellStyle name="Normal 13 2 3 2 2 2 2" xfId="4748"/>
    <cellStyle name="Normal 13 2 3 2 2 2 2 2" xfId="4749"/>
    <cellStyle name="Normal 13 2 3 2 2 2 2 2 2" xfId="4750"/>
    <cellStyle name="Normal 13 2 3 2 2 2 2 2 2 2" xfId="4751"/>
    <cellStyle name="Normal 13 2 3 2 2 2 2 2 3" xfId="4752"/>
    <cellStyle name="Normal 13 2 3 2 2 2 2 3" xfId="4753"/>
    <cellStyle name="Normal 13 2 3 2 2 2 2 3 2" xfId="4754"/>
    <cellStyle name="Normal 13 2 3 2 2 2 2 4" xfId="4755"/>
    <cellStyle name="Normal 13 2 3 2 2 2 3" xfId="4756"/>
    <cellStyle name="Normal 13 2 3 2 2 2 3 2" xfId="4757"/>
    <cellStyle name="Normal 13 2 3 2 2 2 3 2 2" xfId="4758"/>
    <cellStyle name="Normal 13 2 3 2 2 2 3 2 2 2" xfId="4759"/>
    <cellStyle name="Normal 13 2 3 2 2 2 3 2 3" xfId="4760"/>
    <cellStyle name="Normal 13 2 3 2 2 2 3 3" xfId="4761"/>
    <cellStyle name="Normal 13 2 3 2 2 2 3 3 2" xfId="4762"/>
    <cellStyle name="Normal 13 2 3 2 2 2 3 4" xfId="4763"/>
    <cellStyle name="Normal 13 2 3 2 2 2 4" xfId="4764"/>
    <cellStyle name="Normal 13 2 3 2 2 2 4 2" xfId="4765"/>
    <cellStyle name="Normal 13 2 3 2 2 2 4 2 2" xfId="4766"/>
    <cellStyle name="Normal 13 2 3 2 2 2 4 3" xfId="4767"/>
    <cellStyle name="Normal 13 2 3 2 2 2 5" xfId="4768"/>
    <cellStyle name="Normal 13 2 3 2 2 2 5 2" xfId="4769"/>
    <cellStyle name="Normal 13 2 3 2 2 2 6" xfId="4770"/>
    <cellStyle name="Normal 13 2 3 2 2 3" xfId="4771"/>
    <cellStyle name="Normal 13 2 3 2 2 3 2" xfId="4772"/>
    <cellStyle name="Normal 13 2 3 2 2 3 2 2" xfId="4773"/>
    <cellStyle name="Normal 13 2 3 2 2 3 2 2 2" xfId="4774"/>
    <cellStyle name="Normal 13 2 3 2 2 3 2 3" xfId="4775"/>
    <cellStyle name="Normal 13 2 3 2 2 3 3" xfId="4776"/>
    <cellStyle name="Normal 13 2 3 2 2 3 3 2" xfId="4777"/>
    <cellStyle name="Normal 13 2 3 2 2 3 4" xfId="4778"/>
    <cellStyle name="Normal 13 2 3 2 2 4" xfId="4779"/>
    <cellStyle name="Normal 13 2 3 2 2 4 2" xfId="4780"/>
    <cellStyle name="Normal 13 2 3 2 2 4 2 2" xfId="4781"/>
    <cellStyle name="Normal 13 2 3 2 2 4 2 2 2" xfId="4782"/>
    <cellStyle name="Normal 13 2 3 2 2 4 2 3" xfId="4783"/>
    <cellStyle name="Normal 13 2 3 2 2 4 3" xfId="4784"/>
    <cellStyle name="Normal 13 2 3 2 2 4 3 2" xfId="4785"/>
    <cellStyle name="Normal 13 2 3 2 2 4 4" xfId="4786"/>
    <cellStyle name="Normal 13 2 3 2 2 5" xfId="4787"/>
    <cellStyle name="Normal 13 2 3 2 2 5 2" xfId="4788"/>
    <cellStyle name="Normal 13 2 3 2 2 5 2 2" xfId="4789"/>
    <cellStyle name="Normal 13 2 3 2 2 5 3" xfId="4790"/>
    <cellStyle name="Normal 13 2 3 2 2 6" xfId="4791"/>
    <cellStyle name="Normal 13 2 3 2 2 6 2" xfId="4792"/>
    <cellStyle name="Normal 13 2 3 2 2 7" xfId="4793"/>
    <cellStyle name="Normal 13 2 3 2 3" xfId="4794"/>
    <cellStyle name="Normal 13 2 3 2 3 2" xfId="4795"/>
    <cellStyle name="Normal 13 2 3 2 3 2 2" xfId="4796"/>
    <cellStyle name="Normal 13 2 3 2 3 2 2 2" xfId="4797"/>
    <cellStyle name="Normal 13 2 3 2 3 2 2 2 2" xfId="4798"/>
    <cellStyle name="Normal 13 2 3 2 3 2 2 3" xfId="4799"/>
    <cellStyle name="Normal 13 2 3 2 3 2 3" xfId="4800"/>
    <cellStyle name="Normal 13 2 3 2 3 2 3 2" xfId="4801"/>
    <cellStyle name="Normal 13 2 3 2 3 2 4" xfId="4802"/>
    <cellStyle name="Normal 13 2 3 2 3 3" xfId="4803"/>
    <cellStyle name="Normal 13 2 3 2 3 3 2" xfId="4804"/>
    <cellStyle name="Normal 13 2 3 2 3 3 2 2" xfId="4805"/>
    <cellStyle name="Normal 13 2 3 2 3 3 2 2 2" xfId="4806"/>
    <cellStyle name="Normal 13 2 3 2 3 3 2 3" xfId="4807"/>
    <cellStyle name="Normal 13 2 3 2 3 3 3" xfId="4808"/>
    <cellStyle name="Normal 13 2 3 2 3 3 3 2" xfId="4809"/>
    <cellStyle name="Normal 13 2 3 2 3 3 4" xfId="4810"/>
    <cellStyle name="Normal 13 2 3 2 3 4" xfId="4811"/>
    <cellStyle name="Normal 13 2 3 2 3 4 2" xfId="4812"/>
    <cellStyle name="Normal 13 2 3 2 3 4 2 2" xfId="4813"/>
    <cellStyle name="Normal 13 2 3 2 3 4 3" xfId="4814"/>
    <cellStyle name="Normal 13 2 3 2 3 5" xfId="4815"/>
    <cellStyle name="Normal 13 2 3 2 3 5 2" xfId="4816"/>
    <cellStyle name="Normal 13 2 3 2 3 6" xfId="4817"/>
    <cellStyle name="Normal 13 2 3 2 4" xfId="4818"/>
    <cellStyle name="Normal 13 2 3 2 4 2" xfId="4819"/>
    <cellStyle name="Normal 13 2 3 2 4 2 2" xfId="4820"/>
    <cellStyle name="Normal 13 2 3 2 4 2 2 2" xfId="4821"/>
    <cellStyle name="Normal 13 2 3 2 4 2 3" xfId="4822"/>
    <cellStyle name="Normal 13 2 3 2 4 3" xfId="4823"/>
    <cellStyle name="Normal 13 2 3 2 4 3 2" xfId="4824"/>
    <cellStyle name="Normal 13 2 3 2 4 4" xfId="4825"/>
    <cellStyle name="Normal 13 2 3 2 5" xfId="4826"/>
    <cellStyle name="Normal 13 2 3 2 5 2" xfId="4827"/>
    <cellStyle name="Normal 13 2 3 2 5 2 2" xfId="4828"/>
    <cellStyle name="Normal 13 2 3 2 5 2 2 2" xfId="4829"/>
    <cellStyle name="Normal 13 2 3 2 5 2 3" xfId="4830"/>
    <cellStyle name="Normal 13 2 3 2 5 3" xfId="4831"/>
    <cellStyle name="Normal 13 2 3 2 5 3 2" xfId="4832"/>
    <cellStyle name="Normal 13 2 3 2 5 4" xfId="4833"/>
    <cellStyle name="Normal 13 2 3 2 6" xfId="4834"/>
    <cellStyle name="Normal 13 2 3 2 6 2" xfId="4835"/>
    <cellStyle name="Normal 13 2 3 2 6 2 2" xfId="4836"/>
    <cellStyle name="Normal 13 2 3 2 6 2 2 2" xfId="4837"/>
    <cellStyle name="Normal 13 2 3 2 6 2 3" xfId="4838"/>
    <cellStyle name="Normal 13 2 3 2 6 3" xfId="4839"/>
    <cellStyle name="Normal 13 2 3 2 6 3 2" xfId="4840"/>
    <cellStyle name="Normal 13 2 3 2 6 4" xfId="4841"/>
    <cellStyle name="Normal 13 2 3 2 7" xfId="4842"/>
    <cellStyle name="Normal 13 2 3 2 7 2" xfId="4843"/>
    <cellStyle name="Normal 13 2 3 2 7 2 2" xfId="4844"/>
    <cellStyle name="Normal 13 2 3 2 7 3" xfId="4845"/>
    <cellStyle name="Normal 13 2 3 2 8" xfId="4846"/>
    <cellStyle name="Normal 13 2 3 2 8 2" xfId="4847"/>
    <cellStyle name="Normal 13 2 3 2 9" xfId="4848"/>
    <cellStyle name="Normal 13 2 3 3" xfId="4849"/>
    <cellStyle name="Normal 13 2 3 3 2" xfId="4850"/>
    <cellStyle name="Normal 13 2 3 3 2 2" xfId="4851"/>
    <cellStyle name="Normal 13 2 3 3 2 2 2" xfId="4852"/>
    <cellStyle name="Normal 13 2 3 3 2 2 2 2" xfId="4853"/>
    <cellStyle name="Normal 13 2 3 3 2 2 2 2 2" xfId="4854"/>
    <cellStyle name="Normal 13 2 3 3 2 2 2 3" xfId="4855"/>
    <cellStyle name="Normal 13 2 3 3 2 2 3" xfId="4856"/>
    <cellStyle name="Normal 13 2 3 3 2 2 3 2" xfId="4857"/>
    <cellStyle name="Normal 13 2 3 3 2 2 4" xfId="4858"/>
    <cellStyle name="Normal 13 2 3 3 2 3" xfId="4859"/>
    <cellStyle name="Normal 13 2 3 3 2 3 2" xfId="4860"/>
    <cellStyle name="Normal 13 2 3 3 2 3 2 2" xfId="4861"/>
    <cellStyle name="Normal 13 2 3 3 2 3 2 2 2" xfId="4862"/>
    <cellStyle name="Normal 13 2 3 3 2 3 2 3" xfId="4863"/>
    <cellStyle name="Normal 13 2 3 3 2 3 3" xfId="4864"/>
    <cellStyle name="Normal 13 2 3 3 2 3 3 2" xfId="4865"/>
    <cellStyle name="Normal 13 2 3 3 2 3 4" xfId="4866"/>
    <cellStyle name="Normal 13 2 3 3 2 4" xfId="4867"/>
    <cellStyle name="Normal 13 2 3 3 2 4 2" xfId="4868"/>
    <cellStyle name="Normal 13 2 3 3 2 4 2 2" xfId="4869"/>
    <cellStyle name="Normal 13 2 3 3 2 4 3" xfId="4870"/>
    <cellStyle name="Normal 13 2 3 3 2 5" xfId="4871"/>
    <cellStyle name="Normal 13 2 3 3 2 5 2" xfId="4872"/>
    <cellStyle name="Normal 13 2 3 3 2 6" xfId="4873"/>
    <cellStyle name="Normal 13 2 3 3 3" xfId="4874"/>
    <cellStyle name="Normal 13 2 3 3 3 2" xfId="4875"/>
    <cellStyle name="Normal 13 2 3 3 3 2 2" xfId="4876"/>
    <cellStyle name="Normal 13 2 3 3 3 2 2 2" xfId="4877"/>
    <cellStyle name="Normal 13 2 3 3 3 2 3" xfId="4878"/>
    <cellStyle name="Normal 13 2 3 3 3 3" xfId="4879"/>
    <cellStyle name="Normal 13 2 3 3 3 3 2" xfId="4880"/>
    <cellStyle name="Normal 13 2 3 3 3 4" xfId="4881"/>
    <cellStyle name="Normal 13 2 3 3 4" xfId="4882"/>
    <cellStyle name="Normal 13 2 3 3 4 2" xfId="4883"/>
    <cellStyle name="Normal 13 2 3 3 4 2 2" xfId="4884"/>
    <cellStyle name="Normal 13 2 3 3 4 2 2 2" xfId="4885"/>
    <cellStyle name="Normal 13 2 3 3 4 2 3" xfId="4886"/>
    <cellStyle name="Normal 13 2 3 3 4 3" xfId="4887"/>
    <cellStyle name="Normal 13 2 3 3 4 3 2" xfId="4888"/>
    <cellStyle name="Normal 13 2 3 3 4 4" xfId="4889"/>
    <cellStyle name="Normal 13 2 3 3 5" xfId="4890"/>
    <cellStyle name="Normal 13 2 3 3 5 2" xfId="4891"/>
    <cellStyle name="Normal 13 2 3 3 5 2 2" xfId="4892"/>
    <cellStyle name="Normal 13 2 3 3 5 3" xfId="4893"/>
    <cellStyle name="Normal 13 2 3 3 6" xfId="4894"/>
    <cellStyle name="Normal 13 2 3 3 6 2" xfId="4895"/>
    <cellStyle name="Normal 13 2 3 3 7" xfId="4896"/>
    <cellStyle name="Normal 13 2 3 4" xfId="4897"/>
    <cellStyle name="Normal 13 2 3 4 2" xfId="4898"/>
    <cellStyle name="Normal 13 2 3 4 2 2" xfId="4899"/>
    <cellStyle name="Normal 13 2 3 4 2 2 2" xfId="4900"/>
    <cellStyle name="Normal 13 2 3 4 2 2 2 2" xfId="4901"/>
    <cellStyle name="Normal 13 2 3 4 2 2 3" xfId="4902"/>
    <cellStyle name="Normal 13 2 3 4 2 3" xfId="4903"/>
    <cellStyle name="Normal 13 2 3 4 2 3 2" xfId="4904"/>
    <cellStyle name="Normal 13 2 3 4 2 4" xfId="4905"/>
    <cellStyle name="Normal 13 2 3 4 3" xfId="4906"/>
    <cellStyle name="Normal 13 2 3 4 3 2" xfId="4907"/>
    <cellStyle name="Normal 13 2 3 4 3 2 2" xfId="4908"/>
    <cellStyle name="Normal 13 2 3 4 3 2 2 2" xfId="4909"/>
    <cellStyle name="Normal 13 2 3 4 3 2 3" xfId="4910"/>
    <cellStyle name="Normal 13 2 3 4 3 3" xfId="4911"/>
    <cellStyle name="Normal 13 2 3 4 3 3 2" xfId="4912"/>
    <cellStyle name="Normal 13 2 3 4 3 4" xfId="4913"/>
    <cellStyle name="Normal 13 2 3 4 4" xfId="4914"/>
    <cellStyle name="Normal 13 2 3 4 4 2" xfId="4915"/>
    <cellStyle name="Normal 13 2 3 4 4 2 2" xfId="4916"/>
    <cellStyle name="Normal 13 2 3 4 4 3" xfId="4917"/>
    <cellStyle name="Normal 13 2 3 4 5" xfId="4918"/>
    <cellStyle name="Normal 13 2 3 4 5 2" xfId="4919"/>
    <cellStyle name="Normal 13 2 3 4 6" xfId="4920"/>
    <cellStyle name="Normal 13 2 3 5" xfId="4921"/>
    <cellStyle name="Normal 13 2 3 5 2" xfId="4922"/>
    <cellStyle name="Normal 13 2 3 5 2 2" xfId="4923"/>
    <cellStyle name="Normal 13 2 3 5 2 2 2" xfId="4924"/>
    <cellStyle name="Normal 13 2 3 5 2 3" xfId="4925"/>
    <cellStyle name="Normal 13 2 3 5 3" xfId="4926"/>
    <cellStyle name="Normal 13 2 3 5 3 2" xfId="4927"/>
    <cellStyle name="Normal 13 2 3 5 4" xfId="4928"/>
    <cellStyle name="Normal 13 2 3 6" xfId="4929"/>
    <cellStyle name="Normal 13 2 3 6 2" xfId="4930"/>
    <cellStyle name="Normal 13 2 3 6 2 2" xfId="4931"/>
    <cellStyle name="Normal 13 2 3 6 2 2 2" xfId="4932"/>
    <cellStyle name="Normal 13 2 3 6 2 3" xfId="4933"/>
    <cellStyle name="Normal 13 2 3 6 3" xfId="4934"/>
    <cellStyle name="Normal 13 2 3 6 3 2" xfId="4935"/>
    <cellStyle name="Normal 13 2 3 6 4" xfId="4936"/>
    <cellStyle name="Normal 13 2 3 7" xfId="4937"/>
    <cellStyle name="Normal 13 2 3 7 2" xfId="4938"/>
    <cellStyle name="Normal 13 2 3 7 2 2" xfId="4939"/>
    <cellStyle name="Normal 13 2 3 7 2 2 2" xfId="4940"/>
    <cellStyle name="Normal 13 2 3 7 2 3" xfId="4941"/>
    <cellStyle name="Normal 13 2 3 7 3" xfId="4942"/>
    <cellStyle name="Normal 13 2 3 7 3 2" xfId="4943"/>
    <cellStyle name="Normal 13 2 3 7 4" xfId="4944"/>
    <cellStyle name="Normal 13 2 3 8" xfId="4945"/>
    <cellStyle name="Normal 13 2 3 8 2" xfId="4946"/>
    <cellStyle name="Normal 13 2 3 8 2 2" xfId="4947"/>
    <cellStyle name="Normal 13 2 3 8 3" xfId="4948"/>
    <cellStyle name="Normal 13 2 3 9" xfId="4949"/>
    <cellStyle name="Normal 13 2 3 9 2" xfId="4950"/>
    <cellStyle name="Normal 13 2 4" xfId="4951"/>
    <cellStyle name="Normal 13 2 4 10" xfId="4952"/>
    <cellStyle name="Normal 13 2 4 2" xfId="4953"/>
    <cellStyle name="Normal 13 2 4 2 2" xfId="4954"/>
    <cellStyle name="Normal 13 2 4 2 2 2" xfId="4955"/>
    <cellStyle name="Normal 13 2 4 2 2 2 2" xfId="4956"/>
    <cellStyle name="Normal 13 2 4 2 2 2 2 2" xfId="4957"/>
    <cellStyle name="Normal 13 2 4 2 2 2 2 2 2" xfId="4958"/>
    <cellStyle name="Normal 13 2 4 2 2 2 2 2 2 2" xfId="4959"/>
    <cellStyle name="Normal 13 2 4 2 2 2 2 2 3" xfId="4960"/>
    <cellStyle name="Normal 13 2 4 2 2 2 2 3" xfId="4961"/>
    <cellStyle name="Normal 13 2 4 2 2 2 2 3 2" xfId="4962"/>
    <cellStyle name="Normal 13 2 4 2 2 2 2 4" xfId="4963"/>
    <cellStyle name="Normal 13 2 4 2 2 2 3" xfId="4964"/>
    <cellStyle name="Normal 13 2 4 2 2 2 3 2" xfId="4965"/>
    <cellStyle name="Normal 13 2 4 2 2 2 3 2 2" xfId="4966"/>
    <cellStyle name="Normal 13 2 4 2 2 2 3 2 2 2" xfId="4967"/>
    <cellStyle name="Normal 13 2 4 2 2 2 3 2 3" xfId="4968"/>
    <cellStyle name="Normal 13 2 4 2 2 2 3 3" xfId="4969"/>
    <cellStyle name="Normal 13 2 4 2 2 2 3 3 2" xfId="4970"/>
    <cellStyle name="Normal 13 2 4 2 2 2 3 4" xfId="4971"/>
    <cellStyle name="Normal 13 2 4 2 2 2 4" xfId="4972"/>
    <cellStyle name="Normal 13 2 4 2 2 2 4 2" xfId="4973"/>
    <cellStyle name="Normal 13 2 4 2 2 2 4 2 2" xfId="4974"/>
    <cellStyle name="Normal 13 2 4 2 2 2 4 3" xfId="4975"/>
    <cellStyle name="Normal 13 2 4 2 2 2 5" xfId="4976"/>
    <cellStyle name="Normal 13 2 4 2 2 2 5 2" xfId="4977"/>
    <cellStyle name="Normal 13 2 4 2 2 2 6" xfId="4978"/>
    <cellStyle name="Normal 13 2 4 2 2 3" xfId="4979"/>
    <cellStyle name="Normal 13 2 4 2 2 3 2" xfId="4980"/>
    <cellStyle name="Normal 13 2 4 2 2 3 2 2" xfId="4981"/>
    <cellStyle name="Normal 13 2 4 2 2 3 2 2 2" xfId="4982"/>
    <cellStyle name="Normal 13 2 4 2 2 3 2 3" xfId="4983"/>
    <cellStyle name="Normal 13 2 4 2 2 3 3" xfId="4984"/>
    <cellStyle name="Normal 13 2 4 2 2 3 3 2" xfId="4985"/>
    <cellStyle name="Normal 13 2 4 2 2 3 4" xfId="4986"/>
    <cellStyle name="Normal 13 2 4 2 2 4" xfId="4987"/>
    <cellStyle name="Normal 13 2 4 2 2 4 2" xfId="4988"/>
    <cellStyle name="Normal 13 2 4 2 2 4 2 2" xfId="4989"/>
    <cellStyle name="Normal 13 2 4 2 2 4 2 2 2" xfId="4990"/>
    <cellStyle name="Normal 13 2 4 2 2 4 2 3" xfId="4991"/>
    <cellStyle name="Normal 13 2 4 2 2 4 3" xfId="4992"/>
    <cellStyle name="Normal 13 2 4 2 2 4 3 2" xfId="4993"/>
    <cellStyle name="Normal 13 2 4 2 2 4 4" xfId="4994"/>
    <cellStyle name="Normal 13 2 4 2 2 5" xfId="4995"/>
    <cellStyle name="Normal 13 2 4 2 2 5 2" xfId="4996"/>
    <cellStyle name="Normal 13 2 4 2 2 5 2 2" xfId="4997"/>
    <cellStyle name="Normal 13 2 4 2 2 5 3" xfId="4998"/>
    <cellStyle name="Normal 13 2 4 2 2 6" xfId="4999"/>
    <cellStyle name="Normal 13 2 4 2 2 6 2" xfId="5000"/>
    <cellStyle name="Normal 13 2 4 2 2 7" xfId="5001"/>
    <cellStyle name="Normal 13 2 4 2 3" xfId="5002"/>
    <cellStyle name="Normal 13 2 4 2 3 2" xfId="5003"/>
    <cellStyle name="Normal 13 2 4 2 3 2 2" xfId="5004"/>
    <cellStyle name="Normal 13 2 4 2 3 2 2 2" xfId="5005"/>
    <cellStyle name="Normal 13 2 4 2 3 2 2 2 2" xfId="5006"/>
    <cellStyle name="Normal 13 2 4 2 3 2 2 3" xfId="5007"/>
    <cellStyle name="Normal 13 2 4 2 3 2 3" xfId="5008"/>
    <cellStyle name="Normal 13 2 4 2 3 2 3 2" xfId="5009"/>
    <cellStyle name="Normal 13 2 4 2 3 2 4" xfId="5010"/>
    <cellStyle name="Normal 13 2 4 2 3 3" xfId="5011"/>
    <cellStyle name="Normal 13 2 4 2 3 3 2" xfId="5012"/>
    <cellStyle name="Normal 13 2 4 2 3 3 2 2" xfId="5013"/>
    <cellStyle name="Normal 13 2 4 2 3 3 2 2 2" xfId="5014"/>
    <cellStyle name="Normal 13 2 4 2 3 3 2 3" xfId="5015"/>
    <cellStyle name="Normal 13 2 4 2 3 3 3" xfId="5016"/>
    <cellStyle name="Normal 13 2 4 2 3 3 3 2" xfId="5017"/>
    <cellStyle name="Normal 13 2 4 2 3 3 4" xfId="5018"/>
    <cellStyle name="Normal 13 2 4 2 3 4" xfId="5019"/>
    <cellStyle name="Normal 13 2 4 2 3 4 2" xfId="5020"/>
    <cellStyle name="Normal 13 2 4 2 3 4 2 2" xfId="5021"/>
    <cellStyle name="Normal 13 2 4 2 3 4 3" xfId="5022"/>
    <cellStyle name="Normal 13 2 4 2 3 5" xfId="5023"/>
    <cellStyle name="Normal 13 2 4 2 3 5 2" xfId="5024"/>
    <cellStyle name="Normal 13 2 4 2 3 6" xfId="5025"/>
    <cellStyle name="Normal 13 2 4 2 4" xfId="5026"/>
    <cellStyle name="Normal 13 2 4 2 4 2" xfId="5027"/>
    <cellStyle name="Normal 13 2 4 2 4 2 2" xfId="5028"/>
    <cellStyle name="Normal 13 2 4 2 4 2 2 2" xfId="5029"/>
    <cellStyle name="Normal 13 2 4 2 4 2 3" xfId="5030"/>
    <cellStyle name="Normal 13 2 4 2 4 3" xfId="5031"/>
    <cellStyle name="Normal 13 2 4 2 4 3 2" xfId="5032"/>
    <cellStyle name="Normal 13 2 4 2 4 4" xfId="5033"/>
    <cellStyle name="Normal 13 2 4 2 5" xfId="5034"/>
    <cellStyle name="Normal 13 2 4 2 5 2" xfId="5035"/>
    <cellStyle name="Normal 13 2 4 2 5 2 2" xfId="5036"/>
    <cellStyle name="Normal 13 2 4 2 5 2 2 2" xfId="5037"/>
    <cellStyle name="Normal 13 2 4 2 5 2 3" xfId="5038"/>
    <cellStyle name="Normal 13 2 4 2 5 3" xfId="5039"/>
    <cellStyle name="Normal 13 2 4 2 5 3 2" xfId="5040"/>
    <cellStyle name="Normal 13 2 4 2 5 4" xfId="5041"/>
    <cellStyle name="Normal 13 2 4 2 6" xfId="5042"/>
    <cellStyle name="Normal 13 2 4 2 6 2" xfId="5043"/>
    <cellStyle name="Normal 13 2 4 2 6 2 2" xfId="5044"/>
    <cellStyle name="Normal 13 2 4 2 6 2 2 2" xfId="5045"/>
    <cellStyle name="Normal 13 2 4 2 6 2 3" xfId="5046"/>
    <cellStyle name="Normal 13 2 4 2 6 3" xfId="5047"/>
    <cellStyle name="Normal 13 2 4 2 6 3 2" xfId="5048"/>
    <cellStyle name="Normal 13 2 4 2 6 4" xfId="5049"/>
    <cellStyle name="Normal 13 2 4 2 7" xfId="5050"/>
    <cellStyle name="Normal 13 2 4 2 7 2" xfId="5051"/>
    <cellStyle name="Normal 13 2 4 2 7 2 2" xfId="5052"/>
    <cellStyle name="Normal 13 2 4 2 7 3" xfId="5053"/>
    <cellStyle name="Normal 13 2 4 2 8" xfId="5054"/>
    <cellStyle name="Normal 13 2 4 2 8 2" xfId="5055"/>
    <cellStyle name="Normal 13 2 4 2 9" xfId="5056"/>
    <cellStyle name="Normal 13 2 4 3" xfId="5057"/>
    <cellStyle name="Normal 13 2 4 3 2" xfId="5058"/>
    <cellStyle name="Normal 13 2 4 3 2 2" xfId="5059"/>
    <cellStyle name="Normal 13 2 4 3 2 2 2" xfId="5060"/>
    <cellStyle name="Normal 13 2 4 3 2 2 2 2" xfId="5061"/>
    <cellStyle name="Normal 13 2 4 3 2 2 2 2 2" xfId="5062"/>
    <cellStyle name="Normal 13 2 4 3 2 2 2 3" xfId="5063"/>
    <cellStyle name="Normal 13 2 4 3 2 2 3" xfId="5064"/>
    <cellStyle name="Normal 13 2 4 3 2 2 3 2" xfId="5065"/>
    <cellStyle name="Normal 13 2 4 3 2 2 4" xfId="5066"/>
    <cellStyle name="Normal 13 2 4 3 2 3" xfId="5067"/>
    <cellStyle name="Normal 13 2 4 3 2 3 2" xfId="5068"/>
    <cellStyle name="Normal 13 2 4 3 2 3 2 2" xfId="5069"/>
    <cellStyle name="Normal 13 2 4 3 2 3 2 2 2" xfId="5070"/>
    <cellStyle name="Normal 13 2 4 3 2 3 2 3" xfId="5071"/>
    <cellStyle name="Normal 13 2 4 3 2 3 3" xfId="5072"/>
    <cellStyle name="Normal 13 2 4 3 2 3 3 2" xfId="5073"/>
    <cellStyle name="Normal 13 2 4 3 2 3 4" xfId="5074"/>
    <cellStyle name="Normal 13 2 4 3 2 4" xfId="5075"/>
    <cellStyle name="Normal 13 2 4 3 2 4 2" xfId="5076"/>
    <cellStyle name="Normal 13 2 4 3 2 4 2 2" xfId="5077"/>
    <cellStyle name="Normal 13 2 4 3 2 4 3" xfId="5078"/>
    <cellStyle name="Normal 13 2 4 3 2 5" xfId="5079"/>
    <cellStyle name="Normal 13 2 4 3 2 5 2" xfId="5080"/>
    <cellStyle name="Normal 13 2 4 3 2 6" xfId="5081"/>
    <cellStyle name="Normal 13 2 4 3 3" xfId="5082"/>
    <cellStyle name="Normal 13 2 4 3 3 2" xfId="5083"/>
    <cellStyle name="Normal 13 2 4 3 3 2 2" xfId="5084"/>
    <cellStyle name="Normal 13 2 4 3 3 2 2 2" xfId="5085"/>
    <cellStyle name="Normal 13 2 4 3 3 2 3" xfId="5086"/>
    <cellStyle name="Normal 13 2 4 3 3 3" xfId="5087"/>
    <cellStyle name="Normal 13 2 4 3 3 3 2" xfId="5088"/>
    <cellStyle name="Normal 13 2 4 3 3 4" xfId="5089"/>
    <cellStyle name="Normal 13 2 4 3 4" xfId="5090"/>
    <cellStyle name="Normal 13 2 4 3 4 2" xfId="5091"/>
    <cellStyle name="Normal 13 2 4 3 4 2 2" xfId="5092"/>
    <cellStyle name="Normal 13 2 4 3 4 2 2 2" xfId="5093"/>
    <cellStyle name="Normal 13 2 4 3 4 2 3" xfId="5094"/>
    <cellStyle name="Normal 13 2 4 3 4 3" xfId="5095"/>
    <cellStyle name="Normal 13 2 4 3 4 3 2" xfId="5096"/>
    <cellStyle name="Normal 13 2 4 3 4 4" xfId="5097"/>
    <cellStyle name="Normal 13 2 4 3 5" xfId="5098"/>
    <cellStyle name="Normal 13 2 4 3 5 2" xfId="5099"/>
    <cellStyle name="Normal 13 2 4 3 5 2 2" xfId="5100"/>
    <cellStyle name="Normal 13 2 4 3 5 3" xfId="5101"/>
    <cellStyle name="Normal 13 2 4 3 6" xfId="5102"/>
    <cellStyle name="Normal 13 2 4 3 6 2" xfId="5103"/>
    <cellStyle name="Normal 13 2 4 3 7" xfId="5104"/>
    <cellStyle name="Normal 13 2 4 4" xfId="5105"/>
    <cellStyle name="Normal 13 2 4 4 2" xfId="5106"/>
    <cellStyle name="Normal 13 2 4 4 2 2" xfId="5107"/>
    <cellStyle name="Normal 13 2 4 4 2 2 2" xfId="5108"/>
    <cellStyle name="Normal 13 2 4 4 2 2 2 2" xfId="5109"/>
    <cellStyle name="Normal 13 2 4 4 2 2 3" xfId="5110"/>
    <cellStyle name="Normal 13 2 4 4 2 3" xfId="5111"/>
    <cellStyle name="Normal 13 2 4 4 2 3 2" xfId="5112"/>
    <cellStyle name="Normal 13 2 4 4 2 4" xfId="5113"/>
    <cellStyle name="Normal 13 2 4 4 3" xfId="5114"/>
    <cellStyle name="Normal 13 2 4 4 3 2" xfId="5115"/>
    <cellStyle name="Normal 13 2 4 4 3 2 2" xfId="5116"/>
    <cellStyle name="Normal 13 2 4 4 3 2 2 2" xfId="5117"/>
    <cellStyle name="Normal 13 2 4 4 3 2 3" xfId="5118"/>
    <cellStyle name="Normal 13 2 4 4 3 3" xfId="5119"/>
    <cellStyle name="Normal 13 2 4 4 3 3 2" xfId="5120"/>
    <cellStyle name="Normal 13 2 4 4 3 4" xfId="5121"/>
    <cellStyle name="Normal 13 2 4 4 4" xfId="5122"/>
    <cellStyle name="Normal 13 2 4 4 4 2" xfId="5123"/>
    <cellStyle name="Normal 13 2 4 4 4 2 2" xfId="5124"/>
    <cellStyle name="Normal 13 2 4 4 4 3" xfId="5125"/>
    <cellStyle name="Normal 13 2 4 4 5" xfId="5126"/>
    <cellStyle name="Normal 13 2 4 4 5 2" xfId="5127"/>
    <cellStyle name="Normal 13 2 4 4 6" xfId="5128"/>
    <cellStyle name="Normal 13 2 4 5" xfId="5129"/>
    <cellStyle name="Normal 13 2 4 5 2" xfId="5130"/>
    <cellStyle name="Normal 13 2 4 5 2 2" xfId="5131"/>
    <cellStyle name="Normal 13 2 4 5 2 2 2" xfId="5132"/>
    <cellStyle name="Normal 13 2 4 5 2 3" xfId="5133"/>
    <cellStyle name="Normal 13 2 4 5 3" xfId="5134"/>
    <cellStyle name="Normal 13 2 4 5 3 2" xfId="5135"/>
    <cellStyle name="Normal 13 2 4 5 4" xfId="5136"/>
    <cellStyle name="Normal 13 2 4 6" xfId="5137"/>
    <cellStyle name="Normal 13 2 4 6 2" xfId="5138"/>
    <cellStyle name="Normal 13 2 4 6 2 2" xfId="5139"/>
    <cellStyle name="Normal 13 2 4 6 2 2 2" xfId="5140"/>
    <cellStyle name="Normal 13 2 4 6 2 3" xfId="5141"/>
    <cellStyle name="Normal 13 2 4 6 3" xfId="5142"/>
    <cellStyle name="Normal 13 2 4 6 3 2" xfId="5143"/>
    <cellStyle name="Normal 13 2 4 6 4" xfId="5144"/>
    <cellStyle name="Normal 13 2 4 7" xfId="5145"/>
    <cellStyle name="Normal 13 2 4 7 2" xfId="5146"/>
    <cellStyle name="Normal 13 2 4 7 2 2" xfId="5147"/>
    <cellStyle name="Normal 13 2 4 7 2 2 2" xfId="5148"/>
    <cellStyle name="Normal 13 2 4 7 2 3" xfId="5149"/>
    <cellStyle name="Normal 13 2 4 7 3" xfId="5150"/>
    <cellStyle name="Normal 13 2 4 7 3 2" xfId="5151"/>
    <cellStyle name="Normal 13 2 4 7 4" xfId="5152"/>
    <cellStyle name="Normal 13 2 4 8" xfId="5153"/>
    <cellStyle name="Normal 13 2 4 8 2" xfId="5154"/>
    <cellStyle name="Normal 13 2 4 8 2 2" xfId="5155"/>
    <cellStyle name="Normal 13 2 4 8 3" xfId="5156"/>
    <cellStyle name="Normal 13 2 4 9" xfId="5157"/>
    <cellStyle name="Normal 13 2 4 9 2" xfId="5158"/>
    <cellStyle name="Normal 13 2 5" xfId="5159"/>
    <cellStyle name="Normal 13 2 5 2" xfId="5160"/>
    <cellStyle name="Normal 13 2 5 2 2" xfId="5161"/>
    <cellStyle name="Normal 13 2 5 2 2 2" xfId="5162"/>
    <cellStyle name="Normal 13 2 5 2 2 2 2" xfId="5163"/>
    <cellStyle name="Normal 13 2 5 2 2 2 2 2" xfId="5164"/>
    <cellStyle name="Normal 13 2 5 2 2 2 2 2 2" xfId="5165"/>
    <cellStyle name="Normal 13 2 5 2 2 2 2 3" xfId="5166"/>
    <cellStyle name="Normal 13 2 5 2 2 2 3" xfId="5167"/>
    <cellStyle name="Normal 13 2 5 2 2 2 3 2" xfId="5168"/>
    <cellStyle name="Normal 13 2 5 2 2 2 4" xfId="5169"/>
    <cellStyle name="Normal 13 2 5 2 2 3" xfId="5170"/>
    <cellStyle name="Normal 13 2 5 2 2 3 2" xfId="5171"/>
    <cellStyle name="Normal 13 2 5 2 2 3 2 2" xfId="5172"/>
    <cellStyle name="Normal 13 2 5 2 2 3 2 2 2" xfId="5173"/>
    <cellStyle name="Normal 13 2 5 2 2 3 2 3" xfId="5174"/>
    <cellStyle name="Normal 13 2 5 2 2 3 3" xfId="5175"/>
    <cellStyle name="Normal 13 2 5 2 2 3 3 2" xfId="5176"/>
    <cellStyle name="Normal 13 2 5 2 2 3 4" xfId="5177"/>
    <cellStyle name="Normal 13 2 5 2 2 4" xfId="5178"/>
    <cellStyle name="Normal 13 2 5 2 2 4 2" xfId="5179"/>
    <cellStyle name="Normal 13 2 5 2 2 4 2 2" xfId="5180"/>
    <cellStyle name="Normal 13 2 5 2 2 4 3" xfId="5181"/>
    <cellStyle name="Normal 13 2 5 2 2 5" xfId="5182"/>
    <cellStyle name="Normal 13 2 5 2 2 5 2" xfId="5183"/>
    <cellStyle name="Normal 13 2 5 2 2 6" xfId="5184"/>
    <cellStyle name="Normal 13 2 5 2 3" xfId="5185"/>
    <cellStyle name="Normal 13 2 5 2 3 2" xfId="5186"/>
    <cellStyle name="Normal 13 2 5 2 3 2 2" xfId="5187"/>
    <cellStyle name="Normal 13 2 5 2 3 2 2 2" xfId="5188"/>
    <cellStyle name="Normal 13 2 5 2 3 2 3" xfId="5189"/>
    <cellStyle name="Normal 13 2 5 2 3 3" xfId="5190"/>
    <cellStyle name="Normal 13 2 5 2 3 3 2" xfId="5191"/>
    <cellStyle name="Normal 13 2 5 2 3 4" xfId="5192"/>
    <cellStyle name="Normal 13 2 5 2 4" xfId="5193"/>
    <cellStyle name="Normal 13 2 5 2 4 2" xfId="5194"/>
    <cellStyle name="Normal 13 2 5 2 4 2 2" xfId="5195"/>
    <cellStyle name="Normal 13 2 5 2 4 2 2 2" xfId="5196"/>
    <cellStyle name="Normal 13 2 5 2 4 2 3" xfId="5197"/>
    <cellStyle name="Normal 13 2 5 2 4 3" xfId="5198"/>
    <cellStyle name="Normal 13 2 5 2 4 3 2" xfId="5199"/>
    <cellStyle name="Normal 13 2 5 2 4 4" xfId="5200"/>
    <cellStyle name="Normal 13 2 5 2 5" xfId="5201"/>
    <cellStyle name="Normal 13 2 5 2 5 2" xfId="5202"/>
    <cellStyle name="Normal 13 2 5 2 5 2 2" xfId="5203"/>
    <cellStyle name="Normal 13 2 5 2 5 3" xfId="5204"/>
    <cellStyle name="Normal 13 2 5 2 6" xfId="5205"/>
    <cellStyle name="Normal 13 2 5 2 6 2" xfId="5206"/>
    <cellStyle name="Normal 13 2 5 2 7" xfId="5207"/>
    <cellStyle name="Normal 13 2 5 3" xfId="5208"/>
    <cellStyle name="Normal 13 2 5 3 2" xfId="5209"/>
    <cellStyle name="Normal 13 2 5 3 2 2" xfId="5210"/>
    <cellStyle name="Normal 13 2 5 3 2 2 2" xfId="5211"/>
    <cellStyle name="Normal 13 2 5 3 2 2 2 2" xfId="5212"/>
    <cellStyle name="Normal 13 2 5 3 2 2 3" xfId="5213"/>
    <cellStyle name="Normal 13 2 5 3 2 3" xfId="5214"/>
    <cellStyle name="Normal 13 2 5 3 2 3 2" xfId="5215"/>
    <cellStyle name="Normal 13 2 5 3 2 4" xfId="5216"/>
    <cellStyle name="Normal 13 2 5 3 3" xfId="5217"/>
    <cellStyle name="Normal 13 2 5 3 3 2" xfId="5218"/>
    <cellStyle name="Normal 13 2 5 3 3 2 2" xfId="5219"/>
    <cellStyle name="Normal 13 2 5 3 3 2 2 2" xfId="5220"/>
    <cellStyle name="Normal 13 2 5 3 3 2 3" xfId="5221"/>
    <cellStyle name="Normal 13 2 5 3 3 3" xfId="5222"/>
    <cellStyle name="Normal 13 2 5 3 3 3 2" xfId="5223"/>
    <cellStyle name="Normal 13 2 5 3 3 4" xfId="5224"/>
    <cellStyle name="Normal 13 2 5 3 4" xfId="5225"/>
    <cellStyle name="Normal 13 2 5 3 4 2" xfId="5226"/>
    <cellStyle name="Normal 13 2 5 3 4 2 2" xfId="5227"/>
    <cellStyle name="Normal 13 2 5 3 4 3" xfId="5228"/>
    <cellStyle name="Normal 13 2 5 3 5" xfId="5229"/>
    <cellStyle name="Normal 13 2 5 3 5 2" xfId="5230"/>
    <cellStyle name="Normal 13 2 5 3 6" xfId="5231"/>
    <cellStyle name="Normal 13 2 5 4" xfId="5232"/>
    <cellStyle name="Normal 13 2 5 4 2" xfId="5233"/>
    <cellStyle name="Normal 13 2 5 4 2 2" xfId="5234"/>
    <cellStyle name="Normal 13 2 5 4 2 2 2" xfId="5235"/>
    <cellStyle name="Normal 13 2 5 4 2 3" xfId="5236"/>
    <cellStyle name="Normal 13 2 5 4 3" xfId="5237"/>
    <cellStyle name="Normal 13 2 5 4 3 2" xfId="5238"/>
    <cellStyle name="Normal 13 2 5 4 4" xfId="5239"/>
    <cellStyle name="Normal 13 2 5 5" xfId="5240"/>
    <cellStyle name="Normal 13 2 5 5 2" xfId="5241"/>
    <cellStyle name="Normal 13 2 5 5 2 2" xfId="5242"/>
    <cellStyle name="Normal 13 2 5 5 2 2 2" xfId="5243"/>
    <cellStyle name="Normal 13 2 5 5 2 3" xfId="5244"/>
    <cellStyle name="Normal 13 2 5 5 3" xfId="5245"/>
    <cellStyle name="Normal 13 2 5 5 3 2" xfId="5246"/>
    <cellStyle name="Normal 13 2 5 5 4" xfId="5247"/>
    <cellStyle name="Normal 13 2 5 6" xfId="5248"/>
    <cellStyle name="Normal 13 2 5 6 2" xfId="5249"/>
    <cellStyle name="Normal 13 2 5 6 2 2" xfId="5250"/>
    <cellStyle name="Normal 13 2 5 6 2 2 2" xfId="5251"/>
    <cellStyle name="Normal 13 2 5 6 2 3" xfId="5252"/>
    <cellStyle name="Normal 13 2 5 6 3" xfId="5253"/>
    <cellStyle name="Normal 13 2 5 6 3 2" xfId="5254"/>
    <cellStyle name="Normal 13 2 5 6 4" xfId="5255"/>
    <cellStyle name="Normal 13 2 5 7" xfId="5256"/>
    <cellStyle name="Normal 13 2 5 7 2" xfId="5257"/>
    <cellStyle name="Normal 13 2 5 7 2 2" xfId="5258"/>
    <cellStyle name="Normal 13 2 5 7 3" xfId="5259"/>
    <cellStyle name="Normal 13 2 5 8" xfId="5260"/>
    <cellStyle name="Normal 13 2 5 8 2" xfId="5261"/>
    <cellStyle name="Normal 13 2 5 9" xfId="5262"/>
    <cellStyle name="Normal 13 2 6" xfId="5263"/>
    <cellStyle name="Normal 13 2 6 2" xfId="5264"/>
    <cellStyle name="Normal 13 2 6 2 2" xfId="5265"/>
    <cellStyle name="Normal 13 2 6 2 2 2" xfId="5266"/>
    <cellStyle name="Normal 13 2 6 2 2 2 2" xfId="5267"/>
    <cellStyle name="Normal 13 2 6 2 2 2 2 2" xfId="5268"/>
    <cellStyle name="Normal 13 2 6 2 2 2 3" xfId="5269"/>
    <cellStyle name="Normal 13 2 6 2 2 3" xfId="5270"/>
    <cellStyle name="Normal 13 2 6 2 2 3 2" xfId="5271"/>
    <cellStyle name="Normal 13 2 6 2 2 4" xfId="5272"/>
    <cellStyle name="Normal 13 2 6 2 3" xfId="5273"/>
    <cellStyle name="Normal 13 2 6 2 3 2" xfId="5274"/>
    <cellStyle name="Normal 13 2 6 2 3 2 2" xfId="5275"/>
    <cellStyle name="Normal 13 2 6 2 3 2 2 2" xfId="5276"/>
    <cellStyle name="Normal 13 2 6 2 3 2 3" xfId="5277"/>
    <cellStyle name="Normal 13 2 6 2 3 3" xfId="5278"/>
    <cellStyle name="Normal 13 2 6 2 3 3 2" xfId="5279"/>
    <cellStyle name="Normal 13 2 6 2 3 4" xfId="5280"/>
    <cellStyle name="Normal 13 2 6 2 4" xfId="5281"/>
    <cellStyle name="Normal 13 2 6 2 4 2" xfId="5282"/>
    <cellStyle name="Normal 13 2 6 2 4 2 2" xfId="5283"/>
    <cellStyle name="Normal 13 2 6 2 4 3" xfId="5284"/>
    <cellStyle name="Normal 13 2 6 2 5" xfId="5285"/>
    <cellStyle name="Normal 13 2 6 2 5 2" xfId="5286"/>
    <cellStyle name="Normal 13 2 6 2 6" xfId="5287"/>
    <cellStyle name="Normal 13 2 6 3" xfId="5288"/>
    <cellStyle name="Normal 13 2 6 3 2" xfId="5289"/>
    <cellStyle name="Normal 13 2 6 3 2 2" xfId="5290"/>
    <cellStyle name="Normal 13 2 6 3 2 2 2" xfId="5291"/>
    <cellStyle name="Normal 13 2 6 3 2 3" xfId="5292"/>
    <cellStyle name="Normal 13 2 6 3 3" xfId="5293"/>
    <cellStyle name="Normal 13 2 6 3 3 2" xfId="5294"/>
    <cellStyle name="Normal 13 2 6 3 4" xfId="5295"/>
    <cellStyle name="Normal 13 2 6 4" xfId="5296"/>
    <cellStyle name="Normal 13 2 6 4 2" xfId="5297"/>
    <cellStyle name="Normal 13 2 6 4 2 2" xfId="5298"/>
    <cellStyle name="Normal 13 2 6 4 2 2 2" xfId="5299"/>
    <cellStyle name="Normal 13 2 6 4 2 3" xfId="5300"/>
    <cellStyle name="Normal 13 2 6 4 3" xfId="5301"/>
    <cellStyle name="Normal 13 2 6 4 3 2" xfId="5302"/>
    <cellStyle name="Normal 13 2 6 4 4" xfId="5303"/>
    <cellStyle name="Normal 13 2 6 5" xfId="5304"/>
    <cellStyle name="Normal 13 2 6 5 2" xfId="5305"/>
    <cellStyle name="Normal 13 2 6 5 2 2" xfId="5306"/>
    <cellStyle name="Normal 13 2 6 5 3" xfId="5307"/>
    <cellStyle name="Normal 13 2 6 6" xfId="5308"/>
    <cellStyle name="Normal 13 2 6 6 2" xfId="5309"/>
    <cellStyle name="Normal 13 2 6 7" xfId="5310"/>
    <cellStyle name="Normal 13 2 7" xfId="5311"/>
    <cellStyle name="Normal 13 2 7 2" xfId="5312"/>
    <cellStyle name="Normal 13 2 7 2 2" xfId="5313"/>
    <cellStyle name="Normal 13 2 7 2 2 2" xfId="5314"/>
    <cellStyle name="Normal 13 2 7 2 2 2 2" xfId="5315"/>
    <cellStyle name="Normal 13 2 7 2 2 3" xfId="5316"/>
    <cellStyle name="Normal 13 2 7 2 3" xfId="5317"/>
    <cellStyle name="Normal 13 2 7 2 3 2" xfId="5318"/>
    <cellStyle name="Normal 13 2 7 2 4" xfId="5319"/>
    <cellStyle name="Normal 13 2 7 3" xfId="5320"/>
    <cellStyle name="Normal 13 2 7 3 2" xfId="5321"/>
    <cellStyle name="Normal 13 2 7 3 2 2" xfId="5322"/>
    <cellStyle name="Normal 13 2 7 3 2 2 2" xfId="5323"/>
    <cellStyle name="Normal 13 2 7 3 2 3" xfId="5324"/>
    <cellStyle name="Normal 13 2 7 3 3" xfId="5325"/>
    <cellStyle name="Normal 13 2 7 3 3 2" xfId="5326"/>
    <cellStyle name="Normal 13 2 7 3 4" xfId="5327"/>
    <cellStyle name="Normal 13 2 7 4" xfId="5328"/>
    <cellStyle name="Normal 13 2 7 4 2" xfId="5329"/>
    <cellStyle name="Normal 13 2 7 4 2 2" xfId="5330"/>
    <cellStyle name="Normal 13 2 7 4 3" xfId="5331"/>
    <cellStyle name="Normal 13 2 7 5" xfId="5332"/>
    <cellStyle name="Normal 13 2 7 5 2" xfId="5333"/>
    <cellStyle name="Normal 13 2 7 6" xfId="5334"/>
    <cellStyle name="Normal 13 2 8" xfId="5335"/>
    <cellStyle name="Normal 13 2 8 2" xfId="5336"/>
    <cellStyle name="Normal 13 2 8 2 2" xfId="5337"/>
    <cellStyle name="Normal 13 2 8 2 2 2" xfId="5338"/>
    <cellStyle name="Normal 13 2 8 2 3" xfId="5339"/>
    <cellStyle name="Normal 13 2 8 3" xfId="5340"/>
    <cellStyle name="Normal 13 2 8 3 2" xfId="5341"/>
    <cellStyle name="Normal 13 2 8 4" xfId="5342"/>
    <cellStyle name="Normal 13 2 9" xfId="5343"/>
    <cellStyle name="Normal 13 2 9 2" xfId="5344"/>
    <cellStyle name="Normal 13 2 9 2 2" xfId="5345"/>
    <cellStyle name="Normal 13 2 9 2 2 2" xfId="5346"/>
    <cellStyle name="Normal 13 2 9 2 3" xfId="5347"/>
    <cellStyle name="Normal 13 2 9 3" xfId="5348"/>
    <cellStyle name="Normal 13 2 9 3 2" xfId="5349"/>
    <cellStyle name="Normal 13 2 9 4" xfId="5350"/>
    <cellStyle name="Normal 13 3" xfId="5351"/>
    <cellStyle name="Normal 13 3 10" xfId="5352"/>
    <cellStyle name="Normal 13 3 10 2" xfId="5353"/>
    <cellStyle name="Normal 13 3 11" xfId="5354"/>
    <cellStyle name="Normal 13 3 2" xfId="5355"/>
    <cellStyle name="Normal 13 3 2 10" xfId="5356"/>
    <cellStyle name="Normal 13 3 2 2" xfId="5357"/>
    <cellStyle name="Normal 13 3 2 2 2" xfId="5358"/>
    <cellStyle name="Normal 13 3 2 2 2 2" xfId="5359"/>
    <cellStyle name="Normal 13 3 2 2 2 2 2" xfId="5360"/>
    <cellStyle name="Normal 13 3 2 2 2 2 2 2" xfId="5361"/>
    <cellStyle name="Normal 13 3 2 2 2 2 2 2 2" xfId="5362"/>
    <cellStyle name="Normal 13 3 2 2 2 2 2 2 2 2" xfId="5363"/>
    <cellStyle name="Normal 13 3 2 2 2 2 2 2 3" xfId="5364"/>
    <cellStyle name="Normal 13 3 2 2 2 2 2 3" xfId="5365"/>
    <cellStyle name="Normal 13 3 2 2 2 2 2 3 2" xfId="5366"/>
    <cellStyle name="Normal 13 3 2 2 2 2 2 4" xfId="5367"/>
    <cellStyle name="Normal 13 3 2 2 2 2 3" xfId="5368"/>
    <cellStyle name="Normal 13 3 2 2 2 2 3 2" xfId="5369"/>
    <cellStyle name="Normal 13 3 2 2 2 2 3 2 2" xfId="5370"/>
    <cellStyle name="Normal 13 3 2 2 2 2 3 2 2 2" xfId="5371"/>
    <cellStyle name="Normal 13 3 2 2 2 2 3 2 3" xfId="5372"/>
    <cellStyle name="Normal 13 3 2 2 2 2 3 3" xfId="5373"/>
    <cellStyle name="Normal 13 3 2 2 2 2 3 3 2" xfId="5374"/>
    <cellStyle name="Normal 13 3 2 2 2 2 3 4" xfId="5375"/>
    <cellStyle name="Normal 13 3 2 2 2 2 4" xfId="5376"/>
    <cellStyle name="Normal 13 3 2 2 2 2 4 2" xfId="5377"/>
    <cellStyle name="Normal 13 3 2 2 2 2 4 2 2" xfId="5378"/>
    <cellStyle name="Normal 13 3 2 2 2 2 4 3" xfId="5379"/>
    <cellStyle name="Normal 13 3 2 2 2 2 5" xfId="5380"/>
    <cellStyle name="Normal 13 3 2 2 2 2 5 2" xfId="5381"/>
    <cellStyle name="Normal 13 3 2 2 2 2 6" xfId="5382"/>
    <cellStyle name="Normal 13 3 2 2 2 3" xfId="5383"/>
    <cellStyle name="Normal 13 3 2 2 2 3 2" xfId="5384"/>
    <cellStyle name="Normal 13 3 2 2 2 3 2 2" xfId="5385"/>
    <cellStyle name="Normal 13 3 2 2 2 3 2 2 2" xfId="5386"/>
    <cellStyle name="Normal 13 3 2 2 2 3 2 3" xfId="5387"/>
    <cellStyle name="Normal 13 3 2 2 2 3 3" xfId="5388"/>
    <cellStyle name="Normal 13 3 2 2 2 3 3 2" xfId="5389"/>
    <cellStyle name="Normal 13 3 2 2 2 3 4" xfId="5390"/>
    <cellStyle name="Normal 13 3 2 2 2 4" xfId="5391"/>
    <cellStyle name="Normal 13 3 2 2 2 4 2" xfId="5392"/>
    <cellStyle name="Normal 13 3 2 2 2 4 2 2" xfId="5393"/>
    <cellStyle name="Normal 13 3 2 2 2 4 2 2 2" xfId="5394"/>
    <cellStyle name="Normal 13 3 2 2 2 4 2 3" xfId="5395"/>
    <cellStyle name="Normal 13 3 2 2 2 4 3" xfId="5396"/>
    <cellStyle name="Normal 13 3 2 2 2 4 3 2" xfId="5397"/>
    <cellStyle name="Normal 13 3 2 2 2 4 4" xfId="5398"/>
    <cellStyle name="Normal 13 3 2 2 2 5" xfId="5399"/>
    <cellStyle name="Normal 13 3 2 2 2 5 2" xfId="5400"/>
    <cellStyle name="Normal 13 3 2 2 2 5 2 2" xfId="5401"/>
    <cellStyle name="Normal 13 3 2 2 2 5 3" xfId="5402"/>
    <cellStyle name="Normal 13 3 2 2 2 6" xfId="5403"/>
    <cellStyle name="Normal 13 3 2 2 2 6 2" xfId="5404"/>
    <cellStyle name="Normal 13 3 2 2 2 7" xfId="5405"/>
    <cellStyle name="Normal 13 3 2 2 3" xfId="5406"/>
    <cellStyle name="Normal 13 3 2 2 3 2" xfId="5407"/>
    <cellStyle name="Normal 13 3 2 2 3 2 2" xfId="5408"/>
    <cellStyle name="Normal 13 3 2 2 3 2 2 2" xfId="5409"/>
    <cellStyle name="Normal 13 3 2 2 3 2 2 2 2" xfId="5410"/>
    <cellStyle name="Normal 13 3 2 2 3 2 2 3" xfId="5411"/>
    <cellStyle name="Normal 13 3 2 2 3 2 3" xfId="5412"/>
    <cellStyle name="Normal 13 3 2 2 3 2 3 2" xfId="5413"/>
    <cellStyle name="Normal 13 3 2 2 3 2 4" xfId="5414"/>
    <cellStyle name="Normal 13 3 2 2 3 3" xfId="5415"/>
    <cellStyle name="Normal 13 3 2 2 3 3 2" xfId="5416"/>
    <cellStyle name="Normal 13 3 2 2 3 3 2 2" xfId="5417"/>
    <cellStyle name="Normal 13 3 2 2 3 3 2 2 2" xfId="5418"/>
    <cellStyle name="Normal 13 3 2 2 3 3 2 3" xfId="5419"/>
    <cellStyle name="Normal 13 3 2 2 3 3 3" xfId="5420"/>
    <cellStyle name="Normal 13 3 2 2 3 3 3 2" xfId="5421"/>
    <cellStyle name="Normal 13 3 2 2 3 3 4" xfId="5422"/>
    <cellStyle name="Normal 13 3 2 2 3 4" xfId="5423"/>
    <cellStyle name="Normal 13 3 2 2 3 4 2" xfId="5424"/>
    <cellStyle name="Normal 13 3 2 2 3 4 2 2" xfId="5425"/>
    <cellStyle name="Normal 13 3 2 2 3 4 3" xfId="5426"/>
    <cellStyle name="Normal 13 3 2 2 3 5" xfId="5427"/>
    <cellStyle name="Normal 13 3 2 2 3 5 2" xfId="5428"/>
    <cellStyle name="Normal 13 3 2 2 3 6" xfId="5429"/>
    <cellStyle name="Normal 13 3 2 2 4" xfId="5430"/>
    <cellStyle name="Normal 13 3 2 2 4 2" xfId="5431"/>
    <cellStyle name="Normal 13 3 2 2 4 2 2" xfId="5432"/>
    <cellStyle name="Normal 13 3 2 2 4 2 2 2" xfId="5433"/>
    <cellStyle name="Normal 13 3 2 2 4 2 3" xfId="5434"/>
    <cellStyle name="Normal 13 3 2 2 4 3" xfId="5435"/>
    <cellStyle name="Normal 13 3 2 2 4 3 2" xfId="5436"/>
    <cellStyle name="Normal 13 3 2 2 4 4" xfId="5437"/>
    <cellStyle name="Normal 13 3 2 2 5" xfId="5438"/>
    <cellStyle name="Normal 13 3 2 2 5 2" xfId="5439"/>
    <cellStyle name="Normal 13 3 2 2 5 2 2" xfId="5440"/>
    <cellStyle name="Normal 13 3 2 2 5 2 2 2" xfId="5441"/>
    <cellStyle name="Normal 13 3 2 2 5 2 3" xfId="5442"/>
    <cellStyle name="Normal 13 3 2 2 5 3" xfId="5443"/>
    <cellStyle name="Normal 13 3 2 2 5 3 2" xfId="5444"/>
    <cellStyle name="Normal 13 3 2 2 5 4" xfId="5445"/>
    <cellStyle name="Normal 13 3 2 2 6" xfId="5446"/>
    <cellStyle name="Normal 13 3 2 2 6 2" xfId="5447"/>
    <cellStyle name="Normal 13 3 2 2 6 2 2" xfId="5448"/>
    <cellStyle name="Normal 13 3 2 2 6 2 2 2" xfId="5449"/>
    <cellStyle name="Normal 13 3 2 2 6 2 3" xfId="5450"/>
    <cellStyle name="Normal 13 3 2 2 6 3" xfId="5451"/>
    <cellStyle name="Normal 13 3 2 2 6 3 2" xfId="5452"/>
    <cellStyle name="Normal 13 3 2 2 6 4" xfId="5453"/>
    <cellStyle name="Normal 13 3 2 2 7" xfId="5454"/>
    <cellStyle name="Normal 13 3 2 2 7 2" xfId="5455"/>
    <cellStyle name="Normal 13 3 2 2 7 2 2" xfId="5456"/>
    <cellStyle name="Normal 13 3 2 2 7 3" xfId="5457"/>
    <cellStyle name="Normal 13 3 2 2 8" xfId="5458"/>
    <cellStyle name="Normal 13 3 2 2 8 2" xfId="5459"/>
    <cellStyle name="Normal 13 3 2 2 9" xfId="5460"/>
    <cellStyle name="Normal 13 3 2 3" xfId="5461"/>
    <cellStyle name="Normal 13 3 2 3 2" xfId="5462"/>
    <cellStyle name="Normal 13 3 2 3 2 2" xfId="5463"/>
    <cellStyle name="Normal 13 3 2 3 2 2 2" xfId="5464"/>
    <cellStyle name="Normal 13 3 2 3 2 2 2 2" xfId="5465"/>
    <cellStyle name="Normal 13 3 2 3 2 2 2 2 2" xfId="5466"/>
    <cellStyle name="Normal 13 3 2 3 2 2 2 3" xfId="5467"/>
    <cellStyle name="Normal 13 3 2 3 2 2 3" xfId="5468"/>
    <cellStyle name="Normal 13 3 2 3 2 2 3 2" xfId="5469"/>
    <cellStyle name="Normal 13 3 2 3 2 2 4" xfId="5470"/>
    <cellStyle name="Normal 13 3 2 3 2 3" xfId="5471"/>
    <cellStyle name="Normal 13 3 2 3 2 3 2" xfId="5472"/>
    <cellStyle name="Normal 13 3 2 3 2 3 2 2" xfId="5473"/>
    <cellStyle name="Normal 13 3 2 3 2 3 2 2 2" xfId="5474"/>
    <cellStyle name="Normal 13 3 2 3 2 3 2 3" xfId="5475"/>
    <cellStyle name="Normal 13 3 2 3 2 3 3" xfId="5476"/>
    <cellStyle name="Normal 13 3 2 3 2 3 3 2" xfId="5477"/>
    <cellStyle name="Normal 13 3 2 3 2 3 4" xfId="5478"/>
    <cellStyle name="Normal 13 3 2 3 2 4" xfId="5479"/>
    <cellStyle name="Normal 13 3 2 3 2 4 2" xfId="5480"/>
    <cellStyle name="Normal 13 3 2 3 2 4 2 2" xfId="5481"/>
    <cellStyle name="Normal 13 3 2 3 2 4 3" xfId="5482"/>
    <cellStyle name="Normal 13 3 2 3 2 5" xfId="5483"/>
    <cellStyle name="Normal 13 3 2 3 2 5 2" xfId="5484"/>
    <cellStyle name="Normal 13 3 2 3 2 6" xfId="5485"/>
    <cellStyle name="Normal 13 3 2 3 3" xfId="5486"/>
    <cellStyle name="Normal 13 3 2 3 3 2" xfId="5487"/>
    <cellStyle name="Normal 13 3 2 3 3 2 2" xfId="5488"/>
    <cellStyle name="Normal 13 3 2 3 3 2 2 2" xfId="5489"/>
    <cellStyle name="Normal 13 3 2 3 3 2 3" xfId="5490"/>
    <cellStyle name="Normal 13 3 2 3 3 3" xfId="5491"/>
    <cellStyle name="Normal 13 3 2 3 3 3 2" xfId="5492"/>
    <cellStyle name="Normal 13 3 2 3 3 4" xfId="5493"/>
    <cellStyle name="Normal 13 3 2 3 4" xfId="5494"/>
    <cellStyle name="Normal 13 3 2 3 4 2" xfId="5495"/>
    <cellStyle name="Normal 13 3 2 3 4 2 2" xfId="5496"/>
    <cellStyle name="Normal 13 3 2 3 4 2 2 2" xfId="5497"/>
    <cellStyle name="Normal 13 3 2 3 4 2 3" xfId="5498"/>
    <cellStyle name="Normal 13 3 2 3 4 3" xfId="5499"/>
    <cellStyle name="Normal 13 3 2 3 4 3 2" xfId="5500"/>
    <cellStyle name="Normal 13 3 2 3 4 4" xfId="5501"/>
    <cellStyle name="Normal 13 3 2 3 5" xfId="5502"/>
    <cellStyle name="Normal 13 3 2 3 5 2" xfId="5503"/>
    <cellStyle name="Normal 13 3 2 3 5 2 2" xfId="5504"/>
    <cellStyle name="Normal 13 3 2 3 5 3" xfId="5505"/>
    <cellStyle name="Normal 13 3 2 3 6" xfId="5506"/>
    <cellStyle name="Normal 13 3 2 3 6 2" xfId="5507"/>
    <cellStyle name="Normal 13 3 2 3 7" xfId="5508"/>
    <cellStyle name="Normal 13 3 2 4" xfId="5509"/>
    <cellStyle name="Normal 13 3 2 4 2" xfId="5510"/>
    <cellStyle name="Normal 13 3 2 4 2 2" xfId="5511"/>
    <cellStyle name="Normal 13 3 2 4 2 2 2" xfId="5512"/>
    <cellStyle name="Normal 13 3 2 4 2 2 2 2" xfId="5513"/>
    <cellStyle name="Normal 13 3 2 4 2 2 3" xfId="5514"/>
    <cellStyle name="Normal 13 3 2 4 2 3" xfId="5515"/>
    <cellStyle name="Normal 13 3 2 4 2 3 2" xfId="5516"/>
    <cellStyle name="Normal 13 3 2 4 2 4" xfId="5517"/>
    <cellStyle name="Normal 13 3 2 4 3" xfId="5518"/>
    <cellStyle name="Normal 13 3 2 4 3 2" xfId="5519"/>
    <cellStyle name="Normal 13 3 2 4 3 2 2" xfId="5520"/>
    <cellStyle name="Normal 13 3 2 4 3 2 2 2" xfId="5521"/>
    <cellStyle name="Normal 13 3 2 4 3 2 3" xfId="5522"/>
    <cellStyle name="Normal 13 3 2 4 3 3" xfId="5523"/>
    <cellStyle name="Normal 13 3 2 4 3 3 2" xfId="5524"/>
    <cellStyle name="Normal 13 3 2 4 3 4" xfId="5525"/>
    <cellStyle name="Normal 13 3 2 4 4" xfId="5526"/>
    <cellStyle name="Normal 13 3 2 4 4 2" xfId="5527"/>
    <cellStyle name="Normal 13 3 2 4 4 2 2" xfId="5528"/>
    <cellStyle name="Normal 13 3 2 4 4 3" xfId="5529"/>
    <cellStyle name="Normal 13 3 2 4 5" xfId="5530"/>
    <cellStyle name="Normal 13 3 2 4 5 2" xfId="5531"/>
    <cellStyle name="Normal 13 3 2 4 6" xfId="5532"/>
    <cellStyle name="Normal 13 3 2 5" xfId="5533"/>
    <cellStyle name="Normal 13 3 2 5 2" xfId="5534"/>
    <cellStyle name="Normal 13 3 2 5 2 2" xfId="5535"/>
    <cellStyle name="Normal 13 3 2 5 2 2 2" xfId="5536"/>
    <cellStyle name="Normal 13 3 2 5 2 3" xfId="5537"/>
    <cellStyle name="Normal 13 3 2 5 3" xfId="5538"/>
    <cellStyle name="Normal 13 3 2 5 3 2" xfId="5539"/>
    <cellStyle name="Normal 13 3 2 5 4" xfId="5540"/>
    <cellStyle name="Normal 13 3 2 6" xfId="5541"/>
    <cellStyle name="Normal 13 3 2 6 2" xfId="5542"/>
    <cellStyle name="Normal 13 3 2 6 2 2" xfId="5543"/>
    <cellStyle name="Normal 13 3 2 6 2 2 2" xfId="5544"/>
    <cellStyle name="Normal 13 3 2 6 2 3" xfId="5545"/>
    <cellStyle name="Normal 13 3 2 6 3" xfId="5546"/>
    <cellStyle name="Normal 13 3 2 6 3 2" xfId="5547"/>
    <cellStyle name="Normal 13 3 2 6 4" xfId="5548"/>
    <cellStyle name="Normal 13 3 2 7" xfId="5549"/>
    <cellStyle name="Normal 13 3 2 7 2" xfId="5550"/>
    <cellStyle name="Normal 13 3 2 7 2 2" xfId="5551"/>
    <cellStyle name="Normal 13 3 2 7 2 2 2" xfId="5552"/>
    <cellStyle name="Normal 13 3 2 7 2 3" xfId="5553"/>
    <cellStyle name="Normal 13 3 2 7 3" xfId="5554"/>
    <cellStyle name="Normal 13 3 2 7 3 2" xfId="5555"/>
    <cellStyle name="Normal 13 3 2 7 4" xfId="5556"/>
    <cellStyle name="Normal 13 3 2 8" xfId="5557"/>
    <cellStyle name="Normal 13 3 2 8 2" xfId="5558"/>
    <cellStyle name="Normal 13 3 2 8 2 2" xfId="5559"/>
    <cellStyle name="Normal 13 3 2 8 3" xfId="5560"/>
    <cellStyle name="Normal 13 3 2 9" xfId="5561"/>
    <cellStyle name="Normal 13 3 2 9 2" xfId="5562"/>
    <cellStyle name="Normal 13 3 3" xfId="5563"/>
    <cellStyle name="Normal 13 3 3 2" xfId="5564"/>
    <cellStyle name="Normal 13 3 3 2 2" xfId="5565"/>
    <cellStyle name="Normal 13 3 3 2 2 2" xfId="5566"/>
    <cellStyle name="Normal 13 3 3 2 2 2 2" xfId="5567"/>
    <cellStyle name="Normal 13 3 3 2 2 2 2 2" xfId="5568"/>
    <cellStyle name="Normal 13 3 3 2 2 2 2 2 2" xfId="5569"/>
    <cellStyle name="Normal 13 3 3 2 2 2 2 3" xfId="5570"/>
    <cellStyle name="Normal 13 3 3 2 2 2 3" xfId="5571"/>
    <cellStyle name="Normal 13 3 3 2 2 2 3 2" xfId="5572"/>
    <cellStyle name="Normal 13 3 3 2 2 2 4" xfId="5573"/>
    <cellStyle name="Normal 13 3 3 2 2 3" xfId="5574"/>
    <cellStyle name="Normal 13 3 3 2 2 3 2" xfId="5575"/>
    <cellStyle name="Normal 13 3 3 2 2 3 2 2" xfId="5576"/>
    <cellStyle name="Normal 13 3 3 2 2 3 2 2 2" xfId="5577"/>
    <cellStyle name="Normal 13 3 3 2 2 3 2 3" xfId="5578"/>
    <cellStyle name="Normal 13 3 3 2 2 3 3" xfId="5579"/>
    <cellStyle name="Normal 13 3 3 2 2 3 3 2" xfId="5580"/>
    <cellStyle name="Normal 13 3 3 2 2 3 4" xfId="5581"/>
    <cellStyle name="Normal 13 3 3 2 2 4" xfId="5582"/>
    <cellStyle name="Normal 13 3 3 2 2 4 2" xfId="5583"/>
    <cellStyle name="Normal 13 3 3 2 2 4 2 2" xfId="5584"/>
    <cellStyle name="Normal 13 3 3 2 2 4 3" xfId="5585"/>
    <cellStyle name="Normal 13 3 3 2 2 5" xfId="5586"/>
    <cellStyle name="Normal 13 3 3 2 2 5 2" xfId="5587"/>
    <cellStyle name="Normal 13 3 3 2 2 6" xfId="5588"/>
    <cellStyle name="Normal 13 3 3 2 3" xfId="5589"/>
    <cellStyle name="Normal 13 3 3 2 3 2" xfId="5590"/>
    <cellStyle name="Normal 13 3 3 2 3 2 2" xfId="5591"/>
    <cellStyle name="Normal 13 3 3 2 3 2 2 2" xfId="5592"/>
    <cellStyle name="Normal 13 3 3 2 3 2 3" xfId="5593"/>
    <cellStyle name="Normal 13 3 3 2 3 3" xfId="5594"/>
    <cellStyle name="Normal 13 3 3 2 3 3 2" xfId="5595"/>
    <cellStyle name="Normal 13 3 3 2 3 4" xfId="5596"/>
    <cellStyle name="Normal 13 3 3 2 4" xfId="5597"/>
    <cellStyle name="Normal 13 3 3 2 4 2" xfId="5598"/>
    <cellStyle name="Normal 13 3 3 2 4 2 2" xfId="5599"/>
    <cellStyle name="Normal 13 3 3 2 4 2 2 2" xfId="5600"/>
    <cellStyle name="Normal 13 3 3 2 4 2 3" xfId="5601"/>
    <cellStyle name="Normal 13 3 3 2 4 3" xfId="5602"/>
    <cellStyle name="Normal 13 3 3 2 4 3 2" xfId="5603"/>
    <cellStyle name="Normal 13 3 3 2 4 4" xfId="5604"/>
    <cellStyle name="Normal 13 3 3 2 5" xfId="5605"/>
    <cellStyle name="Normal 13 3 3 2 5 2" xfId="5606"/>
    <cellStyle name="Normal 13 3 3 2 5 2 2" xfId="5607"/>
    <cellStyle name="Normal 13 3 3 2 5 3" xfId="5608"/>
    <cellStyle name="Normal 13 3 3 2 6" xfId="5609"/>
    <cellStyle name="Normal 13 3 3 2 6 2" xfId="5610"/>
    <cellStyle name="Normal 13 3 3 2 7" xfId="5611"/>
    <cellStyle name="Normal 13 3 3 3" xfId="5612"/>
    <cellStyle name="Normal 13 3 3 3 2" xfId="5613"/>
    <cellStyle name="Normal 13 3 3 3 2 2" xfId="5614"/>
    <cellStyle name="Normal 13 3 3 3 2 2 2" xfId="5615"/>
    <cellStyle name="Normal 13 3 3 3 2 2 2 2" xfId="5616"/>
    <cellStyle name="Normal 13 3 3 3 2 2 3" xfId="5617"/>
    <cellStyle name="Normal 13 3 3 3 2 3" xfId="5618"/>
    <cellStyle name="Normal 13 3 3 3 2 3 2" xfId="5619"/>
    <cellStyle name="Normal 13 3 3 3 2 4" xfId="5620"/>
    <cellStyle name="Normal 13 3 3 3 3" xfId="5621"/>
    <cellStyle name="Normal 13 3 3 3 3 2" xfId="5622"/>
    <cellStyle name="Normal 13 3 3 3 3 2 2" xfId="5623"/>
    <cellStyle name="Normal 13 3 3 3 3 2 2 2" xfId="5624"/>
    <cellStyle name="Normal 13 3 3 3 3 2 3" xfId="5625"/>
    <cellStyle name="Normal 13 3 3 3 3 3" xfId="5626"/>
    <cellStyle name="Normal 13 3 3 3 3 3 2" xfId="5627"/>
    <cellStyle name="Normal 13 3 3 3 3 4" xfId="5628"/>
    <cellStyle name="Normal 13 3 3 3 4" xfId="5629"/>
    <cellStyle name="Normal 13 3 3 3 4 2" xfId="5630"/>
    <cellStyle name="Normal 13 3 3 3 4 2 2" xfId="5631"/>
    <cellStyle name="Normal 13 3 3 3 4 3" xfId="5632"/>
    <cellStyle name="Normal 13 3 3 3 5" xfId="5633"/>
    <cellStyle name="Normal 13 3 3 3 5 2" xfId="5634"/>
    <cellStyle name="Normal 13 3 3 3 6" xfId="5635"/>
    <cellStyle name="Normal 13 3 3 4" xfId="5636"/>
    <cellStyle name="Normal 13 3 3 4 2" xfId="5637"/>
    <cellStyle name="Normal 13 3 3 4 2 2" xfId="5638"/>
    <cellStyle name="Normal 13 3 3 4 2 2 2" xfId="5639"/>
    <cellStyle name="Normal 13 3 3 4 2 3" xfId="5640"/>
    <cellStyle name="Normal 13 3 3 4 3" xfId="5641"/>
    <cellStyle name="Normal 13 3 3 4 3 2" xfId="5642"/>
    <cellStyle name="Normal 13 3 3 4 4" xfId="5643"/>
    <cellStyle name="Normal 13 3 3 5" xfId="5644"/>
    <cellStyle name="Normal 13 3 3 5 2" xfId="5645"/>
    <cellStyle name="Normal 13 3 3 5 2 2" xfId="5646"/>
    <cellStyle name="Normal 13 3 3 5 2 2 2" xfId="5647"/>
    <cellStyle name="Normal 13 3 3 5 2 3" xfId="5648"/>
    <cellStyle name="Normal 13 3 3 5 3" xfId="5649"/>
    <cellStyle name="Normal 13 3 3 5 3 2" xfId="5650"/>
    <cellStyle name="Normal 13 3 3 5 4" xfId="5651"/>
    <cellStyle name="Normal 13 3 3 6" xfId="5652"/>
    <cellStyle name="Normal 13 3 3 6 2" xfId="5653"/>
    <cellStyle name="Normal 13 3 3 6 2 2" xfId="5654"/>
    <cellStyle name="Normal 13 3 3 6 2 2 2" xfId="5655"/>
    <cellStyle name="Normal 13 3 3 6 2 3" xfId="5656"/>
    <cellStyle name="Normal 13 3 3 6 3" xfId="5657"/>
    <cellStyle name="Normal 13 3 3 6 3 2" xfId="5658"/>
    <cellStyle name="Normal 13 3 3 6 4" xfId="5659"/>
    <cellStyle name="Normal 13 3 3 7" xfId="5660"/>
    <cellStyle name="Normal 13 3 3 7 2" xfId="5661"/>
    <cellStyle name="Normal 13 3 3 7 2 2" xfId="5662"/>
    <cellStyle name="Normal 13 3 3 7 3" xfId="5663"/>
    <cellStyle name="Normal 13 3 3 8" xfId="5664"/>
    <cellStyle name="Normal 13 3 3 8 2" xfId="5665"/>
    <cellStyle name="Normal 13 3 3 9" xfId="5666"/>
    <cellStyle name="Normal 13 3 4" xfId="5667"/>
    <cellStyle name="Normal 13 3 4 2" xfId="5668"/>
    <cellStyle name="Normal 13 3 4 2 2" xfId="5669"/>
    <cellStyle name="Normal 13 3 4 2 2 2" xfId="5670"/>
    <cellStyle name="Normal 13 3 4 2 2 2 2" xfId="5671"/>
    <cellStyle name="Normal 13 3 4 2 2 2 2 2" xfId="5672"/>
    <cellStyle name="Normal 13 3 4 2 2 2 3" xfId="5673"/>
    <cellStyle name="Normal 13 3 4 2 2 3" xfId="5674"/>
    <cellStyle name="Normal 13 3 4 2 2 3 2" xfId="5675"/>
    <cellStyle name="Normal 13 3 4 2 2 4" xfId="5676"/>
    <cellStyle name="Normal 13 3 4 2 3" xfId="5677"/>
    <cellStyle name="Normal 13 3 4 2 3 2" xfId="5678"/>
    <cellStyle name="Normal 13 3 4 2 3 2 2" xfId="5679"/>
    <cellStyle name="Normal 13 3 4 2 3 2 2 2" xfId="5680"/>
    <cellStyle name="Normal 13 3 4 2 3 2 3" xfId="5681"/>
    <cellStyle name="Normal 13 3 4 2 3 3" xfId="5682"/>
    <cellStyle name="Normal 13 3 4 2 3 3 2" xfId="5683"/>
    <cellStyle name="Normal 13 3 4 2 3 4" xfId="5684"/>
    <cellStyle name="Normal 13 3 4 2 4" xfId="5685"/>
    <cellStyle name="Normal 13 3 4 2 4 2" xfId="5686"/>
    <cellStyle name="Normal 13 3 4 2 4 2 2" xfId="5687"/>
    <cellStyle name="Normal 13 3 4 2 4 3" xfId="5688"/>
    <cellStyle name="Normal 13 3 4 2 5" xfId="5689"/>
    <cellStyle name="Normal 13 3 4 2 5 2" xfId="5690"/>
    <cellStyle name="Normal 13 3 4 2 6" xfId="5691"/>
    <cellStyle name="Normal 13 3 4 3" xfId="5692"/>
    <cellStyle name="Normal 13 3 4 3 2" xfId="5693"/>
    <cellStyle name="Normal 13 3 4 3 2 2" xfId="5694"/>
    <cellStyle name="Normal 13 3 4 3 2 2 2" xfId="5695"/>
    <cellStyle name="Normal 13 3 4 3 2 3" xfId="5696"/>
    <cellStyle name="Normal 13 3 4 3 3" xfId="5697"/>
    <cellStyle name="Normal 13 3 4 3 3 2" xfId="5698"/>
    <cellStyle name="Normal 13 3 4 3 4" xfId="5699"/>
    <cellStyle name="Normal 13 3 4 4" xfId="5700"/>
    <cellStyle name="Normal 13 3 4 4 2" xfId="5701"/>
    <cellStyle name="Normal 13 3 4 4 2 2" xfId="5702"/>
    <cellStyle name="Normal 13 3 4 4 2 2 2" xfId="5703"/>
    <cellStyle name="Normal 13 3 4 4 2 3" xfId="5704"/>
    <cellStyle name="Normal 13 3 4 4 3" xfId="5705"/>
    <cellStyle name="Normal 13 3 4 4 3 2" xfId="5706"/>
    <cellStyle name="Normal 13 3 4 4 4" xfId="5707"/>
    <cellStyle name="Normal 13 3 4 5" xfId="5708"/>
    <cellStyle name="Normal 13 3 4 5 2" xfId="5709"/>
    <cellStyle name="Normal 13 3 4 5 2 2" xfId="5710"/>
    <cellStyle name="Normal 13 3 4 5 3" xfId="5711"/>
    <cellStyle name="Normal 13 3 4 6" xfId="5712"/>
    <cellStyle name="Normal 13 3 4 6 2" xfId="5713"/>
    <cellStyle name="Normal 13 3 4 7" xfId="5714"/>
    <cellStyle name="Normal 13 3 5" xfId="5715"/>
    <cellStyle name="Normal 13 3 5 2" xfId="5716"/>
    <cellStyle name="Normal 13 3 5 2 2" xfId="5717"/>
    <cellStyle name="Normal 13 3 5 2 2 2" xfId="5718"/>
    <cellStyle name="Normal 13 3 5 2 2 2 2" xfId="5719"/>
    <cellStyle name="Normal 13 3 5 2 2 3" xfId="5720"/>
    <cellStyle name="Normal 13 3 5 2 3" xfId="5721"/>
    <cellStyle name="Normal 13 3 5 2 3 2" xfId="5722"/>
    <cellStyle name="Normal 13 3 5 2 4" xfId="5723"/>
    <cellStyle name="Normal 13 3 5 3" xfId="5724"/>
    <cellStyle name="Normal 13 3 5 3 2" xfId="5725"/>
    <cellStyle name="Normal 13 3 5 3 2 2" xfId="5726"/>
    <cellStyle name="Normal 13 3 5 3 2 2 2" xfId="5727"/>
    <cellStyle name="Normal 13 3 5 3 2 3" xfId="5728"/>
    <cellStyle name="Normal 13 3 5 3 3" xfId="5729"/>
    <cellStyle name="Normal 13 3 5 3 3 2" xfId="5730"/>
    <cellStyle name="Normal 13 3 5 3 4" xfId="5731"/>
    <cellStyle name="Normal 13 3 5 4" xfId="5732"/>
    <cellStyle name="Normal 13 3 5 4 2" xfId="5733"/>
    <cellStyle name="Normal 13 3 5 4 2 2" xfId="5734"/>
    <cellStyle name="Normal 13 3 5 4 3" xfId="5735"/>
    <cellStyle name="Normal 13 3 5 5" xfId="5736"/>
    <cellStyle name="Normal 13 3 5 5 2" xfId="5737"/>
    <cellStyle name="Normal 13 3 5 6" xfId="5738"/>
    <cellStyle name="Normal 13 3 6" xfId="5739"/>
    <cellStyle name="Normal 13 3 6 2" xfId="5740"/>
    <cellStyle name="Normal 13 3 6 2 2" xfId="5741"/>
    <cellStyle name="Normal 13 3 6 2 2 2" xfId="5742"/>
    <cellStyle name="Normal 13 3 6 2 3" xfId="5743"/>
    <cellStyle name="Normal 13 3 6 3" xfId="5744"/>
    <cellStyle name="Normal 13 3 6 3 2" xfId="5745"/>
    <cellStyle name="Normal 13 3 6 4" xfId="5746"/>
    <cellStyle name="Normal 13 3 7" xfId="5747"/>
    <cellStyle name="Normal 13 3 7 2" xfId="5748"/>
    <cellStyle name="Normal 13 3 7 2 2" xfId="5749"/>
    <cellStyle name="Normal 13 3 7 2 2 2" xfId="5750"/>
    <cellStyle name="Normal 13 3 7 2 3" xfId="5751"/>
    <cellStyle name="Normal 13 3 7 3" xfId="5752"/>
    <cellStyle name="Normal 13 3 7 3 2" xfId="5753"/>
    <cellStyle name="Normal 13 3 7 4" xfId="5754"/>
    <cellStyle name="Normal 13 3 8" xfId="5755"/>
    <cellStyle name="Normal 13 3 8 2" xfId="5756"/>
    <cellStyle name="Normal 13 3 8 2 2" xfId="5757"/>
    <cellStyle name="Normal 13 3 8 2 2 2" xfId="5758"/>
    <cellStyle name="Normal 13 3 8 2 3" xfId="5759"/>
    <cellStyle name="Normal 13 3 8 3" xfId="5760"/>
    <cellStyle name="Normal 13 3 8 3 2" xfId="5761"/>
    <cellStyle name="Normal 13 3 8 4" xfId="5762"/>
    <cellStyle name="Normal 13 3 9" xfId="5763"/>
    <cellStyle name="Normal 13 3 9 2" xfId="5764"/>
    <cellStyle name="Normal 13 3 9 2 2" xfId="5765"/>
    <cellStyle name="Normal 13 3 9 3" xfId="5766"/>
    <cellStyle name="Normal 13 4" xfId="5767"/>
    <cellStyle name="Normal 13 4 10" xfId="5768"/>
    <cellStyle name="Normal 13 4 2" xfId="5769"/>
    <cellStyle name="Normal 13 4 2 2" xfId="5770"/>
    <cellStyle name="Normal 13 4 2 2 2" xfId="5771"/>
    <cellStyle name="Normal 13 4 2 2 2 2" xfId="5772"/>
    <cellStyle name="Normal 13 4 2 2 2 2 2" xfId="5773"/>
    <cellStyle name="Normal 13 4 2 2 2 2 2 2" xfId="5774"/>
    <cellStyle name="Normal 13 4 2 2 2 2 2 2 2" xfId="5775"/>
    <cellStyle name="Normal 13 4 2 2 2 2 2 3" xfId="5776"/>
    <cellStyle name="Normal 13 4 2 2 2 2 3" xfId="5777"/>
    <cellStyle name="Normal 13 4 2 2 2 2 3 2" xfId="5778"/>
    <cellStyle name="Normal 13 4 2 2 2 2 4" xfId="5779"/>
    <cellStyle name="Normal 13 4 2 2 2 3" xfId="5780"/>
    <cellStyle name="Normal 13 4 2 2 2 3 2" xfId="5781"/>
    <cellStyle name="Normal 13 4 2 2 2 3 2 2" xfId="5782"/>
    <cellStyle name="Normal 13 4 2 2 2 3 2 2 2" xfId="5783"/>
    <cellStyle name="Normal 13 4 2 2 2 3 2 3" xfId="5784"/>
    <cellStyle name="Normal 13 4 2 2 2 3 3" xfId="5785"/>
    <cellStyle name="Normal 13 4 2 2 2 3 3 2" xfId="5786"/>
    <cellStyle name="Normal 13 4 2 2 2 3 4" xfId="5787"/>
    <cellStyle name="Normal 13 4 2 2 2 4" xfId="5788"/>
    <cellStyle name="Normal 13 4 2 2 2 4 2" xfId="5789"/>
    <cellStyle name="Normal 13 4 2 2 2 4 2 2" xfId="5790"/>
    <cellStyle name="Normal 13 4 2 2 2 4 3" xfId="5791"/>
    <cellStyle name="Normal 13 4 2 2 2 5" xfId="5792"/>
    <cellStyle name="Normal 13 4 2 2 2 5 2" xfId="5793"/>
    <cellStyle name="Normal 13 4 2 2 2 6" xfId="5794"/>
    <cellStyle name="Normal 13 4 2 2 3" xfId="5795"/>
    <cellStyle name="Normal 13 4 2 2 3 2" xfId="5796"/>
    <cellStyle name="Normal 13 4 2 2 3 2 2" xfId="5797"/>
    <cellStyle name="Normal 13 4 2 2 3 2 2 2" xfId="5798"/>
    <cellStyle name="Normal 13 4 2 2 3 2 3" xfId="5799"/>
    <cellStyle name="Normal 13 4 2 2 3 3" xfId="5800"/>
    <cellStyle name="Normal 13 4 2 2 3 3 2" xfId="5801"/>
    <cellStyle name="Normal 13 4 2 2 3 4" xfId="5802"/>
    <cellStyle name="Normal 13 4 2 2 4" xfId="5803"/>
    <cellStyle name="Normal 13 4 2 2 4 2" xfId="5804"/>
    <cellStyle name="Normal 13 4 2 2 4 2 2" xfId="5805"/>
    <cellStyle name="Normal 13 4 2 2 4 2 2 2" xfId="5806"/>
    <cellStyle name="Normal 13 4 2 2 4 2 3" xfId="5807"/>
    <cellStyle name="Normal 13 4 2 2 4 3" xfId="5808"/>
    <cellStyle name="Normal 13 4 2 2 4 3 2" xfId="5809"/>
    <cellStyle name="Normal 13 4 2 2 4 4" xfId="5810"/>
    <cellStyle name="Normal 13 4 2 2 5" xfId="5811"/>
    <cellStyle name="Normal 13 4 2 2 5 2" xfId="5812"/>
    <cellStyle name="Normal 13 4 2 2 5 2 2" xfId="5813"/>
    <cellStyle name="Normal 13 4 2 2 5 3" xfId="5814"/>
    <cellStyle name="Normal 13 4 2 2 6" xfId="5815"/>
    <cellStyle name="Normal 13 4 2 2 6 2" xfId="5816"/>
    <cellStyle name="Normal 13 4 2 2 7" xfId="5817"/>
    <cellStyle name="Normal 13 4 2 3" xfId="5818"/>
    <cellStyle name="Normal 13 4 2 3 2" xfId="5819"/>
    <cellStyle name="Normal 13 4 2 3 2 2" xfId="5820"/>
    <cellStyle name="Normal 13 4 2 3 2 2 2" xfId="5821"/>
    <cellStyle name="Normal 13 4 2 3 2 2 2 2" xfId="5822"/>
    <cellStyle name="Normal 13 4 2 3 2 2 3" xfId="5823"/>
    <cellStyle name="Normal 13 4 2 3 2 3" xfId="5824"/>
    <cellStyle name="Normal 13 4 2 3 2 3 2" xfId="5825"/>
    <cellStyle name="Normal 13 4 2 3 2 4" xfId="5826"/>
    <cellStyle name="Normal 13 4 2 3 3" xfId="5827"/>
    <cellStyle name="Normal 13 4 2 3 3 2" xfId="5828"/>
    <cellStyle name="Normal 13 4 2 3 3 2 2" xfId="5829"/>
    <cellStyle name="Normal 13 4 2 3 3 2 2 2" xfId="5830"/>
    <cellStyle name="Normal 13 4 2 3 3 2 3" xfId="5831"/>
    <cellStyle name="Normal 13 4 2 3 3 3" xfId="5832"/>
    <cellStyle name="Normal 13 4 2 3 3 3 2" xfId="5833"/>
    <cellStyle name="Normal 13 4 2 3 3 4" xfId="5834"/>
    <cellStyle name="Normal 13 4 2 3 4" xfId="5835"/>
    <cellStyle name="Normal 13 4 2 3 4 2" xfId="5836"/>
    <cellStyle name="Normal 13 4 2 3 4 2 2" xfId="5837"/>
    <cellStyle name="Normal 13 4 2 3 4 3" xfId="5838"/>
    <cellStyle name="Normal 13 4 2 3 5" xfId="5839"/>
    <cellStyle name="Normal 13 4 2 3 5 2" xfId="5840"/>
    <cellStyle name="Normal 13 4 2 3 6" xfId="5841"/>
    <cellStyle name="Normal 13 4 2 4" xfId="5842"/>
    <cellStyle name="Normal 13 4 2 4 2" xfId="5843"/>
    <cellStyle name="Normal 13 4 2 4 2 2" xfId="5844"/>
    <cellStyle name="Normal 13 4 2 4 2 2 2" xfId="5845"/>
    <cellStyle name="Normal 13 4 2 4 2 3" xfId="5846"/>
    <cellStyle name="Normal 13 4 2 4 3" xfId="5847"/>
    <cellStyle name="Normal 13 4 2 4 3 2" xfId="5848"/>
    <cellStyle name="Normal 13 4 2 4 4" xfId="5849"/>
    <cellStyle name="Normal 13 4 2 5" xfId="5850"/>
    <cellStyle name="Normal 13 4 2 5 2" xfId="5851"/>
    <cellStyle name="Normal 13 4 2 5 2 2" xfId="5852"/>
    <cellStyle name="Normal 13 4 2 5 2 2 2" xfId="5853"/>
    <cellStyle name="Normal 13 4 2 5 2 3" xfId="5854"/>
    <cellStyle name="Normal 13 4 2 5 3" xfId="5855"/>
    <cellStyle name="Normal 13 4 2 5 3 2" xfId="5856"/>
    <cellStyle name="Normal 13 4 2 5 4" xfId="5857"/>
    <cellStyle name="Normal 13 4 2 6" xfId="5858"/>
    <cellStyle name="Normal 13 4 2 6 2" xfId="5859"/>
    <cellStyle name="Normal 13 4 2 6 2 2" xfId="5860"/>
    <cellStyle name="Normal 13 4 2 6 2 2 2" xfId="5861"/>
    <cellStyle name="Normal 13 4 2 6 2 3" xfId="5862"/>
    <cellStyle name="Normal 13 4 2 6 3" xfId="5863"/>
    <cellStyle name="Normal 13 4 2 6 3 2" xfId="5864"/>
    <cellStyle name="Normal 13 4 2 6 4" xfId="5865"/>
    <cellStyle name="Normal 13 4 2 7" xfId="5866"/>
    <cellStyle name="Normal 13 4 2 7 2" xfId="5867"/>
    <cellStyle name="Normal 13 4 2 7 2 2" xfId="5868"/>
    <cellStyle name="Normal 13 4 2 7 3" xfId="5869"/>
    <cellStyle name="Normal 13 4 2 8" xfId="5870"/>
    <cellStyle name="Normal 13 4 2 8 2" xfId="5871"/>
    <cellStyle name="Normal 13 4 2 9" xfId="5872"/>
    <cellStyle name="Normal 13 4 3" xfId="5873"/>
    <cellStyle name="Normal 13 4 3 2" xfId="5874"/>
    <cellStyle name="Normal 13 4 3 2 2" xfId="5875"/>
    <cellStyle name="Normal 13 4 3 2 2 2" xfId="5876"/>
    <cellStyle name="Normal 13 4 3 2 2 2 2" xfId="5877"/>
    <cellStyle name="Normal 13 4 3 2 2 2 2 2" xfId="5878"/>
    <cellStyle name="Normal 13 4 3 2 2 2 3" xfId="5879"/>
    <cellStyle name="Normal 13 4 3 2 2 3" xfId="5880"/>
    <cellStyle name="Normal 13 4 3 2 2 3 2" xfId="5881"/>
    <cellStyle name="Normal 13 4 3 2 2 4" xfId="5882"/>
    <cellStyle name="Normal 13 4 3 2 3" xfId="5883"/>
    <cellStyle name="Normal 13 4 3 2 3 2" xfId="5884"/>
    <cellStyle name="Normal 13 4 3 2 3 2 2" xfId="5885"/>
    <cellStyle name="Normal 13 4 3 2 3 2 2 2" xfId="5886"/>
    <cellStyle name="Normal 13 4 3 2 3 2 3" xfId="5887"/>
    <cellStyle name="Normal 13 4 3 2 3 3" xfId="5888"/>
    <cellStyle name="Normal 13 4 3 2 3 3 2" xfId="5889"/>
    <cellStyle name="Normal 13 4 3 2 3 4" xfId="5890"/>
    <cellStyle name="Normal 13 4 3 2 4" xfId="5891"/>
    <cellStyle name="Normal 13 4 3 2 4 2" xfId="5892"/>
    <cellStyle name="Normal 13 4 3 2 4 2 2" xfId="5893"/>
    <cellStyle name="Normal 13 4 3 2 4 3" xfId="5894"/>
    <cellStyle name="Normal 13 4 3 2 5" xfId="5895"/>
    <cellStyle name="Normal 13 4 3 2 5 2" xfId="5896"/>
    <cellStyle name="Normal 13 4 3 2 6" xfId="5897"/>
    <cellStyle name="Normal 13 4 3 3" xfId="5898"/>
    <cellStyle name="Normal 13 4 3 3 2" xfId="5899"/>
    <cellStyle name="Normal 13 4 3 3 2 2" xfId="5900"/>
    <cellStyle name="Normal 13 4 3 3 2 2 2" xfId="5901"/>
    <cellStyle name="Normal 13 4 3 3 2 3" xfId="5902"/>
    <cellStyle name="Normal 13 4 3 3 3" xfId="5903"/>
    <cellStyle name="Normal 13 4 3 3 3 2" xfId="5904"/>
    <cellStyle name="Normal 13 4 3 3 4" xfId="5905"/>
    <cellStyle name="Normal 13 4 3 4" xfId="5906"/>
    <cellStyle name="Normal 13 4 3 4 2" xfId="5907"/>
    <cellStyle name="Normal 13 4 3 4 2 2" xfId="5908"/>
    <cellStyle name="Normal 13 4 3 4 2 2 2" xfId="5909"/>
    <cellStyle name="Normal 13 4 3 4 2 3" xfId="5910"/>
    <cellStyle name="Normal 13 4 3 4 3" xfId="5911"/>
    <cellStyle name="Normal 13 4 3 4 3 2" xfId="5912"/>
    <cellStyle name="Normal 13 4 3 4 4" xfId="5913"/>
    <cellStyle name="Normal 13 4 3 5" xfId="5914"/>
    <cellStyle name="Normal 13 4 3 5 2" xfId="5915"/>
    <cellStyle name="Normal 13 4 3 5 2 2" xfId="5916"/>
    <cellStyle name="Normal 13 4 3 5 3" xfId="5917"/>
    <cellStyle name="Normal 13 4 3 6" xfId="5918"/>
    <cellStyle name="Normal 13 4 3 6 2" xfId="5919"/>
    <cellStyle name="Normal 13 4 3 7" xfId="5920"/>
    <cellStyle name="Normal 13 4 4" xfId="5921"/>
    <cellStyle name="Normal 13 4 4 2" xfId="5922"/>
    <cellStyle name="Normal 13 4 4 2 2" xfId="5923"/>
    <cellStyle name="Normal 13 4 4 2 2 2" xfId="5924"/>
    <cellStyle name="Normal 13 4 4 2 2 2 2" xfId="5925"/>
    <cellStyle name="Normal 13 4 4 2 2 3" xfId="5926"/>
    <cellStyle name="Normal 13 4 4 2 3" xfId="5927"/>
    <cellStyle name="Normal 13 4 4 2 3 2" xfId="5928"/>
    <cellStyle name="Normal 13 4 4 2 4" xfId="5929"/>
    <cellStyle name="Normal 13 4 4 3" xfId="5930"/>
    <cellStyle name="Normal 13 4 4 3 2" xfId="5931"/>
    <cellStyle name="Normal 13 4 4 3 2 2" xfId="5932"/>
    <cellStyle name="Normal 13 4 4 3 2 2 2" xfId="5933"/>
    <cellStyle name="Normal 13 4 4 3 2 3" xfId="5934"/>
    <cellStyle name="Normal 13 4 4 3 3" xfId="5935"/>
    <cellStyle name="Normal 13 4 4 3 3 2" xfId="5936"/>
    <cellStyle name="Normal 13 4 4 3 4" xfId="5937"/>
    <cellStyle name="Normal 13 4 4 4" xfId="5938"/>
    <cellStyle name="Normal 13 4 4 4 2" xfId="5939"/>
    <cellStyle name="Normal 13 4 4 4 2 2" xfId="5940"/>
    <cellStyle name="Normal 13 4 4 4 3" xfId="5941"/>
    <cellStyle name="Normal 13 4 4 5" xfId="5942"/>
    <cellStyle name="Normal 13 4 4 5 2" xfId="5943"/>
    <cellStyle name="Normal 13 4 4 6" xfId="5944"/>
    <cellStyle name="Normal 13 4 5" xfId="5945"/>
    <cellStyle name="Normal 13 4 5 2" xfId="5946"/>
    <cellStyle name="Normal 13 4 5 2 2" xfId="5947"/>
    <cellStyle name="Normal 13 4 5 2 2 2" xfId="5948"/>
    <cellStyle name="Normal 13 4 5 2 3" xfId="5949"/>
    <cellStyle name="Normal 13 4 5 3" xfId="5950"/>
    <cellStyle name="Normal 13 4 5 3 2" xfId="5951"/>
    <cellStyle name="Normal 13 4 5 4" xfId="5952"/>
    <cellStyle name="Normal 13 4 6" xfId="5953"/>
    <cellStyle name="Normal 13 4 6 2" xfId="5954"/>
    <cellStyle name="Normal 13 4 6 2 2" xfId="5955"/>
    <cellStyle name="Normal 13 4 6 2 2 2" xfId="5956"/>
    <cellStyle name="Normal 13 4 6 2 3" xfId="5957"/>
    <cellStyle name="Normal 13 4 6 3" xfId="5958"/>
    <cellStyle name="Normal 13 4 6 3 2" xfId="5959"/>
    <cellStyle name="Normal 13 4 6 4" xfId="5960"/>
    <cellStyle name="Normal 13 4 7" xfId="5961"/>
    <cellStyle name="Normal 13 4 7 2" xfId="5962"/>
    <cellStyle name="Normal 13 4 7 2 2" xfId="5963"/>
    <cellStyle name="Normal 13 4 7 2 2 2" xfId="5964"/>
    <cellStyle name="Normal 13 4 7 2 3" xfId="5965"/>
    <cellStyle name="Normal 13 4 7 3" xfId="5966"/>
    <cellStyle name="Normal 13 4 7 3 2" xfId="5967"/>
    <cellStyle name="Normal 13 4 7 4" xfId="5968"/>
    <cellStyle name="Normal 13 4 8" xfId="5969"/>
    <cellStyle name="Normal 13 4 8 2" xfId="5970"/>
    <cellStyle name="Normal 13 4 8 2 2" xfId="5971"/>
    <cellStyle name="Normal 13 4 8 3" xfId="5972"/>
    <cellStyle name="Normal 13 4 9" xfId="5973"/>
    <cellStyle name="Normal 13 4 9 2" xfId="5974"/>
    <cellStyle name="Normal 13 5" xfId="5975"/>
    <cellStyle name="Normal 13 5 10" xfId="5976"/>
    <cellStyle name="Normal 13 5 2" xfId="5977"/>
    <cellStyle name="Normal 13 5 2 2" xfId="5978"/>
    <cellStyle name="Normal 13 5 2 2 2" xfId="5979"/>
    <cellStyle name="Normal 13 5 2 2 2 2" xfId="5980"/>
    <cellStyle name="Normal 13 5 2 2 2 2 2" xfId="5981"/>
    <cellStyle name="Normal 13 5 2 2 2 2 2 2" xfId="5982"/>
    <cellStyle name="Normal 13 5 2 2 2 2 2 2 2" xfId="5983"/>
    <cellStyle name="Normal 13 5 2 2 2 2 2 3" xfId="5984"/>
    <cellStyle name="Normal 13 5 2 2 2 2 3" xfId="5985"/>
    <cellStyle name="Normal 13 5 2 2 2 2 3 2" xfId="5986"/>
    <cellStyle name="Normal 13 5 2 2 2 2 4" xfId="5987"/>
    <cellStyle name="Normal 13 5 2 2 2 3" xfId="5988"/>
    <cellStyle name="Normal 13 5 2 2 2 3 2" xfId="5989"/>
    <cellStyle name="Normal 13 5 2 2 2 3 2 2" xfId="5990"/>
    <cellStyle name="Normal 13 5 2 2 2 3 2 2 2" xfId="5991"/>
    <cellStyle name="Normal 13 5 2 2 2 3 2 3" xfId="5992"/>
    <cellStyle name="Normal 13 5 2 2 2 3 3" xfId="5993"/>
    <cellStyle name="Normal 13 5 2 2 2 3 3 2" xfId="5994"/>
    <cellStyle name="Normal 13 5 2 2 2 3 4" xfId="5995"/>
    <cellStyle name="Normal 13 5 2 2 2 4" xfId="5996"/>
    <cellStyle name="Normal 13 5 2 2 2 4 2" xfId="5997"/>
    <cellStyle name="Normal 13 5 2 2 2 4 2 2" xfId="5998"/>
    <cellStyle name="Normal 13 5 2 2 2 4 3" xfId="5999"/>
    <cellStyle name="Normal 13 5 2 2 2 5" xfId="6000"/>
    <cellStyle name="Normal 13 5 2 2 2 5 2" xfId="6001"/>
    <cellStyle name="Normal 13 5 2 2 2 6" xfId="6002"/>
    <cellStyle name="Normal 13 5 2 2 3" xfId="6003"/>
    <cellStyle name="Normal 13 5 2 2 3 2" xfId="6004"/>
    <cellStyle name="Normal 13 5 2 2 3 2 2" xfId="6005"/>
    <cellStyle name="Normal 13 5 2 2 3 2 2 2" xfId="6006"/>
    <cellStyle name="Normal 13 5 2 2 3 2 3" xfId="6007"/>
    <cellStyle name="Normal 13 5 2 2 3 3" xfId="6008"/>
    <cellStyle name="Normal 13 5 2 2 3 3 2" xfId="6009"/>
    <cellStyle name="Normal 13 5 2 2 3 4" xfId="6010"/>
    <cellStyle name="Normal 13 5 2 2 4" xfId="6011"/>
    <cellStyle name="Normal 13 5 2 2 4 2" xfId="6012"/>
    <cellStyle name="Normal 13 5 2 2 4 2 2" xfId="6013"/>
    <cellStyle name="Normal 13 5 2 2 4 2 2 2" xfId="6014"/>
    <cellStyle name="Normal 13 5 2 2 4 2 3" xfId="6015"/>
    <cellStyle name="Normal 13 5 2 2 4 3" xfId="6016"/>
    <cellStyle name="Normal 13 5 2 2 4 3 2" xfId="6017"/>
    <cellStyle name="Normal 13 5 2 2 4 4" xfId="6018"/>
    <cellStyle name="Normal 13 5 2 2 5" xfId="6019"/>
    <cellStyle name="Normal 13 5 2 2 5 2" xfId="6020"/>
    <cellStyle name="Normal 13 5 2 2 5 2 2" xfId="6021"/>
    <cellStyle name="Normal 13 5 2 2 5 3" xfId="6022"/>
    <cellStyle name="Normal 13 5 2 2 6" xfId="6023"/>
    <cellStyle name="Normal 13 5 2 2 6 2" xfId="6024"/>
    <cellStyle name="Normal 13 5 2 2 7" xfId="6025"/>
    <cellStyle name="Normal 13 5 2 3" xfId="6026"/>
    <cellStyle name="Normal 13 5 2 3 2" xfId="6027"/>
    <cellStyle name="Normal 13 5 2 3 2 2" xfId="6028"/>
    <cellStyle name="Normal 13 5 2 3 2 2 2" xfId="6029"/>
    <cellStyle name="Normal 13 5 2 3 2 2 2 2" xfId="6030"/>
    <cellStyle name="Normal 13 5 2 3 2 2 3" xfId="6031"/>
    <cellStyle name="Normal 13 5 2 3 2 3" xfId="6032"/>
    <cellStyle name="Normal 13 5 2 3 2 3 2" xfId="6033"/>
    <cellStyle name="Normal 13 5 2 3 2 4" xfId="6034"/>
    <cellStyle name="Normal 13 5 2 3 3" xfId="6035"/>
    <cellStyle name="Normal 13 5 2 3 3 2" xfId="6036"/>
    <cellStyle name="Normal 13 5 2 3 3 2 2" xfId="6037"/>
    <cellStyle name="Normal 13 5 2 3 3 2 2 2" xfId="6038"/>
    <cellStyle name="Normal 13 5 2 3 3 2 3" xfId="6039"/>
    <cellStyle name="Normal 13 5 2 3 3 3" xfId="6040"/>
    <cellStyle name="Normal 13 5 2 3 3 3 2" xfId="6041"/>
    <cellStyle name="Normal 13 5 2 3 3 4" xfId="6042"/>
    <cellStyle name="Normal 13 5 2 3 4" xfId="6043"/>
    <cellStyle name="Normal 13 5 2 3 4 2" xfId="6044"/>
    <cellStyle name="Normal 13 5 2 3 4 2 2" xfId="6045"/>
    <cellStyle name="Normal 13 5 2 3 4 3" xfId="6046"/>
    <cellStyle name="Normal 13 5 2 3 5" xfId="6047"/>
    <cellStyle name="Normal 13 5 2 3 5 2" xfId="6048"/>
    <cellStyle name="Normal 13 5 2 3 6" xfId="6049"/>
    <cellStyle name="Normal 13 5 2 4" xfId="6050"/>
    <cellStyle name="Normal 13 5 2 4 2" xfId="6051"/>
    <cellStyle name="Normal 13 5 2 4 2 2" xfId="6052"/>
    <cellStyle name="Normal 13 5 2 4 2 2 2" xfId="6053"/>
    <cellStyle name="Normal 13 5 2 4 2 3" xfId="6054"/>
    <cellStyle name="Normal 13 5 2 4 3" xfId="6055"/>
    <cellStyle name="Normal 13 5 2 4 3 2" xfId="6056"/>
    <cellStyle name="Normal 13 5 2 4 4" xfId="6057"/>
    <cellStyle name="Normal 13 5 2 5" xfId="6058"/>
    <cellStyle name="Normal 13 5 2 5 2" xfId="6059"/>
    <cellStyle name="Normal 13 5 2 5 2 2" xfId="6060"/>
    <cellStyle name="Normal 13 5 2 5 2 2 2" xfId="6061"/>
    <cellStyle name="Normal 13 5 2 5 2 3" xfId="6062"/>
    <cellStyle name="Normal 13 5 2 5 3" xfId="6063"/>
    <cellStyle name="Normal 13 5 2 5 3 2" xfId="6064"/>
    <cellStyle name="Normal 13 5 2 5 4" xfId="6065"/>
    <cellStyle name="Normal 13 5 2 6" xfId="6066"/>
    <cellStyle name="Normal 13 5 2 6 2" xfId="6067"/>
    <cellStyle name="Normal 13 5 2 6 2 2" xfId="6068"/>
    <cellStyle name="Normal 13 5 2 6 2 2 2" xfId="6069"/>
    <cellStyle name="Normal 13 5 2 6 2 3" xfId="6070"/>
    <cellStyle name="Normal 13 5 2 6 3" xfId="6071"/>
    <cellStyle name="Normal 13 5 2 6 3 2" xfId="6072"/>
    <cellStyle name="Normal 13 5 2 6 4" xfId="6073"/>
    <cellStyle name="Normal 13 5 2 7" xfId="6074"/>
    <cellStyle name="Normal 13 5 2 7 2" xfId="6075"/>
    <cellStyle name="Normal 13 5 2 7 2 2" xfId="6076"/>
    <cellStyle name="Normal 13 5 2 7 3" xfId="6077"/>
    <cellStyle name="Normal 13 5 2 8" xfId="6078"/>
    <cellStyle name="Normal 13 5 2 8 2" xfId="6079"/>
    <cellStyle name="Normal 13 5 2 9" xfId="6080"/>
    <cellStyle name="Normal 13 5 3" xfId="6081"/>
    <cellStyle name="Normal 13 5 3 2" xfId="6082"/>
    <cellStyle name="Normal 13 5 3 2 2" xfId="6083"/>
    <cellStyle name="Normal 13 5 3 2 2 2" xfId="6084"/>
    <cellStyle name="Normal 13 5 3 2 2 2 2" xfId="6085"/>
    <cellStyle name="Normal 13 5 3 2 2 2 2 2" xfId="6086"/>
    <cellStyle name="Normal 13 5 3 2 2 2 3" xfId="6087"/>
    <cellStyle name="Normal 13 5 3 2 2 3" xfId="6088"/>
    <cellStyle name="Normal 13 5 3 2 2 3 2" xfId="6089"/>
    <cellStyle name="Normal 13 5 3 2 2 4" xfId="6090"/>
    <cellStyle name="Normal 13 5 3 2 3" xfId="6091"/>
    <cellStyle name="Normal 13 5 3 2 3 2" xfId="6092"/>
    <cellStyle name="Normal 13 5 3 2 3 2 2" xfId="6093"/>
    <cellStyle name="Normal 13 5 3 2 3 2 2 2" xfId="6094"/>
    <cellStyle name="Normal 13 5 3 2 3 2 3" xfId="6095"/>
    <cellStyle name="Normal 13 5 3 2 3 3" xfId="6096"/>
    <cellStyle name="Normal 13 5 3 2 3 3 2" xfId="6097"/>
    <cellStyle name="Normal 13 5 3 2 3 4" xfId="6098"/>
    <cellStyle name="Normal 13 5 3 2 4" xfId="6099"/>
    <cellStyle name="Normal 13 5 3 2 4 2" xfId="6100"/>
    <cellStyle name="Normal 13 5 3 2 4 2 2" xfId="6101"/>
    <cellStyle name="Normal 13 5 3 2 4 3" xfId="6102"/>
    <cellStyle name="Normal 13 5 3 2 5" xfId="6103"/>
    <cellStyle name="Normal 13 5 3 2 5 2" xfId="6104"/>
    <cellStyle name="Normal 13 5 3 2 6" xfId="6105"/>
    <cellStyle name="Normal 13 5 3 3" xfId="6106"/>
    <cellStyle name="Normal 13 5 3 3 2" xfId="6107"/>
    <cellStyle name="Normal 13 5 3 3 2 2" xfId="6108"/>
    <cellStyle name="Normal 13 5 3 3 2 2 2" xfId="6109"/>
    <cellStyle name="Normal 13 5 3 3 2 3" xfId="6110"/>
    <cellStyle name="Normal 13 5 3 3 3" xfId="6111"/>
    <cellStyle name="Normal 13 5 3 3 3 2" xfId="6112"/>
    <cellStyle name="Normal 13 5 3 3 4" xfId="6113"/>
    <cellStyle name="Normal 13 5 3 4" xfId="6114"/>
    <cellStyle name="Normal 13 5 3 4 2" xfId="6115"/>
    <cellStyle name="Normal 13 5 3 4 2 2" xfId="6116"/>
    <cellStyle name="Normal 13 5 3 4 2 2 2" xfId="6117"/>
    <cellStyle name="Normal 13 5 3 4 2 3" xfId="6118"/>
    <cellStyle name="Normal 13 5 3 4 3" xfId="6119"/>
    <cellStyle name="Normal 13 5 3 4 3 2" xfId="6120"/>
    <cellStyle name="Normal 13 5 3 4 4" xfId="6121"/>
    <cellStyle name="Normal 13 5 3 5" xfId="6122"/>
    <cellStyle name="Normal 13 5 3 5 2" xfId="6123"/>
    <cellStyle name="Normal 13 5 3 5 2 2" xfId="6124"/>
    <cellStyle name="Normal 13 5 3 5 3" xfId="6125"/>
    <cellStyle name="Normal 13 5 3 6" xfId="6126"/>
    <cellStyle name="Normal 13 5 3 6 2" xfId="6127"/>
    <cellStyle name="Normal 13 5 3 7" xfId="6128"/>
    <cellStyle name="Normal 13 5 4" xfId="6129"/>
    <cellStyle name="Normal 13 5 4 2" xfId="6130"/>
    <cellStyle name="Normal 13 5 4 2 2" xfId="6131"/>
    <cellStyle name="Normal 13 5 4 2 2 2" xfId="6132"/>
    <cellStyle name="Normal 13 5 4 2 2 2 2" xfId="6133"/>
    <cellStyle name="Normal 13 5 4 2 2 3" xfId="6134"/>
    <cellStyle name="Normal 13 5 4 2 3" xfId="6135"/>
    <cellStyle name="Normal 13 5 4 2 3 2" xfId="6136"/>
    <cellStyle name="Normal 13 5 4 2 4" xfId="6137"/>
    <cellStyle name="Normal 13 5 4 3" xfId="6138"/>
    <cellStyle name="Normal 13 5 4 3 2" xfId="6139"/>
    <cellStyle name="Normal 13 5 4 3 2 2" xfId="6140"/>
    <cellStyle name="Normal 13 5 4 3 2 2 2" xfId="6141"/>
    <cellStyle name="Normal 13 5 4 3 2 3" xfId="6142"/>
    <cellStyle name="Normal 13 5 4 3 3" xfId="6143"/>
    <cellStyle name="Normal 13 5 4 3 3 2" xfId="6144"/>
    <cellStyle name="Normal 13 5 4 3 4" xfId="6145"/>
    <cellStyle name="Normal 13 5 4 4" xfId="6146"/>
    <cellStyle name="Normal 13 5 4 4 2" xfId="6147"/>
    <cellStyle name="Normal 13 5 4 4 2 2" xfId="6148"/>
    <cellStyle name="Normal 13 5 4 4 3" xfId="6149"/>
    <cellStyle name="Normal 13 5 4 5" xfId="6150"/>
    <cellStyle name="Normal 13 5 4 5 2" xfId="6151"/>
    <cellStyle name="Normal 13 5 4 6" xfId="6152"/>
    <cellStyle name="Normal 13 5 5" xfId="6153"/>
    <cellStyle name="Normal 13 5 5 2" xfId="6154"/>
    <cellStyle name="Normal 13 5 5 2 2" xfId="6155"/>
    <cellStyle name="Normal 13 5 5 2 2 2" xfId="6156"/>
    <cellStyle name="Normal 13 5 5 2 3" xfId="6157"/>
    <cellStyle name="Normal 13 5 5 3" xfId="6158"/>
    <cellStyle name="Normal 13 5 5 3 2" xfId="6159"/>
    <cellStyle name="Normal 13 5 5 4" xfId="6160"/>
    <cellStyle name="Normal 13 5 6" xfId="6161"/>
    <cellStyle name="Normal 13 5 6 2" xfId="6162"/>
    <cellStyle name="Normal 13 5 6 2 2" xfId="6163"/>
    <cellStyle name="Normal 13 5 6 2 2 2" xfId="6164"/>
    <cellStyle name="Normal 13 5 6 2 3" xfId="6165"/>
    <cellStyle name="Normal 13 5 6 3" xfId="6166"/>
    <cellStyle name="Normal 13 5 6 3 2" xfId="6167"/>
    <cellStyle name="Normal 13 5 6 4" xfId="6168"/>
    <cellStyle name="Normal 13 5 7" xfId="6169"/>
    <cellStyle name="Normal 13 5 7 2" xfId="6170"/>
    <cellStyle name="Normal 13 5 7 2 2" xfId="6171"/>
    <cellStyle name="Normal 13 5 7 2 2 2" xfId="6172"/>
    <cellStyle name="Normal 13 5 7 2 3" xfId="6173"/>
    <cellStyle name="Normal 13 5 7 3" xfId="6174"/>
    <cellStyle name="Normal 13 5 7 3 2" xfId="6175"/>
    <cellStyle name="Normal 13 5 7 4" xfId="6176"/>
    <cellStyle name="Normal 13 5 8" xfId="6177"/>
    <cellStyle name="Normal 13 5 8 2" xfId="6178"/>
    <cellStyle name="Normal 13 5 8 2 2" xfId="6179"/>
    <cellStyle name="Normal 13 5 8 3" xfId="6180"/>
    <cellStyle name="Normal 13 5 9" xfId="6181"/>
    <cellStyle name="Normal 13 5 9 2" xfId="6182"/>
    <cellStyle name="Normal 13 6" xfId="6183"/>
    <cellStyle name="Normal 13 6 2" xfId="6184"/>
    <cellStyle name="Normal 13 6 2 2" xfId="6185"/>
    <cellStyle name="Normal 13 6 2 2 2" xfId="6186"/>
    <cellStyle name="Normal 13 6 2 2 2 2" xfId="6187"/>
    <cellStyle name="Normal 13 6 2 2 2 2 2" xfId="6188"/>
    <cellStyle name="Normal 13 6 2 2 2 2 2 2" xfId="6189"/>
    <cellStyle name="Normal 13 6 2 2 2 2 3" xfId="6190"/>
    <cellStyle name="Normal 13 6 2 2 2 3" xfId="6191"/>
    <cellStyle name="Normal 13 6 2 2 2 3 2" xfId="6192"/>
    <cellStyle name="Normal 13 6 2 2 2 4" xfId="6193"/>
    <cellStyle name="Normal 13 6 2 2 3" xfId="6194"/>
    <cellStyle name="Normal 13 6 2 2 3 2" xfId="6195"/>
    <cellStyle name="Normal 13 6 2 2 3 2 2" xfId="6196"/>
    <cellStyle name="Normal 13 6 2 2 3 2 2 2" xfId="6197"/>
    <cellStyle name="Normal 13 6 2 2 3 2 3" xfId="6198"/>
    <cellStyle name="Normal 13 6 2 2 3 3" xfId="6199"/>
    <cellStyle name="Normal 13 6 2 2 3 3 2" xfId="6200"/>
    <cellStyle name="Normal 13 6 2 2 3 4" xfId="6201"/>
    <cellStyle name="Normal 13 6 2 2 4" xfId="6202"/>
    <cellStyle name="Normal 13 6 2 2 4 2" xfId="6203"/>
    <cellStyle name="Normal 13 6 2 2 4 2 2" xfId="6204"/>
    <cellStyle name="Normal 13 6 2 2 4 3" xfId="6205"/>
    <cellStyle name="Normal 13 6 2 2 5" xfId="6206"/>
    <cellStyle name="Normal 13 6 2 2 5 2" xfId="6207"/>
    <cellStyle name="Normal 13 6 2 2 6" xfId="6208"/>
    <cellStyle name="Normal 13 6 2 3" xfId="6209"/>
    <cellStyle name="Normal 13 6 2 3 2" xfId="6210"/>
    <cellStyle name="Normal 13 6 2 3 2 2" xfId="6211"/>
    <cellStyle name="Normal 13 6 2 3 2 2 2" xfId="6212"/>
    <cellStyle name="Normal 13 6 2 3 2 3" xfId="6213"/>
    <cellStyle name="Normal 13 6 2 3 3" xfId="6214"/>
    <cellStyle name="Normal 13 6 2 3 3 2" xfId="6215"/>
    <cellStyle name="Normal 13 6 2 3 4" xfId="6216"/>
    <cellStyle name="Normal 13 6 2 4" xfId="6217"/>
    <cellStyle name="Normal 13 6 2 4 2" xfId="6218"/>
    <cellStyle name="Normal 13 6 2 4 2 2" xfId="6219"/>
    <cellStyle name="Normal 13 6 2 4 2 2 2" xfId="6220"/>
    <cellStyle name="Normal 13 6 2 4 2 3" xfId="6221"/>
    <cellStyle name="Normal 13 6 2 4 3" xfId="6222"/>
    <cellStyle name="Normal 13 6 2 4 3 2" xfId="6223"/>
    <cellStyle name="Normal 13 6 2 4 4" xfId="6224"/>
    <cellStyle name="Normal 13 6 2 5" xfId="6225"/>
    <cellStyle name="Normal 13 6 2 5 2" xfId="6226"/>
    <cellStyle name="Normal 13 6 2 5 2 2" xfId="6227"/>
    <cellStyle name="Normal 13 6 2 5 3" xfId="6228"/>
    <cellStyle name="Normal 13 6 2 6" xfId="6229"/>
    <cellStyle name="Normal 13 6 2 6 2" xfId="6230"/>
    <cellStyle name="Normal 13 6 2 7" xfId="6231"/>
    <cellStyle name="Normal 13 6 3" xfId="6232"/>
    <cellStyle name="Normal 13 6 3 2" xfId="6233"/>
    <cellStyle name="Normal 13 6 3 2 2" xfId="6234"/>
    <cellStyle name="Normal 13 6 3 2 2 2" xfId="6235"/>
    <cellStyle name="Normal 13 6 3 2 2 2 2" xfId="6236"/>
    <cellStyle name="Normal 13 6 3 2 2 3" xfId="6237"/>
    <cellStyle name="Normal 13 6 3 2 3" xfId="6238"/>
    <cellStyle name="Normal 13 6 3 2 3 2" xfId="6239"/>
    <cellStyle name="Normal 13 6 3 2 4" xfId="6240"/>
    <cellStyle name="Normal 13 6 3 3" xfId="6241"/>
    <cellStyle name="Normal 13 6 3 3 2" xfId="6242"/>
    <cellStyle name="Normal 13 6 3 3 2 2" xfId="6243"/>
    <cellStyle name="Normal 13 6 3 3 2 2 2" xfId="6244"/>
    <cellStyle name="Normal 13 6 3 3 2 3" xfId="6245"/>
    <cellStyle name="Normal 13 6 3 3 3" xfId="6246"/>
    <cellStyle name="Normal 13 6 3 3 3 2" xfId="6247"/>
    <cellStyle name="Normal 13 6 3 3 4" xfId="6248"/>
    <cellStyle name="Normal 13 6 3 4" xfId="6249"/>
    <cellStyle name="Normal 13 6 3 4 2" xfId="6250"/>
    <cellStyle name="Normal 13 6 3 4 2 2" xfId="6251"/>
    <cellStyle name="Normal 13 6 3 4 3" xfId="6252"/>
    <cellStyle name="Normal 13 6 3 5" xfId="6253"/>
    <cellStyle name="Normal 13 6 3 5 2" xfId="6254"/>
    <cellStyle name="Normal 13 6 3 6" xfId="6255"/>
    <cellStyle name="Normal 13 6 4" xfId="6256"/>
    <cellStyle name="Normal 13 6 4 2" xfId="6257"/>
    <cellStyle name="Normal 13 6 4 2 2" xfId="6258"/>
    <cellStyle name="Normal 13 6 4 2 2 2" xfId="6259"/>
    <cellStyle name="Normal 13 6 4 2 3" xfId="6260"/>
    <cellStyle name="Normal 13 6 4 3" xfId="6261"/>
    <cellStyle name="Normal 13 6 4 3 2" xfId="6262"/>
    <cellStyle name="Normal 13 6 4 4" xfId="6263"/>
    <cellStyle name="Normal 13 6 5" xfId="6264"/>
    <cellStyle name="Normal 13 6 5 2" xfId="6265"/>
    <cellStyle name="Normal 13 6 5 2 2" xfId="6266"/>
    <cellStyle name="Normal 13 6 5 2 2 2" xfId="6267"/>
    <cellStyle name="Normal 13 6 5 2 3" xfId="6268"/>
    <cellStyle name="Normal 13 6 5 3" xfId="6269"/>
    <cellStyle name="Normal 13 6 5 3 2" xfId="6270"/>
    <cellStyle name="Normal 13 6 5 4" xfId="6271"/>
    <cellStyle name="Normal 13 6 6" xfId="6272"/>
    <cellStyle name="Normal 13 6 6 2" xfId="6273"/>
    <cellStyle name="Normal 13 6 6 2 2" xfId="6274"/>
    <cellStyle name="Normal 13 6 6 2 2 2" xfId="6275"/>
    <cellStyle name="Normal 13 6 6 2 3" xfId="6276"/>
    <cellStyle name="Normal 13 6 6 3" xfId="6277"/>
    <cellStyle name="Normal 13 6 6 3 2" xfId="6278"/>
    <cellStyle name="Normal 13 6 6 4" xfId="6279"/>
    <cellStyle name="Normal 13 6 7" xfId="6280"/>
    <cellStyle name="Normal 13 6 7 2" xfId="6281"/>
    <cellStyle name="Normal 13 6 7 2 2" xfId="6282"/>
    <cellStyle name="Normal 13 6 7 3" xfId="6283"/>
    <cellStyle name="Normal 13 6 8" xfId="6284"/>
    <cellStyle name="Normal 13 6 8 2" xfId="6285"/>
    <cellStyle name="Normal 13 6 9" xfId="6286"/>
    <cellStyle name="Normal 13 7" xfId="6287"/>
    <cellStyle name="Normal 13 7 2" xfId="6288"/>
    <cellStyle name="Normal 13 7 2 2" xfId="6289"/>
    <cellStyle name="Normal 13 7 2 2 2" xfId="6290"/>
    <cellStyle name="Normal 13 7 2 2 2 2" xfId="6291"/>
    <cellStyle name="Normal 13 7 2 2 2 2 2" xfId="6292"/>
    <cellStyle name="Normal 13 7 2 2 2 3" xfId="6293"/>
    <cellStyle name="Normal 13 7 2 2 3" xfId="6294"/>
    <cellStyle name="Normal 13 7 2 2 3 2" xfId="6295"/>
    <cellStyle name="Normal 13 7 2 2 4" xfId="6296"/>
    <cellStyle name="Normal 13 7 2 3" xfId="6297"/>
    <cellStyle name="Normal 13 7 2 3 2" xfId="6298"/>
    <cellStyle name="Normal 13 7 2 3 2 2" xfId="6299"/>
    <cellStyle name="Normal 13 7 2 3 2 2 2" xfId="6300"/>
    <cellStyle name="Normal 13 7 2 3 2 3" xfId="6301"/>
    <cellStyle name="Normal 13 7 2 3 3" xfId="6302"/>
    <cellStyle name="Normal 13 7 2 3 3 2" xfId="6303"/>
    <cellStyle name="Normal 13 7 2 3 4" xfId="6304"/>
    <cellStyle name="Normal 13 7 2 4" xfId="6305"/>
    <cellStyle name="Normal 13 7 2 4 2" xfId="6306"/>
    <cellStyle name="Normal 13 7 2 4 2 2" xfId="6307"/>
    <cellStyle name="Normal 13 7 2 4 3" xfId="6308"/>
    <cellStyle name="Normal 13 7 2 5" xfId="6309"/>
    <cellStyle name="Normal 13 7 2 5 2" xfId="6310"/>
    <cellStyle name="Normal 13 7 2 6" xfId="6311"/>
    <cellStyle name="Normal 13 7 3" xfId="6312"/>
    <cellStyle name="Normal 13 7 3 2" xfId="6313"/>
    <cellStyle name="Normal 13 7 3 2 2" xfId="6314"/>
    <cellStyle name="Normal 13 7 3 2 2 2" xfId="6315"/>
    <cellStyle name="Normal 13 7 3 2 3" xfId="6316"/>
    <cellStyle name="Normal 13 7 3 3" xfId="6317"/>
    <cellStyle name="Normal 13 7 3 3 2" xfId="6318"/>
    <cellStyle name="Normal 13 7 3 4" xfId="6319"/>
    <cellStyle name="Normal 13 7 4" xfId="6320"/>
    <cellStyle name="Normal 13 7 4 2" xfId="6321"/>
    <cellStyle name="Normal 13 7 4 2 2" xfId="6322"/>
    <cellStyle name="Normal 13 7 4 2 2 2" xfId="6323"/>
    <cellStyle name="Normal 13 7 4 2 3" xfId="6324"/>
    <cellStyle name="Normal 13 7 4 3" xfId="6325"/>
    <cellStyle name="Normal 13 7 4 3 2" xfId="6326"/>
    <cellStyle name="Normal 13 7 4 4" xfId="6327"/>
    <cellStyle name="Normal 13 7 5" xfId="6328"/>
    <cellStyle name="Normal 13 7 5 2" xfId="6329"/>
    <cellStyle name="Normal 13 7 5 2 2" xfId="6330"/>
    <cellStyle name="Normal 13 7 5 3" xfId="6331"/>
    <cellStyle name="Normal 13 7 6" xfId="6332"/>
    <cellStyle name="Normal 13 7 6 2" xfId="6333"/>
    <cellStyle name="Normal 13 7 7" xfId="6334"/>
    <cellStyle name="Normal 13 8" xfId="6335"/>
    <cellStyle name="Normal 13 8 2" xfId="6336"/>
    <cellStyle name="Normal 13 8 2 2" xfId="6337"/>
    <cellStyle name="Normal 13 8 2 2 2" xfId="6338"/>
    <cellStyle name="Normal 13 8 2 2 2 2" xfId="6339"/>
    <cellStyle name="Normal 13 8 2 2 3" xfId="6340"/>
    <cellStyle name="Normal 13 8 2 3" xfId="6341"/>
    <cellStyle name="Normal 13 8 2 3 2" xfId="6342"/>
    <cellStyle name="Normal 13 8 2 4" xfId="6343"/>
    <cellStyle name="Normal 13 8 3" xfId="6344"/>
    <cellStyle name="Normal 13 8 3 2" xfId="6345"/>
    <cellStyle name="Normal 13 8 3 2 2" xfId="6346"/>
    <cellStyle name="Normal 13 8 3 2 2 2" xfId="6347"/>
    <cellStyle name="Normal 13 8 3 2 3" xfId="6348"/>
    <cellStyle name="Normal 13 8 3 3" xfId="6349"/>
    <cellStyle name="Normal 13 8 3 3 2" xfId="6350"/>
    <cellStyle name="Normal 13 8 3 4" xfId="6351"/>
    <cellStyle name="Normal 13 8 4" xfId="6352"/>
    <cellStyle name="Normal 13 8 4 2" xfId="6353"/>
    <cellStyle name="Normal 13 8 4 2 2" xfId="6354"/>
    <cellStyle name="Normal 13 8 4 3" xfId="6355"/>
    <cellStyle name="Normal 13 8 5" xfId="6356"/>
    <cellStyle name="Normal 13 8 5 2" xfId="6357"/>
    <cellStyle name="Normal 13 8 6" xfId="6358"/>
    <cellStyle name="Normal 13 9" xfId="6359"/>
    <cellStyle name="Normal 13 9 2" xfId="6360"/>
    <cellStyle name="Normal 13 9 2 2" xfId="6361"/>
    <cellStyle name="Normal 13 9 2 2 2" xfId="6362"/>
    <cellStyle name="Normal 13 9 2 3" xfId="6363"/>
    <cellStyle name="Normal 13 9 3" xfId="6364"/>
    <cellStyle name="Normal 13 9 3 2" xfId="6365"/>
    <cellStyle name="Normal 13 9 4" xfId="6366"/>
    <cellStyle name="Normal 14" xfId="6367"/>
    <cellStyle name="Normal 14 10" xfId="6368"/>
    <cellStyle name="Normal 14 10 2" xfId="6369"/>
    <cellStyle name="Normal 14 10 2 2" xfId="6370"/>
    <cellStyle name="Normal 14 10 2 2 2" xfId="6371"/>
    <cellStyle name="Normal 14 10 2 3" xfId="6372"/>
    <cellStyle name="Normal 14 10 3" xfId="6373"/>
    <cellStyle name="Normal 14 10 3 2" xfId="6374"/>
    <cellStyle name="Normal 14 10 4" xfId="6375"/>
    <cellStyle name="Normal 14 11" xfId="6376"/>
    <cellStyle name="Normal 14 11 2" xfId="6377"/>
    <cellStyle name="Normal 14 11 2 2" xfId="6378"/>
    <cellStyle name="Normal 14 11 2 2 2" xfId="6379"/>
    <cellStyle name="Normal 14 11 2 3" xfId="6380"/>
    <cellStyle name="Normal 14 11 3" xfId="6381"/>
    <cellStyle name="Normal 14 11 3 2" xfId="6382"/>
    <cellStyle name="Normal 14 11 4" xfId="6383"/>
    <cellStyle name="Normal 14 12" xfId="6384"/>
    <cellStyle name="Normal 14 12 2" xfId="6385"/>
    <cellStyle name="Normal 14 12 2 2" xfId="6386"/>
    <cellStyle name="Normal 14 12 3" xfId="6387"/>
    <cellStyle name="Normal 14 13" xfId="6388"/>
    <cellStyle name="Normal 14 13 2" xfId="6389"/>
    <cellStyle name="Normal 14 14" xfId="6390"/>
    <cellStyle name="Normal 14 2" xfId="6391"/>
    <cellStyle name="Normal 14 2 10" xfId="6392"/>
    <cellStyle name="Normal 14 2 10 2" xfId="6393"/>
    <cellStyle name="Normal 14 2 10 2 2" xfId="6394"/>
    <cellStyle name="Normal 14 2 10 2 2 2" xfId="6395"/>
    <cellStyle name="Normal 14 2 10 2 3" xfId="6396"/>
    <cellStyle name="Normal 14 2 10 3" xfId="6397"/>
    <cellStyle name="Normal 14 2 10 3 2" xfId="6398"/>
    <cellStyle name="Normal 14 2 10 4" xfId="6399"/>
    <cellStyle name="Normal 14 2 11" xfId="6400"/>
    <cellStyle name="Normal 14 2 11 2" xfId="6401"/>
    <cellStyle name="Normal 14 2 11 2 2" xfId="6402"/>
    <cellStyle name="Normal 14 2 11 3" xfId="6403"/>
    <cellStyle name="Normal 14 2 12" xfId="6404"/>
    <cellStyle name="Normal 14 2 12 2" xfId="6405"/>
    <cellStyle name="Normal 14 2 13" xfId="6406"/>
    <cellStyle name="Normal 14 2 2" xfId="6407"/>
    <cellStyle name="Normal 14 2 2 10" xfId="6408"/>
    <cellStyle name="Normal 14 2 2 10 2" xfId="6409"/>
    <cellStyle name="Normal 14 2 2 11" xfId="6410"/>
    <cellStyle name="Normal 14 2 2 2" xfId="6411"/>
    <cellStyle name="Normal 14 2 2 2 10" xfId="6412"/>
    <cellStyle name="Normal 14 2 2 2 2" xfId="6413"/>
    <cellStyle name="Normal 14 2 2 2 2 2" xfId="6414"/>
    <cellStyle name="Normal 14 2 2 2 2 2 2" xfId="6415"/>
    <cellStyle name="Normal 14 2 2 2 2 2 2 2" xfId="6416"/>
    <cellStyle name="Normal 14 2 2 2 2 2 2 2 2" xfId="6417"/>
    <cellStyle name="Normal 14 2 2 2 2 2 2 2 2 2" xfId="6418"/>
    <cellStyle name="Normal 14 2 2 2 2 2 2 2 2 2 2" xfId="6419"/>
    <cellStyle name="Normal 14 2 2 2 2 2 2 2 2 3" xfId="6420"/>
    <cellStyle name="Normal 14 2 2 2 2 2 2 2 3" xfId="6421"/>
    <cellStyle name="Normal 14 2 2 2 2 2 2 2 3 2" xfId="6422"/>
    <cellStyle name="Normal 14 2 2 2 2 2 2 2 4" xfId="6423"/>
    <cellStyle name="Normal 14 2 2 2 2 2 2 3" xfId="6424"/>
    <cellStyle name="Normal 14 2 2 2 2 2 2 3 2" xfId="6425"/>
    <cellStyle name="Normal 14 2 2 2 2 2 2 3 2 2" xfId="6426"/>
    <cellStyle name="Normal 14 2 2 2 2 2 2 3 2 2 2" xfId="6427"/>
    <cellStyle name="Normal 14 2 2 2 2 2 2 3 2 3" xfId="6428"/>
    <cellStyle name="Normal 14 2 2 2 2 2 2 3 3" xfId="6429"/>
    <cellStyle name="Normal 14 2 2 2 2 2 2 3 3 2" xfId="6430"/>
    <cellStyle name="Normal 14 2 2 2 2 2 2 3 4" xfId="6431"/>
    <cellStyle name="Normal 14 2 2 2 2 2 2 4" xfId="6432"/>
    <cellStyle name="Normal 14 2 2 2 2 2 2 4 2" xfId="6433"/>
    <cellStyle name="Normal 14 2 2 2 2 2 2 4 2 2" xfId="6434"/>
    <cellStyle name="Normal 14 2 2 2 2 2 2 4 3" xfId="6435"/>
    <cellStyle name="Normal 14 2 2 2 2 2 2 5" xfId="6436"/>
    <cellStyle name="Normal 14 2 2 2 2 2 2 5 2" xfId="6437"/>
    <cellStyle name="Normal 14 2 2 2 2 2 2 6" xfId="6438"/>
    <cellStyle name="Normal 14 2 2 2 2 2 3" xfId="6439"/>
    <cellStyle name="Normal 14 2 2 2 2 2 3 2" xfId="6440"/>
    <cellStyle name="Normal 14 2 2 2 2 2 3 2 2" xfId="6441"/>
    <cellStyle name="Normal 14 2 2 2 2 2 3 2 2 2" xfId="6442"/>
    <cellStyle name="Normal 14 2 2 2 2 2 3 2 3" xfId="6443"/>
    <cellStyle name="Normal 14 2 2 2 2 2 3 3" xfId="6444"/>
    <cellStyle name="Normal 14 2 2 2 2 2 3 3 2" xfId="6445"/>
    <cellStyle name="Normal 14 2 2 2 2 2 3 4" xfId="6446"/>
    <cellStyle name="Normal 14 2 2 2 2 2 4" xfId="6447"/>
    <cellStyle name="Normal 14 2 2 2 2 2 4 2" xfId="6448"/>
    <cellStyle name="Normal 14 2 2 2 2 2 4 2 2" xfId="6449"/>
    <cellStyle name="Normal 14 2 2 2 2 2 4 2 2 2" xfId="6450"/>
    <cellStyle name="Normal 14 2 2 2 2 2 4 2 3" xfId="6451"/>
    <cellStyle name="Normal 14 2 2 2 2 2 4 3" xfId="6452"/>
    <cellStyle name="Normal 14 2 2 2 2 2 4 3 2" xfId="6453"/>
    <cellStyle name="Normal 14 2 2 2 2 2 4 4" xfId="6454"/>
    <cellStyle name="Normal 14 2 2 2 2 2 5" xfId="6455"/>
    <cellStyle name="Normal 14 2 2 2 2 2 5 2" xfId="6456"/>
    <cellStyle name="Normal 14 2 2 2 2 2 5 2 2" xfId="6457"/>
    <cellStyle name="Normal 14 2 2 2 2 2 5 3" xfId="6458"/>
    <cellStyle name="Normal 14 2 2 2 2 2 6" xfId="6459"/>
    <cellStyle name="Normal 14 2 2 2 2 2 6 2" xfId="6460"/>
    <cellStyle name="Normal 14 2 2 2 2 2 7" xfId="6461"/>
    <cellStyle name="Normal 14 2 2 2 2 3" xfId="6462"/>
    <cellStyle name="Normal 14 2 2 2 2 3 2" xfId="6463"/>
    <cellStyle name="Normal 14 2 2 2 2 3 2 2" xfId="6464"/>
    <cellStyle name="Normal 14 2 2 2 2 3 2 2 2" xfId="6465"/>
    <cellStyle name="Normal 14 2 2 2 2 3 2 2 2 2" xfId="6466"/>
    <cellStyle name="Normal 14 2 2 2 2 3 2 2 3" xfId="6467"/>
    <cellStyle name="Normal 14 2 2 2 2 3 2 3" xfId="6468"/>
    <cellStyle name="Normal 14 2 2 2 2 3 2 3 2" xfId="6469"/>
    <cellStyle name="Normal 14 2 2 2 2 3 2 4" xfId="6470"/>
    <cellStyle name="Normal 14 2 2 2 2 3 3" xfId="6471"/>
    <cellStyle name="Normal 14 2 2 2 2 3 3 2" xfId="6472"/>
    <cellStyle name="Normal 14 2 2 2 2 3 3 2 2" xfId="6473"/>
    <cellStyle name="Normal 14 2 2 2 2 3 3 2 2 2" xfId="6474"/>
    <cellStyle name="Normal 14 2 2 2 2 3 3 2 3" xfId="6475"/>
    <cellStyle name="Normal 14 2 2 2 2 3 3 3" xfId="6476"/>
    <cellStyle name="Normal 14 2 2 2 2 3 3 3 2" xfId="6477"/>
    <cellStyle name="Normal 14 2 2 2 2 3 3 4" xfId="6478"/>
    <cellStyle name="Normal 14 2 2 2 2 3 4" xfId="6479"/>
    <cellStyle name="Normal 14 2 2 2 2 3 4 2" xfId="6480"/>
    <cellStyle name="Normal 14 2 2 2 2 3 4 2 2" xfId="6481"/>
    <cellStyle name="Normal 14 2 2 2 2 3 4 3" xfId="6482"/>
    <cellStyle name="Normal 14 2 2 2 2 3 5" xfId="6483"/>
    <cellStyle name="Normal 14 2 2 2 2 3 5 2" xfId="6484"/>
    <cellStyle name="Normal 14 2 2 2 2 3 6" xfId="6485"/>
    <cellStyle name="Normal 14 2 2 2 2 4" xfId="6486"/>
    <cellStyle name="Normal 14 2 2 2 2 4 2" xfId="6487"/>
    <cellStyle name="Normal 14 2 2 2 2 4 2 2" xfId="6488"/>
    <cellStyle name="Normal 14 2 2 2 2 4 2 2 2" xfId="6489"/>
    <cellStyle name="Normal 14 2 2 2 2 4 2 3" xfId="6490"/>
    <cellStyle name="Normal 14 2 2 2 2 4 3" xfId="6491"/>
    <cellStyle name="Normal 14 2 2 2 2 4 3 2" xfId="6492"/>
    <cellStyle name="Normal 14 2 2 2 2 4 4" xfId="6493"/>
    <cellStyle name="Normal 14 2 2 2 2 5" xfId="6494"/>
    <cellStyle name="Normal 14 2 2 2 2 5 2" xfId="6495"/>
    <cellStyle name="Normal 14 2 2 2 2 5 2 2" xfId="6496"/>
    <cellStyle name="Normal 14 2 2 2 2 5 2 2 2" xfId="6497"/>
    <cellStyle name="Normal 14 2 2 2 2 5 2 3" xfId="6498"/>
    <cellStyle name="Normal 14 2 2 2 2 5 3" xfId="6499"/>
    <cellStyle name="Normal 14 2 2 2 2 5 3 2" xfId="6500"/>
    <cellStyle name="Normal 14 2 2 2 2 5 4" xfId="6501"/>
    <cellStyle name="Normal 14 2 2 2 2 6" xfId="6502"/>
    <cellStyle name="Normal 14 2 2 2 2 6 2" xfId="6503"/>
    <cellStyle name="Normal 14 2 2 2 2 6 2 2" xfId="6504"/>
    <cellStyle name="Normal 14 2 2 2 2 6 2 2 2" xfId="6505"/>
    <cellStyle name="Normal 14 2 2 2 2 6 2 3" xfId="6506"/>
    <cellStyle name="Normal 14 2 2 2 2 6 3" xfId="6507"/>
    <cellStyle name="Normal 14 2 2 2 2 6 3 2" xfId="6508"/>
    <cellStyle name="Normal 14 2 2 2 2 6 4" xfId="6509"/>
    <cellStyle name="Normal 14 2 2 2 2 7" xfId="6510"/>
    <cellStyle name="Normal 14 2 2 2 2 7 2" xfId="6511"/>
    <cellStyle name="Normal 14 2 2 2 2 7 2 2" xfId="6512"/>
    <cellStyle name="Normal 14 2 2 2 2 7 3" xfId="6513"/>
    <cellStyle name="Normal 14 2 2 2 2 8" xfId="6514"/>
    <cellStyle name="Normal 14 2 2 2 2 8 2" xfId="6515"/>
    <cellStyle name="Normal 14 2 2 2 2 9" xfId="6516"/>
    <cellStyle name="Normal 14 2 2 2 3" xfId="6517"/>
    <cellStyle name="Normal 14 2 2 2 3 2" xfId="6518"/>
    <cellStyle name="Normal 14 2 2 2 3 2 2" xfId="6519"/>
    <cellStyle name="Normal 14 2 2 2 3 2 2 2" xfId="6520"/>
    <cellStyle name="Normal 14 2 2 2 3 2 2 2 2" xfId="6521"/>
    <cellStyle name="Normal 14 2 2 2 3 2 2 2 2 2" xfId="6522"/>
    <cellStyle name="Normal 14 2 2 2 3 2 2 2 3" xfId="6523"/>
    <cellStyle name="Normal 14 2 2 2 3 2 2 3" xfId="6524"/>
    <cellStyle name="Normal 14 2 2 2 3 2 2 3 2" xfId="6525"/>
    <cellStyle name="Normal 14 2 2 2 3 2 2 4" xfId="6526"/>
    <cellStyle name="Normal 14 2 2 2 3 2 3" xfId="6527"/>
    <cellStyle name="Normal 14 2 2 2 3 2 3 2" xfId="6528"/>
    <cellStyle name="Normal 14 2 2 2 3 2 3 2 2" xfId="6529"/>
    <cellStyle name="Normal 14 2 2 2 3 2 3 2 2 2" xfId="6530"/>
    <cellStyle name="Normal 14 2 2 2 3 2 3 2 3" xfId="6531"/>
    <cellStyle name="Normal 14 2 2 2 3 2 3 3" xfId="6532"/>
    <cellStyle name="Normal 14 2 2 2 3 2 3 3 2" xfId="6533"/>
    <cellStyle name="Normal 14 2 2 2 3 2 3 4" xfId="6534"/>
    <cellStyle name="Normal 14 2 2 2 3 2 4" xfId="6535"/>
    <cellStyle name="Normal 14 2 2 2 3 2 4 2" xfId="6536"/>
    <cellStyle name="Normal 14 2 2 2 3 2 4 2 2" xfId="6537"/>
    <cellStyle name="Normal 14 2 2 2 3 2 4 3" xfId="6538"/>
    <cellStyle name="Normal 14 2 2 2 3 2 5" xfId="6539"/>
    <cellStyle name="Normal 14 2 2 2 3 2 5 2" xfId="6540"/>
    <cellStyle name="Normal 14 2 2 2 3 2 6" xfId="6541"/>
    <cellStyle name="Normal 14 2 2 2 3 3" xfId="6542"/>
    <cellStyle name="Normal 14 2 2 2 3 3 2" xfId="6543"/>
    <cellStyle name="Normal 14 2 2 2 3 3 2 2" xfId="6544"/>
    <cellStyle name="Normal 14 2 2 2 3 3 2 2 2" xfId="6545"/>
    <cellStyle name="Normal 14 2 2 2 3 3 2 3" xfId="6546"/>
    <cellStyle name="Normal 14 2 2 2 3 3 3" xfId="6547"/>
    <cellStyle name="Normal 14 2 2 2 3 3 3 2" xfId="6548"/>
    <cellStyle name="Normal 14 2 2 2 3 3 4" xfId="6549"/>
    <cellStyle name="Normal 14 2 2 2 3 4" xfId="6550"/>
    <cellStyle name="Normal 14 2 2 2 3 4 2" xfId="6551"/>
    <cellStyle name="Normal 14 2 2 2 3 4 2 2" xfId="6552"/>
    <cellStyle name="Normal 14 2 2 2 3 4 2 2 2" xfId="6553"/>
    <cellStyle name="Normal 14 2 2 2 3 4 2 3" xfId="6554"/>
    <cellStyle name="Normal 14 2 2 2 3 4 3" xfId="6555"/>
    <cellStyle name="Normal 14 2 2 2 3 4 3 2" xfId="6556"/>
    <cellStyle name="Normal 14 2 2 2 3 4 4" xfId="6557"/>
    <cellStyle name="Normal 14 2 2 2 3 5" xfId="6558"/>
    <cellStyle name="Normal 14 2 2 2 3 5 2" xfId="6559"/>
    <cellStyle name="Normal 14 2 2 2 3 5 2 2" xfId="6560"/>
    <cellStyle name="Normal 14 2 2 2 3 5 3" xfId="6561"/>
    <cellStyle name="Normal 14 2 2 2 3 6" xfId="6562"/>
    <cellStyle name="Normal 14 2 2 2 3 6 2" xfId="6563"/>
    <cellStyle name="Normal 14 2 2 2 3 7" xfId="6564"/>
    <cellStyle name="Normal 14 2 2 2 4" xfId="6565"/>
    <cellStyle name="Normal 14 2 2 2 4 2" xfId="6566"/>
    <cellStyle name="Normal 14 2 2 2 4 2 2" xfId="6567"/>
    <cellStyle name="Normal 14 2 2 2 4 2 2 2" xfId="6568"/>
    <cellStyle name="Normal 14 2 2 2 4 2 2 2 2" xfId="6569"/>
    <cellStyle name="Normal 14 2 2 2 4 2 2 3" xfId="6570"/>
    <cellStyle name="Normal 14 2 2 2 4 2 3" xfId="6571"/>
    <cellStyle name="Normal 14 2 2 2 4 2 3 2" xfId="6572"/>
    <cellStyle name="Normal 14 2 2 2 4 2 4" xfId="6573"/>
    <cellStyle name="Normal 14 2 2 2 4 3" xfId="6574"/>
    <cellStyle name="Normal 14 2 2 2 4 3 2" xfId="6575"/>
    <cellStyle name="Normal 14 2 2 2 4 3 2 2" xfId="6576"/>
    <cellStyle name="Normal 14 2 2 2 4 3 2 2 2" xfId="6577"/>
    <cellStyle name="Normal 14 2 2 2 4 3 2 3" xfId="6578"/>
    <cellStyle name="Normal 14 2 2 2 4 3 3" xfId="6579"/>
    <cellStyle name="Normal 14 2 2 2 4 3 3 2" xfId="6580"/>
    <cellStyle name="Normal 14 2 2 2 4 3 4" xfId="6581"/>
    <cellStyle name="Normal 14 2 2 2 4 4" xfId="6582"/>
    <cellStyle name="Normal 14 2 2 2 4 4 2" xfId="6583"/>
    <cellStyle name="Normal 14 2 2 2 4 4 2 2" xfId="6584"/>
    <cellStyle name="Normal 14 2 2 2 4 4 3" xfId="6585"/>
    <cellStyle name="Normal 14 2 2 2 4 5" xfId="6586"/>
    <cellStyle name="Normal 14 2 2 2 4 5 2" xfId="6587"/>
    <cellStyle name="Normal 14 2 2 2 4 6" xfId="6588"/>
    <cellStyle name="Normal 14 2 2 2 5" xfId="6589"/>
    <cellStyle name="Normal 14 2 2 2 5 2" xfId="6590"/>
    <cellStyle name="Normal 14 2 2 2 5 2 2" xfId="6591"/>
    <cellStyle name="Normal 14 2 2 2 5 2 2 2" xfId="6592"/>
    <cellStyle name="Normal 14 2 2 2 5 2 3" xfId="6593"/>
    <cellStyle name="Normal 14 2 2 2 5 3" xfId="6594"/>
    <cellStyle name="Normal 14 2 2 2 5 3 2" xfId="6595"/>
    <cellStyle name="Normal 14 2 2 2 5 4" xfId="6596"/>
    <cellStyle name="Normal 14 2 2 2 6" xfId="6597"/>
    <cellStyle name="Normal 14 2 2 2 6 2" xfId="6598"/>
    <cellStyle name="Normal 14 2 2 2 6 2 2" xfId="6599"/>
    <cellStyle name="Normal 14 2 2 2 6 2 2 2" xfId="6600"/>
    <cellStyle name="Normal 14 2 2 2 6 2 3" xfId="6601"/>
    <cellStyle name="Normal 14 2 2 2 6 3" xfId="6602"/>
    <cellStyle name="Normal 14 2 2 2 6 3 2" xfId="6603"/>
    <cellStyle name="Normal 14 2 2 2 6 4" xfId="6604"/>
    <cellStyle name="Normal 14 2 2 2 7" xfId="6605"/>
    <cellStyle name="Normal 14 2 2 2 7 2" xfId="6606"/>
    <cellStyle name="Normal 14 2 2 2 7 2 2" xfId="6607"/>
    <cellStyle name="Normal 14 2 2 2 7 2 2 2" xfId="6608"/>
    <cellStyle name="Normal 14 2 2 2 7 2 3" xfId="6609"/>
    <cellStyle name="Normal 14 2 2 2 7 3" xfId="6610"/>
    <cellStyle name="Normal 14 2 2 2 7 3 2" xfId="6611"/>
    <cellStyle name="Normal 14 2 2 2 7 4" xfId="6612"/>
    <cellStyle name="Normal 14 2 2 2 8" xfId="6613"/>
    <cellStyle name="Normal 14 2 2 2 8 2" xfId="6614"/>
    <cellStyle name="Normal 14 2 2 2 8 2 2" xfId="6615"/>
    <cellStyle name="Normal 14 2 2 2 8 3" xfId="6616"/>
    <cellStyle name="Normal 14 2 2 2 9" xfId="6617"/>
    <cellStyle name="Normal 14 2 2 2 9 2" xfId="6618"/>
    <cellStyle name="Normal 14 2 2 3" xfId="6619"/>
    <cellStyle name="Normal 14 2 2 3 2" xfId="6620"/>
    <cellStyle name="Normal 14 2 2 3 2 2" xfId="6621"/>
    <cellStyle name="Normal 14 2 2 3 2 2 2" xfId="6622"/>
    <cellStyle name="Normal 14 2 2 3 2 2 2 2" xfId="6623"/>
    <cellStyle name="Normal 14 2 2 3 2 2 2 2 2" xfId="6624"/>
    <cellStyle name="Normal 14 2 2 3 2 2 2 2 2 2" xfId="6625"/>
    <cellStyle name="Normal 14 2 2 3 2 2 2 2 3" xfId="6626"/>
    <cellStyle name="Normal 14 2 2 3 2 2 2 3" xfId="6627"/>
    <cellStyle name="Normal 14 2 2 3 2 2 2 3 2" xfId="6628"/>
    <cellStyle name="Normal 14 2 2 3 2 2 2 4" xfId="6629"/>
    <cellStyle name="Normal 14 2 2 3 2 2 3" xfId="6630"/>
    <cellStyle name="Normal 14 2 2 3 2 2 3 2" xfId="6631"/>
    <cellStyle name="Normal 14 2 2 3 2 2 3 2 2" xfId="6632"/>
    <cellStyle name="Normal 14 2 2 3 2 2 3 2 2 2" xfId="6633"/>
    <cellStyle name="Normal 14 2 2 3 2 2 3 2 3" xfId="6634"/>
    <cellStyle name="Normal 14 2 2 3 2 2 3 3" xfId="6635"/>
    <cellStyle name="Normal 14 2 2 3 2 2 3 3 2" xfId="6636"/>
    <cellStyle name="Normal 14 2 2 3 2 2 3 4" xfId="6637"/>
    <cellStyle name="Normal 14 2 2 3 2 2 4" xfId="6638"/>
    <cellStyle name="Normal 14 2 2 3 2 2 4 2" xfId="6639"/>
    <cellStyle name="Normal 14 2 2 3 2 2 4 2 2" xfId="6640"/>
    <cellStyle name="Normal 14 2 2 3 2 2 4 3" xfId="6641"/>
    <cellStyle name="Normal 14 2 2 3 2 2 5" xfId="6642"/>
    <cellStyle name="Normal 14 2 2 3 2 2 5 2" xfId="6643"/>
    <cellStyle name="Normal 14 2 2 3 2 2 6" xfId="6644"/>
    <cellStyle name="Normal 14 2 2 3 2 3" xfId="6645"/>
    <cellStyle name="Normal 14 2 2 3 2 3 2" xfId="6646"/>
    <cellStyle name="Normal 14 2 2 3 2 3 2 2" xfId="6647"/>
    <cellStyle name="Normal 14 2 2 3 2 3 2 2 2" xfId="6648"/>
    <cellStyle name="Normal 14 2 2 3 2 3 2 3" xfId="6649"/>
    <cellStyle name="Normal 14 2 2 3 2 3 3" xfId="6650"/>
    <cellStyle name="Normal 14 2 2 3 2 3 3 2" xfId="6651"/>
    <cellStyle name="Normal 14 2 2 3 2 3 4" xfId="6652"/>
    <cellStyle name="Normal 14 2 2 3 2 4" xfId="6653"/>
    <cellStyle name="Normal 14 2 2 3 2 4 2" xfId="6654"/>
    <cellStyle name="Normal 14 2 2 3 2 4 2 2" xfId="6655"/>
    <cellStyle name="Normal 14 2 2 3 2 4 2 2 2" xfId="6656"/>
    <cellStyle name="Normal 14 2 2 3 2 4 2 3" xfId="6657"/>
    <cellStyle name="Normal 14 2 2 3 2 4 3" xfId="6658"/>
    <cellStyle name="Normal 14 2 2 3 2 4 3 2" xfId="6659"/>
    <cellStyle name="Normal 14 2 2 3 2 4 4" xfId="6660"/>
    <cellStyle name="Normal 14 2 2 3 2 5" xfId="6661"/>
    <cellStyle name="Normal 14 2 2 3 2 5 2" xfId="6662"/>
    <cellStyle name="Normal 14 2 2 3 2 5 2 2" xfId="6663"/>
    <cellStyle name="Normal 14 2 2 3 2 5 3" xfId="6664"/>
    <cellStyle name="Normal 14 2 2 3 2 6" xfId="6665"/>
    <cellStyle name="Normal 14 2 2 3 2 6 2" xfId="6666"/>
    <cellStyle name="Normal 14 2 2 3 2 7" xfId="6667"/>
    <cellStyle name="Normal 14 2 2 3 3" xfId="6668"/>
    <cellStyle name="Normal 14 2 2 3 3 2" xfId="6669"/>
    <cellStyle name="Normal 14 2 2 3 3 2 2" xfId="6670"/>
    <cellStyle name="Normal 14 2 2 3 3 2 2 2" xfId="6671"/>
    <cellStyle name="Normal 14 2 2 3 3 2 2 2 2" xfId="6672"/>
    <cellStyle name="Normal 14 2 2 3 3 2 2 3" xfId="6673"/>
    <cellStyle name="Normal 14 2 2 3 3 2 3" xfId="6674"/>
    <cellStyle name="Normal 14 2 2 3 3 2 3 2" xfId="6675"/>
    <cellStyle name="Normal 14 2 2 3 3 2 4" xfId="6676"/>
    <cellStyle name="Normal 14 2 2 3 3 3" xfId="6677"/>
    <cellStyle name="Normal 14 2 2 3 3 3 2" xfId="6678"/>
    <cellStyle name="Normal 14 2 2 3 3 3 2 2" xfId="6679"/>
    <cellStyle name="Normal 14 2 2 3 3 3 2 2 2" xfId="6680"/>
    <cellStyle name="Normal 14 2 2 3 3 3 2 3" xfId="6681"/>
    <cellStyle name="Normal 14 2 2 3 3 3 3" xfId="6682"/>
    <cellStyle name="Normal 14 2 2 3 3 3 3 2" xfId="6683"/>
    <cellStyle name="Normal 14 2 2 3 3 3 4" xfId="6684"/>
    <cellStyle name="Normal 14 2 2 3 3 4" xfId="6685"/>
    <cellStyle name="Normal 14 2 2 3 3 4 2" xfId="6686"/>
    <cellStyle name="Normal 14 2 2 3 3 4 2 2" xfId="6687"/>
    <cellStyle name="Normal 14 2 2 3 3 4 3" xfId="6688"/>
    <cellStyle name="Normal 14 2 2 3 3 5" xfId="6689"/>
    <cellStyle name="Normal 14 2 2 3 3 5 2" xfId="6690"/>
    <cellStyle name="Normal 14 2 2 3 3 6" xfId="6691"/>
    <cellStyle name="Normal 14 2 2 3 4" xfId="6692"/>
    <cellStyle name="Normal 14 2 2 3 4 2" xfId="6693"/>
    <cellStyle name="Normal 14 2 2 3 4 2 2" xfId="6694"/>
    <cellStyle name="Normal 14 2 2 3 4 2 2 2" xfId="6695"/>
    <cellStyle name="Normal 14 2 2 3 4 2 3" xfId="6696"/>
    <cellStyle name="Normal 14 2 2 3 4 3" xfId="6697"/>
    <cellStyle name="Normal 14 2 2 3 4 3 2" xfId="6698"/>
    <cellStyle name="Normal 14 2 2 3 4 4" xfId="6699"/>
    <cellStyle name="Normal 14 2 2 3 5" xfId="6700"/>
    <cellStyle name="Normal 14 2 2 3 5 2" xfId="6701"/>
    <cellStyle name="Normal 14 2 2 3 5 2 2" xfId="6702"/>
    <cellStyle name="Normal 14 2 2 3 5 2 2 2" xfId="6703"/>
    <cellStyle name="Normal 14 2 2 3 5 2 3" xfId="6704"/>
    <cellStyle name="Normal 14 2 2 3 5 3" xfId="6705"/>
    <cellStyle name="Normal 14 2 2 3 5 3 2" xfId="6706"/>
    <cellStyle name="Normal 14 2 2 3 5 4" xfId="6707"/>
    <cellStyle name="Normal 14 2 2 3 6" xfId="6708"/>
    <cellStyle name="Normal 14 2 2 3 6 2" xfId="6709"/>
    <cellStyle name="Normal 14 2 2 3 6 2 2" xfId="6710"/>
    <cellStyle name="Normal 14 2 2 3 6 2 2 2" xfId="6711"/>
    <cellStyle name="Normal 14 2 2 3 6 2 3" xfId="6712"/>
    <cellStyle name="Normal 14 2 2 3 6 3" xfId="6713"/>
    <cellStyle name="Normal 14 2 2 3 6 3 2" xfId="6714"/>
    <cellStyle name="Normal 14 2 2 3 6 4" xfId="6715"/>
    <cellStyle name="Normal 14 2 2 3 7" xfId="6716"/>
    <cellStyle name="Normal 14 2 2 3 7 2" xfId="6717"/>
    <cellStyle name="Normal 14 2 2 3 7 2 2" xfId="6718"/>
    <cellStyle name="Normal 14 2 2 3 7 3" xfId="6719"/>
    <cellStyle name="Normal 14 2 2 3 8" xfId="6720"/>
    <cellStyle name="Normal 14 2 2 3 8 2" xfId="6721"/>
    <cellStyle name="Normal 14 2 2 3 9" xfId="6722"/>
    <cellStyle name="Normal 14 2 2 4" xfId="6723"/>
    <cellStyle name="Normal 14 2 2 4 2" xfId="6724"/>
    <cellStyle name="Normal 14 2 2 4 2 2" xfId="6725"/>
    <cellStyle name="Normal 14 2 2 4 2 2 2" xfId="6726"/>
    <cellStyle name="Normal 14 2 2 4 2 2 2 2" xfId="6727"/>
    <cellStyle name="Normal 14 2 2 4 2 2 2 2 2" xfId="6728"/>
    <cellStyle name="Normal 14 2 2 4 2 2 2 3" xfId="6729"/>
    <cellStyle name="Normal 14 2 2 4 2 2 3" xfId="6730"/>
    <cellStyle name="Normal 14 2 2 4 2 2 3 2" xfId="6731"/>
    <cellStyle name="Normal 14 2 2 4 2 2 4" xfId="6732"/>
    <cellStyle name="Normal 14 2 2 4 2 3" xfId="6733"/>
    <cellStyle name="Normal 14 2 2 4 2 3 2" xfId="6734"/>
    <cellStyle name="Normal 14 2 2 4 2 3 2 2" xfId="6735"/>
    <cellStyle name="Normal 14 2 2 4 2 3 2 2 2" xfId="6736"/>
    <cellStyle name="Normal 14 2 2 4 2 3 2 3" xfId="6737"/>
    <cellStyle name="Normal 14 2 2 4 2 3 3" xfId="6738"/>
    <cellStyle name="Normal 14 2 2 4 2 3 3 2" xfId="6739"/>
    <cellStyle name="Normal 14 2 2 4 2 3 4" xfId="6740"/>
    <cellStyle name="Normal 14 2 2 4 2 4" xfId="6741"/>
    <cellStyle name="Normal 14 2 2 4 2 4 2" xfId="6742"/>
    <cellStyle name="Normal 14 2 2 4 2 4 2 2" xfId="6743"/>
    <cellStyle name="Normal 14 2 2 4 2 4 3" xfId="6744"/>
    <cellStyle name="Normal 14 2 2 4 2 5" xfId="6745"/>
    <cellStyle name="Normal 14 2 2 4 2 5 2" xfId="6746"/>
    <cellStyle name="Normal 14 2 2 4 2 6" xfId="6747"/>
    <cellStyle name="Normal 14 2 2 4 3" xfId="6748"/>
    <cellStyle name="Normal 14 2 2 4 3 2" xfId="6749"/>
    <cellStyle name="Normal 14 2 2 4 3 2 2" xfId="6750"/>
    <cellStyle name="Normal 14 2 2 4 3 2 2 2" xfId="6751"/>
    <cellStyle name="Normal 14 2 2 4 3 2 3" xfId="6752"/>
    <cellStyle name="Normal 14 2 2 4 3 3" xfId="6753"/>
    <cellStyle name="Normal 14 2 2 4 3 3 2" xfId="6754"/>
    <cellStyle name="Normal 14 2 2 4 3 4" xfId="6755"/>
    <cellStyle name="Normal 14 2 2 4 4" xfId="6756"/>
    <cellStyle name="Normal 14 2 2 4 4 2" xfId="6757"/>
    <cellStyle name="Normal 14 2 2 4 4 2 2" xfId="6758"/>
    <cellStyle name="Normal 14 2 2 4 4 2 2 2" xfId="6759"/>
    <cellStyle name="Normal 14 2 2 4 4 2 3" xfId="6760"/>
    <cellStyle name="Normal 14 2 2 4 4 3" xfId="6761"/>
    <cellStyle name="Normal 14 2 2 4 4 3 2" xfId="6762"/>
    <cellStyle name="Normal 14 2 2 4 4 4" xfId="6763"/>
    <cellStyle name="Normal 14 2 2 4 5" xfId="6764"/>
    <cellStyle name="Normal 14 2 2 4 5 2" xfId="6765"/>
    <cellStyle name="Normal 14 2 2 4 5 2 2" xfId="6766"/>
    <cellStyle name="Normal 14 2 2 4 5 3" xfId="6767"/>
    <cellStyle name="Normal 14 2 2 4 6" xfId="6768"/>
    <cellStyle name="Normal 14 2 2 4 6 2" xfId="6769"/>
    <cellStyle name="Normal 14 2 2 4 7" xfId="6770"/>
    <cellStyle name="Normal 14 2 2 5" xfId="6771"/>
    <cellStyle name="Normal 14 2 2 5 2" xfId="6772"/>
    <cellStyle name="Normal 14 2 2 5 2 2" xfId="6773"/>
    <cellStyle name="Normal 14 2 2 5 2 2 2" xfId="6774"/>
    <cellStyle name="Normal 14 2 2 5 2 2 2 2" xfId="6775"/>
    <cellStyle name="Normal 14 2 2 5 2 2 3" xfId="6776"/>
    <cellStyle name="Normal 14 2 2 5 2 3" xfId="6777"/>
    <cellStyle name="Normal 14 2 2 5 2 3 2" xfId="6778"/>
    <cellStyle name="Normal 14 2 2 5 2 4" xfId="6779"/>
    <cellStyle name="Normal 14 2 2 5 3" xfId="6780"/>
    <cellStyle name="Normal 14 2 2 5 3 2" xfId="6781"/>
    <cellStyle name="Normal 14 2 2 5 3 2 2" xfId="6782"/>
    <cellStyle name="Normal 14 2 2 5 3 2 2 2" xfId="6783"/>
    <cellStyle name="Normal 14 2 2 5 3 2 3" xfId="6784"/>
    <cellStyle name="Normal 14 2 2 5 3 3" xfId="6785"/>
    <cellStyle name="Normal 14 2 2 5 3 3 2" xfId="6786"/>
    <cellStyle name="Normal 14 2 2 5 3 4" xfId="6787"/>
    <cellStyle name="Normal 14 2 2 5 4" xfId="6788"/>
    <cellStyle name="Normal 14 2 2 5 4 2" xfId="6789"/>
    <cellStyle name="Normal 14 2 2 5 4 2 2" xfId="6790"/>
    <cellStyle name="Normal 14 2 2 5 4 3" xfId="6791"/>
    <cellStyle name="Normal 14 2 2 5 5" xfId="6792"/>
    <cellStyle name="Normal 14 2 2 5 5 2" xfId="6793"/>
    <cellStyle name="Normal 14 2 2 5 6" xfId="6794"/>
    <cellStyle name="Normal 14 2 2 6" xfId="6795"/>
    <cellStyle name="Normal 14 2 2 6 2" xfId="6796"/>
    <cellStyle name="Normal 14 2 2 6 2 2" xfId="6797"/>
    <cellStyle name="Normal 14 2 2 6 2 2 2" xfId="6798"/>
    <cellStyle name="Normal 14 2 2 6 2 3" xfId="6799"/>
    <cellStyle name="Normal 14 2 2 6 3" xfId="6800"/>
    <cellStyle name="Normal 14 2 2 6 3 2" xfId="6801"/>
    <cellStyle name="Normal 14 2 2 6 4" xfId="6802"/>
    <cellStyle name="Normal 14 2 2 7" xfId="6803"/>
    <cellStyle name="Normal 14 2 2 7 2" xfId="6804"/>
    <cellStyle name="Normal 14 2 2 7 2 2" xfId="6805"/>
    <cellStyle name="Normal 14 2 2 7 2 2 2" xfId="6806"/>
    <cellStyle name="Normal 14 2 2 7 2 3" xfId="6807"/>
    <cellStyle name="Normal 14 2 2 7 3" xfId="6808"/>
    <cellStyle name="Normal 14 2 2 7 3 2" xfId="6809"/>
    <cellStyle name="Normal 14 2 2 7 4" xfId="6810"/>
    <cellStyle name="Normal 14 2 2 8" xfId="6811"/>
    <cellStyle name="Normal 14 2 2 8 2" xfId="6812"/>
    <cellStyle name="Normal 14 2 2 8 2 2" xfId="6813"/>
    <cellStyle name="Normal 14 2 2 8 2 2 2" xfId="6814"/>
    <cellStyle name="Normal 14 2 2 8 2 3" xfId="6815"/>
    <cellStyle name="Normal 14 2 2 8 3" xfId="6816"/>
    <cellStyle name="Normal 14 2 2 8 3 2" xfId="6817"/>
    <cellStyle name="Normal 14 2 2 8 4" xfId="6818"/>
    <cellStyle name="Normal 14 2 2 9" xfId="6819"/>
    <cellStyle name="Normal 14 2 2 9 2" xfId="6820"/>
    <cellStyle name="Normal 14 2 2 9 2 2" xfId="6821"/>
    <cellStyle name="Normal 14 2 2 9 3" xfId="6822"/>
    <cellStyle name="Normal 14 2 3" xfId="6823"/>
    <cellStyle name="Normal 14 2 3 10" xfId="6824"/>
    <cellStyle name="Normal 14 2 3 2" xfId="6825"/>
    <cellStyle name="Normal 14 2 3 2 2" xfId="6826"/>
    <cellStyle name="Normal 14 2 3 2 2 2" xfId="6827"/>
    <cellStyle name="Normal 14 2 3 2 2 2 2" xfId="6828"/>
    <cellStyle name="Normal 14 2 3 2 2 2 2 2" xfId="6829"/>
    <cellStyle name="Normal 14 2 3 2 2 2 2 2 2" xfId="6830"/>
    <cellStyle name="Normal 14 2 3 2 2 2 2 2 2 2" xfId="6831"/>
    <cellStyle name="Normal 14 2 3 2 2 2 2 2 3" xfId="6832"/>
    <cellStyle name="Normal 14 2 3 2 2 2 2 3" xfId="6833"/>
    <cellStyle name="Normal 14 2 3 2 2 2 2 3 2" xfId="6834"/>
    <cellStyle name="Normal 14 2 3 2 2 2 2 4" xfId="6835"/>
    <cellStyle name="Normal 14 2 3 2 2 2 3" xfId="6836"/>
    <cellStyle name="Normal 14 2 3 2 2 2 3 2" xfId="6837"/>
    <cellStyle name="Normal 14 2 3 2 2 2 3 2 2" xfId="6838"/>
    <cellStyle name="Normal 14 2 3 2 2 2 3 2 2 2" xfId="6839"/>
    <cellStyle name="Normal 14 2 3 2 2 2 3 2 3" xfId="6840"/>
    <cellStyle name="Normal 14 2 3 2 2 2 3 3" xfId="6841"/>
    <cellStyle name="Normal 14 2 3 2 2 2 3 3 2" xfId="6842"/>
    <cellStyle name="Normal 14 2 3 2 2 2 3 4" xfId="6843"/>
    <cellStyle name="Normal 14 2 3 2 2 2 4" xfId="6844"/>
    <cellStyle name="Normal 14 2 3 2 2 2 4 2" xfId="6845"/>
    <cellStyle name="Normal 14 2 3 2 2 2 4 2 2" xfId="6846"/>
    <cellStyle name="Normal 14 2 3 2 2 2 4 3" xfId="6847"/>
    <cellStyle name="Normal 14 2 3 2 2 2 5" xfId="6848"/>
    <cellStyle name="Normal 14 2 3 2 2 2 5 2" xfId="6849"/>
    <cellStyle name="Normal 14 2 3 2 2 2 6" xfId="6850"/>
    <cellStyle name="Normal 14 2 3 2 2 3" xfId="6851"/>
    <cellStyle name="Normal 14 2 3 2 2 3 2" xfId="6852"/>
    <cellStyle name="Normal 14 2 3 2 2 3 2 2" xfId="6853"/>
    <cellStyle name="Normal 14 2 3 2 2 3 2 2 2" xfId="6854"/>
    <cellStyle name="Normal 14 2 3 2 2 3 2 3" xfId="6855"/>
    <cellStyle name="Normal 14 2 3 2 2 3 3" xfId="6856"/>
    <cellStyle name="Normal 14 2 3 2 2 3 3 2" xfId="6857"/>
    <cellStyle name="Normal 14 2 3 2 2 3 4" xfId="6858"/>
    <cellStyle name="Normal 14 2 3 2 2 4" xfId="6859"/>
    <cellStyle name="Normal 14 2 3 2 2 4 2" xfId="6860"/>
    <cellStyle name="Normal 14 2 3 2 2 4 2 2" xfId="6861"/>
    <cellStyle name="Normal 14 2 3 2 2 4 2 2 2" xfId="6862"/>
    <cellStyle name="Normal 14 2 3 2 2 4 2 3" xfId="6863"/>
    <cellStyle name="Normal 14 2 3 2 2 4 3" xfId="6864"/>
    <cellStyle name="Normal 14 2 3 2 2 4 3 2" xfId="6865"/>
    <cellStyle name="Normal 14 2 3 2 2 4 4" xfId="6866"/>
    <cellStyle name="Normal 14 2 3 2 2 5" xfId="6867"/>
    <cellStyle name="Normal 14 2 3 2 2 5 2" xfId="6868"/>
    <cellStyle name="Normal 14 2 3 2 2 5 2 2" xfId="6869"/>
    <cellStyle name="Normal 14 2 3 2 2 5 3" xfId="6870"/>
    <cellStyle name="Normal 14 2 3 2 2 6" xfId="6871"/>
    <cellStyle name="Normal 14 2 3 2 2 6 2" xfId="6872"/>
    <cellStyle name="Normal 14 2 3 2 2 7" xfId="6873"/>
    <cellStyle name="Normal 14 2 3 2 3" xfId="6874"/>
    <cellStyle name="Normal 14 2 3 2 3 2" xfId="6875"/>
    <cellStyle name="Normal 14 2 3 2 3 2 2" xfId="6876"/>
    <cellStyle name="Normal 14 2 3 2 3 2 2 2" xfId="6877"/>
    <cellStyle name="Normal 14 2 3 2 3 2 2 2 2" xfId="6878"/>
    <cellStyle name="Normal 14 2 3 2 3 2 2 3" xfId="6879"/>
    <cellStyle name="Normal 14 2 3 2 3 2 3" xfId="6880"/>
    <cellStyle name="Normal 14 2 3 2 3 2 3 2" xfId="6881"/>
    <cellStyle name="Normal 14 2 3 2 3 2 4" xfId="6882"/>
    <cellStyle name="Normal 14 2 3 2 3 3" xfId="6883"/>
    <cellStyle name="Normal 14 2 3 2 3 3 2" xfId="6884"/>
    <cellStyle name="Normal 14 2 3 2 3 3 2 2" xfId="6885"/>
    <cellStyle name="Normal 14 2 3 2 3 3 2 2 2" xfId="6886"/>
    <cellStyle name="Normal 14 2 3 2 3 3 2 3" xfId="6887"/>
    <cellStyle name="Normal 14 2 3 2 3 3 3" xfId="6888"/>
    <cellStyle name="Normal 14 2 3 2 3 3 3 2" xfId="6889"/>
    <cellStyle name="Normal 14 2 3 2 3 3 4" xfId="6890"/>
    <cellStyle name="Normal 14 2 3 2 3 4" xfId="6891"/>
    <cellStyle name="Normal 14 2 3 2 3 4 2" xfId="6892"/>
    <cellStyle name="Normal 14 2 3 2 3 4 2 2" xfId="6893"/>
    <cellStyle name="Normal 14 2 3 2 3 4 3" xfId="6894"/>
    <cellStyle name="Normal 14 2 3 2 3 5" xfId="6895"/>
    <cellStyle name="Normal 14 2 3 2 3 5 2" xfId="6896"/>
    <cellStyle name="Normal 14 2 3 2 3 6" xfId="6897"/>
    <cellStyle name="Normal 14 2 3 2 4" xfId="6898"/>
    <cellStyle name="Normal 14 2 3 2 4 2" xfId="6899"/>
    <cellStyle name="Normal 14 2 3 2 4 2 2" xfId="6900"/>
    <cellStyle name="Normal 14 2 3 2 4 2 2 2" xfId="6901"/>
    <cellStyle name="Normal 14 2 3 2 4 2 3" xfId="6902"/>
    <cellStyle name="Normal 14 2 3 2 4 3" xfId="6903"/>
    <cellStyle name="Normal 14 2 3 2 4 3 2" xfId="6904"/>
    <cellStyle name="Normal 14 2 3 2 4 4" xfId="6905"/>
    <cellStyle name="Normal 14 2 3 2 5" xfId="6906"/>
    <cellStyle name="Normal 14 2 3 2 5 2" xfId="6907"/>
    <cellStyle name="Normal 14 2 3 2 5 2 2" xfId="6908"/>
    <cellStyle name="Normal 14 2 3 2 5 2 2 2" xfId="6909"/>
    <cellStyle name="Normal 14 2 3 2 5 2 3" xfId="6910"/>
    <cellStyle name="Normal 14 2 3 2 5 3" xfId="6911"/>
    <cellStyle name="Normal 14 2 3 2 5 3 2" xfId="6912"/>
    <cellStyle name="Normal 14 2 3 2 5 4" xfId="6913"/>
    <cellStyle name="Normal 14 2 3 2 6" xfId="6914"/>
    <cellStyle name="Normal 14 2 3 2 6 2" xfId="6915"/>
    <cellStyle name="Normal 14 2 3 2 6 2 2" xfId="6916"/>
    <cellStyle name="Normal 14 2 3 2 6 2 2 2" xfId="6917"/>
    <cellStyle name="Normal 14 2 3 2 6 2 3" xfId="6918"/>
    <cellStyle name="Normal 14 2 3 2 6 3" xfId="6919"/>
    <cellStyle name="Normal 14 2 3 2 6 3 2" xfId="6920"/>
    <cellStyle name="Normal 14 2 3 2 6 4" xfId="6921"/>
    <cellStyle name="Normal 14 2 3 2 7" xfId="6922"/>
    <cellStyle name="Normal 14 2 3 2 7 2" xfId="6923"/>
    <cellStyle name="Normal 14 2 3 2 7 2 2" xfId="6924"/>
    <cellStyle name="Normal 14 2 3 2 7 3" xfId="6925"/>
    <cellStyle name="Normal 14 2 3 2 8" xfId="6926"/>
    <cellStyle name="Normal 14 2 3 2 8 2" xfId="6927"/>
    <cellStyle name="Normal 14 2 3 2 9" xfId="6928"/>
    <cellStyle name="Normal 14 2 3 3" xfId="6929"/>
    <cellStyle name="Normal 14 2 3 3 2" xfId="6930"/>
    <cellStyle name="Normal 14 2 3 3 2 2" xfId="6931"/>
    <cellStyle name="Normal 14 2 3 3 2 2 2" xfId="6932"/>
    <cellStyle name="Normal 14 2 3 3 2 2 2 2" xfId="6933"/>
    <cellStyle name="Normal 14 2 3 3 2 2 2 2 2" xfId="6934"/>
    <cellStyle name="Normal 14 2 3 3 2 2 2 3" xfId="6935"/>
    <cellStyle name="Normal 14 2 3 3 2 2 3" xfId="6936"/>
    <cellStyle name="Normal 14 2 3 3 2 2 3 2" xfId="6937"/>
    <cellStyle name="Normal 14 2 3 3 2 2 4" xfId="6938"/>
    <cellStyle name="Normal 14 2 3 3 2 3" xfId="6939"/>
    <cellStyle name="Normal 14 2 3 3 2 3 2" xfId="6940"/>
    <cellStyle name="Normal 14 2 3 3 2 3 2 2" xfId="6941"/>
    <cellStyle name="Normal 14 2 3 3 2 3 2 2 2" xfId="6942"/>
    <cellStyle name="Normal 14 2 3 3 2 3 2 3" xfId="6943"/>
    <cellStyle name="Normal 14 2 3 3 2 3 3" xfId="6944"/>
    <cellStyle name="Normal 14 2 3 3 2 3 3 2" xfId="6945"/>
    <cellStyle name="Normal 14 2 3 3 2 3 4" xfId="6946"/>
    <cellStyle name="Normal 14 2 3 3 2 4" xfId="6947"/>
    <cellStyle name="Normal 14 2 3 3 2 4 2" xfId="6948"/>
    <cellStyle name="Normal 14 2 3 3 2 4 2 2" xfId="6949"/>
    <cellStyle name="Normal 14 2 3 3 2 4 3" xfId="6950"/>
    <cellStyle name="Normal 14 2 3 3 2 5" xfId="6951"/>
    <cellStyle name="Normal 14 2 3 3 2 5 2" xfId="6952"/>
    <cellStyle name="Normal 14 2 3 3 2 6" xfId="6953"/>
    <cellStyle name="Normal 14 2 3 3 3" xfId="6954"/>
    <cellStyle name="Normal 14 2 3 3 3 2" xfId="6955"/>
    <cellStyle name="Normal 14 2 3 3 3 2 2" xfId="6956"/>
    <cellStyle name="Normal 14 2 3 3 3 2 2 2" xfId="6957"/>
    <cellStyle name="Normal 14 2 3 3 3 2 3" xfId="6958"/>
    <cellStyle name="Normal 14 2 3 3 3 3" xfId="6959"/>
    <cellStyle name="Normal 14 2 3 3 3 3 2" xfId="6960"/>
    <cellStyle name="Normal 14 2 3 3 3 4" xfId="6961"/>
    <cellStyle name="Normal 14 2 3 3 4" xfId="6962"/>
    <cellStyle name="Normal 14 2 3 3 4 2" xfId="6963"/>
    <cellStyle name="Normal 14 2 3 3 4 2 2" xfId="6964"/>
    <cellStyle name="Normal 14 2 3 3 4 2 2 2" xfId="6965"/>
    <cellStyle name="Normal 14 2 3 3 4 2 3" xfId="6966"/>
    <cellStyle name="Normal 14 2 3 3 4 3" xfId="6967"/>
    <cellStyle name="Normal 14 2 3 3 4 3 2" xfId="6968"/>
    <cellStyle name="Normal 14 2 3 3 4 4" xfId="6969"/>
    <cellStyle name="Normal 14 2 3 3 5" xfId="6970"/>
    <cellStyle name="Normal 14 2 3 3 5 2" xfId="6971"/>
    <cellStyle name="Normal 14 2 3 3 5 2 2" xfId="6972"/>
    <cellStyle name="Normal 14 2 3 3 5 3" xfId="6973"/>
    <cellStyle name="Normal 14 2 3 3 6" xfId="6974"/>
    <cellStyle name="Normal 14 2 3 3 6 2" xfId="6975"/>
    <cellStyle name="Normal 14 2 3 3 7" xfId="6976"/>
    <cellStyle name="Normal 14 2 3 4" xfId="6977"/>
    <cellStyle name="Normal 14 2 3 4 2" xfId="6978"/>
    <cellStyle name="Normal 14 2 3 4 2 2" xfId="6979"/>
    <cellStyle name="Normal 14 2 3 4 2 2 2" xfId="6980"/>
    <cellStyle name="Normal 14 2 3 4 2 2 2 2" xfId="6981"/>
    <cellStyle name="Normal 14 2 3 4 2 2 3" xfId="6982"/>
    <cellStyle name="Normal 14 2 3 4 2 3" xfId="6983"/>
    <cellStyle name="Normal 14 2 3 4 2 3 2" xfId="6984"/>
    <cellStyle name="Normal 14 2 3 4 2 4" xfId="6985"/>
    <cellStyle name="Normal 14 2 3 4 3" xfId="6986"/>
    <cellStyle name="Normal 14 2 3 4 3 2" xfId="6987"/>
    <cellStyle name="Normal 14 2 3 4 3 2 2" xfId="6988"/>
    <cellStyle name="Normal 14 2 3 4 3 2 2 2" xfId="6989"/>
    <cellStyle name="Normal 14 2 3 4 3 2 3" xfId="6990"/>
    <cellStyle name="Normal 14 2 3 4 3 3" xfId="6991"/>
    <cellStyle name="Normal 14 2 3 4 3 3 2" xfId="6992"/>
    <cellStyle name="Normal 14 2 3 4 3 4" xfId="6993"/>
    <cellStyle name="Normal 14 2 3 4 4" xfId="6994"/>
    <cellStyle name="Normal 14 2 3 4 4 2" xfId="6995"/>
    <cellStyle name="Normal 14 2 3 4 4 2 2" xfId="6996"/>
    <cellStyle name="Normal 14 2 3 4 4 3" xfId="6997"/>
    <cellStyle name="Normal 14 2 3 4 5" xfId="6998"/>
    <cellStyle name="Normal 14 2 3 4 5 2" xfId="6999"/>
    <cellStyle name="Normal 14 2 3 4 6" xfId="7000"/>
    <cellStyle name="Normal 14 2 3 5" xfId="7001"/>
    <cellStyle name="Normal 14 2 3 5 2" xfId="7002"/>
    <cellStyle name="Normal 14 2 3 5 2 2" xfId="7003"/>
    <cellStyle name="Normal 14 2 3 5 2 2 2" xfId="7004"/>
    <cellStyle name="Normal 14 2 3 5 2 3" xfId="7005"/>
    <cellStyle name="Normal 14 2 3 5 3" xfId="7006"/>
    <cellStyle name="Normal 14 2 3 5 3 2" xfId="7007"/>
    <cellStyle name="Normal 14 2 3 5 4" xfId="7008"/>
    <cellStyle name="Normal 14 2 3 6" xfId="7009"/>
    <cellStyle name="Normal 14 2 3 6 2" xfId="7010"/>
    <cellStyle name="Normal 14 2 3 6 2 2" xfId="7011"/>
    <cellStyle name="Normal 14 2 3 6 2 2 2" xfId="7012"/>
    <cellStyle name="Normal 14 2 3 6 2 3" xfId="7013"/>
    <cellStyle name="Normal 14 2 3 6 3" xfId="7014"/>
    <cellStyle name="Normal 14 2 3 6 3 2" xfId="7015"/>
    <cellStyle name="Normal 14 2 3 6 4" xfId="7016"/>
    <cellStyle name="Normal 14 2 3 7" xfId="7017"/>
    <cellStyle name="Normal 14 2 3 7 2" xfId="7018"/>
    <cellStyle name="Normal 14 2 3 7 2 2" xfId="7019"/>
    <cellStyle name="Normal 14 2 3 7 2 2 2" xfId="7020"/>
    <cellStyle name="Normal 14 2 3 7 2 3" xfId="7021"/>
    <cellStyle name="Normal 14 2 3 7 3" xfId="7022"/>
    <cellStyle name="Normal 14 2 3 7 3 2" xfId="7023"/>
    <cellStyle name="Normal 14 2 3 7 4" xfId="7024"/>
    <cellStyle name="Normal 14 2 3 8" xfId="7025"/>
    <cellStyle name="Normal 14 2 3 8 2" xfId="7026"/>
    <cellStyle name="Normal 14 2 3 8 2 2" xfId="7027"/>
    <cellStyle name="Normal 14 2 3 8 3" xfId="7028"/>
    <cellStyle name="Normal 14 2 3 9" xfId="7029"/>
    <cellStyle name="Normal 14 2 3 9 2" xfId="7030"/>
    <cellStyle name="Normal 14 2 4" xfId="7031"/>
    <cellStyle name="Normal 14 2 4 10" xfId="7032"/>
    <cellStyle name="Normal 14 2 4 2" xfId="7033"/>
    <cellStyle name="Normal 14 2 4 2 2" xfId="7034"/>
    <cellStyle name="Normal 14 2 4 2 2 2" xfId="7035"/>
    <cellStyle name="Normal 14 2 4 2 2 2 2" xfId="7036"/>
    <cellStyle name="Normal 14 2 4 2 2 2 2 2" xfId="7037"/>
    <cellStyle name="Normal 14 2 4 2 2 2 2 2 2" xfId="7038"/>
    <cellStyle name="Normal 14 2 4 2 2 2 2 2 2 2" xfId="7039"/>
    <cellStyle name="Normal 14 2 4 2 2 2 2 2 3" xfId="7040"/>
    <cellStyle name="Normal 14 2 4 2 2 2 2 3" xfId="7041"/>
    <cellStyle name="Normal 14 2 4 2 2 2 2 3 2" xfId="7042"/>
    <cellStyle name="Normal 14 2 4 2 2 2 2 4" xfId="7043"/>
    <cellStyle name="Normal 14 2 4 2 2 2 3" xfId="7044"/>
    <cellStyle name="Normal 14 2 4 2 2 2 3 2" xfId="7045"/>
    <cellStyle name="Normal 14 2 4 2 2 2 3 2 2" xfId="7046"/>
    <cellStyle name="Normal 14 2 4 2 2 2 3 2 2 2" xfId="7047"/>
    <cellStyle name="Normal 14 2 4 2 2 2 3 2 3" xfId="7048"/>
    <cellStyle name="Normal 14 2 4 2 2 2 3 3" xfId="7049"/>
    <cellStyle name="Normal 14 2 4 2 2 2 3 3 2" xfId="7050"/>
    <cellStyle name="Normal 14 2 4 2 2 2 3 4" xfId="7051"/>
    <cellStyle name="Normal 14 2 4 2 2 2 4" xfId="7052"/>
    <cellStyle name="Normal 14 2 4 2 2 2 4 2" xfId="7053"/>
    <cellStyle name="Normal 14 2 4 2 2 2 4 2 2" xfId="7054"/>
    <cellStyle name="Normal 14 2 4 2 2 2 4 3" xfId="7055"/>
    <cellStyle name="Normal 14 2 4 2 2 2 5" xfId="7056"/>
    <cellStyle name="Normal 14 2 4 2 2 2 5 2" xfId="7057"/>
    <cellStyle name="Normal 14 2 4 2 2 2 6" xfId="7058"/>
    <cellStyle name="Normal 14 2 4 2 2 3" xfId="7059"/>
    <cellStyle name="Normal 14 2 4 2 2 3 2" xfId="7060"/>
    <cellStyle name="Normal 14 2 4 2 2 3 2 2" xfId="7061"/>
    <cellStyle name="Normal 14 2 4 2 2 3 2 2 2" xfId="7062"/>
    <cellStyle name="Normal 14 2 4 2 2 3 2 3" xfId="7063"/>
    <cellStyle name="Normal 14 2 4 2 2 3 3" xfId="7064"/>
    <cellStyle name="Normal 14 2 4 2 2 3 3 2" xfId="7065"/>
    <cellStyle name="Normal 14 2 4 2 2 3 4" xfId="7066"/>
    <cellStyle name="Normal 14 2 4 2 2 4" xfId="7067"/>
    <cellStyle name="Normal 14 2 4 2 2 4 2" xfId="7068"/>
    <cellStyle name="Normal 14 2 4 2 2 4 2 2" xfId="7069"/>
    <cellStyle name="Normal 14 2 4 2 2 4 2 2 2" xfId="7070"/>
    <cellStyle name="Normal 14 2 4 2 2 4 2 3" xfId="7071"/>
    <cellStyle name="Normal 14 2 4 2 2 4 3" xfId="7072"/>
    <cellStyle name="Normal 14 2 4 2 2 4 3 2" xfId="7073"/>
    <cellStyle name="Normal 14 2 4 2 2 4 4" xfId="7074"/>
    <cellStyle name="Normal 14 2 4 2 2 5" xfId="7075"/>
    <cellStyle name="Normal 14 2 4 2 2 5 2" xfId="7076"/>
    <cellStyle name="Normal 14 2 4 2 2 5 2 2" xfId="7077"/>
    <cellStyle name="Normal 14 2 4 2 2 5 3" xfId="7078"/>
    <cellStyle name="Normal 14 2 4 2 2 6" xfId="7079"/>
    <cellStyle name="Normal 14 2 4 2 2 6 2" xfId="7080"/>
    <cellStyle name="Normal 14 2 4 2 2 7" xfId="7081"/>
    <cellStyle name="Normal 14 2 4 2 3" xfId="7082"/>
    <cellStyle name="Normal 14 2 4 2 3 2" xfId="7083"/>
    <cellStyle name="Normal 14 2 4 2 3 2 2" xfId="7084"/>
    <cellStyle name="Normal 14 2 4 2 3 2 2 2" xfId="7085"/>
    <cellStyle name="Normal 14 2 4 2 3 2 2 2 2" xfId="7086"/>
    <cellStyle name="Normal 14 2 4 2 3 2 2 3" xfId="7087"/>
    <cellStyle name="Normal 14 2 4 2 3 2 3" xfId="7088"/>
    <cellStyle name="Normal 14 2 4 2 3 2 3 2" xfId="7089"/>
    <cellStyle name="Normal 14 2 4 2 3 2 4" xfId="7090"/>
    <cellStyle name="Normal 14 2 4 2 3 3" xfId="7091"/>
    <cellStyle name="Normal 14 2 4 2 3 3 2" xfId="7092"/>
    <cellStyle name="Normal 14 2 4 2 3 3 2 2" xfId="7093"/>
    <cellStyle name="Normal 14 2 4 2 3 3 2 2 2" xfId="7094"/>
    <cellStyle name="Normal 14 2 4 2 3 3 2 3" xfId="7095"/>
    <cellStyle name="Normal 14 2 4 2 3 3 3" xfId="7096"/>
    <cellStyle name="Normal 14 2 4 2 3 3 3 2" xfId="7097"/>
    <cellStyle name="Normal 14 2 4 2 3 3 4" xfId="7098"/>
    <cellStyle name="Normal 14 2 4 2 3 4" xfId="7099"/>
    <cellStyle name="Normal 14 2 4 2 3 4 2" xfId="7100"/>
    <cellStyle name="Normal 14 2 4 2 3 4 2 2" xfId="7101"/>
    <cellStyle name="Normal 14 2 4 2 3 4 3" xfId="7102"/>
    <cellStyle name="Normal 14 2 4 2 3 5" xfId="7103"/>
    <cellStyle name="Normal 14 2 4 2 3 5 2" xfId="7104"/>
    <cellStyle name="Normal 14 2 4 2 3 6" xfId="7105"/>
    <cellStyle name="Normal 14 2 4 2 4" xfId="7106"/>
    <cellStyle name="Normal 14 2 4 2 4 2" xfId="7107"/>
    <cellStyle name="Normal 14 2 4 2 4 2 2" xfId="7108"/>
    <cellStyle name="Normal 14 2 4 2 4 2 2 2" xfId="7109"/>
    <cellStyle name="Normal 14 2 4 2 4 2 3" xfId="7110"/>
    <cellStyle name="Normal 14 2 4 2 4 3" xfId="7111"/>
    <cellStyle name="Normal 14 2 4 2 4 3 2" xfId="7112"/>
    <cellStyle name="Normal 14 2 4 2 4 4" xfId="7113"/>
    <cellStyle name="Normal 14 2 4 2 5" xfId="7114"/>
    <cellStyle name="Normal 14 2 4 2 5 2" xfId="7115"/>
    <cellStyle name="Normal 14 2 4 2 5 2 2" xfId="7116"/>
    <cellStyle name="Normal 14 2 4 2 5 2 2 2" xfId="7117"/>
    <cellStyle name="Normal 14 2 4 2 5 2 3" xfId="7118"/>
    <cellStyle name="Normal 14 2 4 2 5 3" xfId="7119"/>
    <cellStyle name="Normal 14 2 4 2 5 3 2" xfId="7120"/>
    <cellStyle name="Normal 14 2 4 2 5 4" xfId="7121"/>
    <cellStyle name="Normal 14 2 4 2 6" xfId="7122"/>
    <cellStyle name="Normal 14 2 4 2 6 2" xfId="7123"/>
    <cellStyle name="Normal 14 2 4 2 6 2 2" xfId="7124"/>
    <cellStyle name="Normal 14 2 4 2 6 2 2 2" xfId="7125"/>
    <cellStyle name="Normal 14 2 4 2 6 2 3" xfId="7126"/>
    <cellStyle name="Normal 14 2 4 2 6 3" xfId="7127"/>
    <cellStyle name="Normal 14 2 4 2 6 3 2" xfId="7128"/>
    <cellStyle name="Normal 14 2 4 2 6 4" xfId="7129"/>
    <cellStyle name="Normal 14 2 4 2 7" xfId="7130"/>
    <cellStyle name="Normal 14 2 4 2 7 2" xfId="7131"/>
    <cellStyle name="Normal 14 2 4 2 7 2 2" xfId="7132"/>
    <cellStyle name="Normal 14 2 4 2 7 3" xfId="7133"/>
    <cellStyle name="Normal 14 2 4 2 8" xfId="7134"/>
    <cellStyle name="Normal 14 2 4 2 8 2" xfId="7135"/>
    <cellStyle name="Normal 14 2 4 2 9" xfId="7136"/>
    <cellStyle name="Normal 14 2 4 3" xfId="7137"/>
    <cellStyle name="Normal 14 2 4 3 2" xfId="7138"/>
    <cellStyle name="Normal 14 2 4 3 2 2" xfId="7139"/>
    <cellStyle name="Normal 14 2 4 3 2 2 2" xfId="7140"/>
    <cellStyle name="Normal 14 2 4 3 2 2 2 2" xfId="7141"/>
    <cellStyle name="Normal 14 2 4 3 2 2 2 2 2" xfId="7142"/>
    <cellStyle name="Normal 14 2 4 3 2 2 2 3" xfId="7143"/>
    <cellStyle name="Normal 14 2 4 3 2 2 3" xfId="7144"/>
    <cellStyle name="Normal 14 2 4 3 2 2 3 2" xfId="7145"/>
    <cellStyle name="Normal 14 2 4 3 2 2 4" xfId="7146"/>
    <cellStyle name="Normal 14 2 4 3 2 3" xfId="7147"/>
    <cellStyle name="Normal 14 2 4 3 2 3 2" xfId="7148"/>
    <cellStyle name="Normal 14 2 4 3 2 3 2 2" xfId="7149"/>
    <cellStyle name="Normal 14 2 4 3 2 3 2 2 2" xfId="7150"/>
    <cellStyle name="Normal 14 2 4 3 2 3 2 3" xfId="7151"/>
    <cellStyle name="Normal 14 2 4 3 2 3 3" xfId="7152"/>
    <cellStyle name="Normal 14 2 4 3 2 3 3 2" xfId="7153"/>
    <cellStyle name="Normal 14 2 4 3 2 3 4" xfId="7154"/>
    <cellStyle name="Normal 14 2 4 3 2 4" xfId="7155"/>
    <cellStyle name="Normal 14 2 4 3 2 4 2" xfId="7156"/>
    <cellStyle name="Normal 14 2 4 3 2 4 2 2" xfId="7157"/>
    <cellStyle name="Normal 14 2 4 3 2 4 3" xfId="7158"/>
    <cellStyle name="Normal 14 2 4 3 2 5" xfId="7159"/>
    <cellStyle name="Normal 14 2 4 3 2 5 2" xfId="7160"/>
    <cellStyle name="Normal 14 2 4 3 2 6" xfId="7161"/>
    <cellStyle name="Normal 14 2 4 3 3" xfId="7162"/>
    <cellStyle name="Normal 14 2 4 3 3 2" xfId="7163"/>
    <cellStyle name="Normal 14 2 4 3 3 2 2" xfId="7164"/>
    <cellStyle name="Normal 14 2 4 3 3 2 2 2" xfId="7165"/>
    <cellStyle name="Normal 14 2 4 3 3 2 3" xfId="7166"/>
    <cellStyle name="Normal 14 2 4 3 3 3" xfId="7167"/>
    <cellStyle name="Normal 14 2 4 3 3 3 2" xfId="7168"/>
    <cellStyle name="Normal 14 2 4 3 3 4" xfId="7169"/>
    <cellStyle name="Normal 14 2 4 3 4" xfId="7170"/>
    <cellStyle name="Normal 14 2 4 3 4 2" xfId="7171"/>
    <cellStyle name="Normal 14 2 4 3 4 2 2" xfId="7172"/>
    <cellStyle name="Normal 14 2 4 3 4 2 2 2" xfId="7173"/>
    <cellStyle name="Normal 14 2 4 3 4 2 3" xfId="7174"/>
    <cellStyle name="Normal 14 2 4 3 4 3" xfId="7175"/>
    <cellStyle name="Normal 14 2 4 3 4 3 2" xfId="7176"/>
    <cellStyle name="Normal 14 2 4 3 4 4" xfId="7177"/>
    <cellStyle name="Normal 14 2 4 3 5" xfId="7178"/>
    <cellStyle name="Normal 14 2 4 3 5 2" xfId="7179"/>
    <cellStyle name="Normal 14 2 4 3 5 2 2" xfId="7180"/>
    <cellStyle name="Normal 14 2 4 3 5 3" xfId="7181"/>
    <cellStyle name="Normal 14 2 4 3 6" xfId="7182"/>
    <cellStyle name="Normal 14 2 4 3 6 2" xfId="7183"/>
    <cellStyle name="Normal 14 2 4 3 7" xfId="7184"/>
    <cellStyle name="Normal 14 2 4 4" xfId="7185"/>
    <cellStyle name="Normal 14 2 4 4 2" xfId="7186"/>
    <cellStyle name="Normal 14 2 4 4 2 2" xfId="7187"/>
    <cellStyle name="Normal 14 2 4 4 2 2 2" xfId="7188"/>
    <cellStyle name="Normal 14 2 4 4 2 2 2 2" xfId="7189"/>
    <cellStyle name="Normal 14 2 4 4 2 2 3" xfId="7190"/>
    <cellStyle name="Normal 14 2 4 4 2 3" xfId="7191"/>
    <cellStyle name="Normal 14 2 4 4 2 3 2" xfId="7192"/>
    <cellStyle name="Normal 14 2 4 4 2 4" xfId="7193"/>
    <cellStyle name="Normal 14 2 4 4 3" xfId="7194"/>
    <cellStyle name="Normal 14 2 4 4 3 2" xfId="7195"/>
    <cellStyle name="Normal 14 2 4 4 3 2 2" xfId="7196"/>
    <cellStyle name="Normal 14 2 4 4 3 2 2 2" xfId="7197"/>
    <cellStyle name="Normal 14 2 4 4 3 2 3" xfId="7198"/>
    <cellStyle name="Normal 14 2 4 4 3 3" xfId="7199"/>
    <cellStyle name="Normal 14 2 4 4 3 3 2" xfId="7200"/>
    <cellStyle name="Normal 14 2 4 4 3 4" xfId="7201"/>
    <cellStyle name="Normal 14 2 4 4 4" xfId="7202"/>
    <cellStyle name="Normal 14 2 4 4 4 2" xfId="7203"/>
    <cellStyle name="Normal 14 2 4 4 4 2 2" xfId="7204"/>
    <cellStyle name="Normal 14 2 4 4 4 3" xfId="7205"/>
    <cellStyle name="Normal 14 2 4 4 5" xfId="7206"/>
    <cellStyle name="Normal 14 2 4 4 5 2" xfId="7207"/>
    <cellStyle name="Normal 14 2 4 4 6" xfId="7208"/>
    <cellStyle name="Normal 14 2 4 5" xfId="7209"/>
    <cellStyle name="Normal 14 2 4 5 2" xfId="7210"/>
    <cellStyle name="Normal 14 2 4 5 2 2" xfId="7211"/>
    <cellStyle name="Normal 14 2 4 5 2 2 2" xfId="7212"/>
    <cellStyle name="Normal 14 2 4 5 2 3" xfId="7213"/>
    <cellStyle name="Normal 14 2 4 5 3" xfId="7214"/>
    <cellStyle name="Normal 14 2 4 5 3 2" xfId="7215"/>
    <cellStyle name="Normal 14 2 4 5 4" xfId="7216"/>
    <cellStyle name="Normal 14 2 4 6" xfId="7217"/>
    <cellStyle name="Normal 14 2 4 6 2" xfId="7218"/>
    <cellStyle name="Normal 14 2 4 6 2 2" xfId="7219"/>
    <cellStyle name="Normal 14 2 4 6 2 2 2" xfId="7220"/>
    <cellStyle name="Normal 14 2 4 6 2 3" xfId="7221"/>
    <cellStyle name="Normal 14 2 4 6 3" xfId="7222"/>
    <cellStyle name="Normal 14 2 4 6 3 2" xfId="7223"/>
    <cellStyle name="Normal 14 2 4 6 4" xfId="7224"/>
    <cellStyle name="Normal 14 2 4 7" xfId="7225"/>
    <cellStyle name="Normal 14 2 4 7 2" xfId="7226"/>
    <cellStyle name="Normal 14 2 4 7 2 2" xfId="7227"/>
    <cellStyle name="Normal 14 2 4 7 2 2 2" xfId="7228"/>
    <cellStyle name="Normal 14 2 4 7 2 3" xfId="7229"/>
    <cellStyle name="Normal 14 2 4 7 3" xfId="7230"/>
    <cellStyle name="Normal 14 2 4 7 3 2" xfId="7231"/>
    <cellStyle name="Normal 14 2 4 7 4" xfId="7232"/>
    <cellStyle name="Normal 14 2 4 8" xfId="7233"/>
    <cellStyle name="Normal 14 2 4 8 2" xfId="7234"/>
    <cellStyle name="Normal 14 2 4 8 2 2" xfId="7235"/>
    <cellStyle name="Normal 14 2 4 8 3" xfId="7236"/>
    <cellStyle name="Normal 14 2 4 9" xfId="7237"/>
    <cellStyle name="Normal 14 2 4 9 2" xfId="7238"/>
    <cellStyle name="Normal 14 2 5" xfId="7239"/>
    <cellStyle name="Normal 14 2 5 2" xfId="7240"/>
    <cellStyle name="Normal 14 2 5 2 2" xfId="7241"/>
    <cellStyle name="Normal 14 2 5 2 2 2" xfId="7242"/>
    <cellStyle name="Normal 14 2 5 2 2 2 2" xfId="7243"/>
    <cellStyle name="Normal 14 2 5 2 2 2 2 2" xfId="7244"/>
    <cellStyle name="Normal 14 2 5 2 2 2 2 2 2" xfId="7245"/>
    <cellStyle name="Normal 14 2 5 2 2 2 2 3" xfId="7246"/>
    <cellStyle name="Normal 14 2 5 2 2 2 3" xfId="7247"/>
    <cellStyle name="Normal 14 2 5 2 2 2 3 2" xfId="7248"/>
    <cellStyle name="Normal 14 2 5 2 2 2 4" xfId="7249"/>
    <cellStyle name="Normal 14 2 5 2 2 3" xfId="7250"/>
    <cellStyle name="Normal 14 2 5 2 2 3 2" xfId="7251"/>
    <cellStyle name="Normal 14 2 5 2 2 3 2 2" xfId="7252"/>
    <cellStyle name="Normal 14 2 5 2 2 3 2 2 2" xfId="7253"/>
    <cellStyle name="Normal 14 2 5 2 2 3 2 3" xfId="7254"/>
    <cellStyle name="Normal 14 2 5 2 2 3 3" xfId="7255"/>
    <cellStyle name="Normal 14 2 5 2 2 3 3 2" xfId="7256"/>
    <cellStyle name="Normal 14 2 5 2 2 3 4" xfId="7257"/>
    <cellStyle name="Normal 14 2 5 2 2 4" xfId="7258"/>
    <cellStyle name="Normal 14 2 5 2 2 4 2" xfId="7259"/>
    <cellStyle name="Normal 14 2 5 2 2 4 2 2" xfId="7260"/>
    <cellStyle name="Normal 14 2 5 2 2 4 3" xfId="7261"/>
    <cellStyle name="Normal 14 2 5 2 2 5" xfId="7262"/>
    <cellStyle name="Normal 14 2 5 2 2 5 2" xfId="7263"/>
    <cellStyle name="Normal 14 2 5 2 2 6" xfId="7264"/>
    <cellStyle name="Normal 14 2 5 2 3" xfId="7265"/>
    <cellStyle name="Normal 14 2 5 2 3 2" xfId="7266"/>
    <cellStyle name="Normal 14 2 5 2 3 2 2" xfId="7267"/>
    <cellStyle name="Normal 14 2 5 2 3 2 2 2" xfId="7268"/>
    <cellStyle name="Normal 14 2 5 2 3 2 3" xfId="7269"/>
    <cellStyle name="Normal 14 2 5 2 3 3" xfId="7270"/>
    <cellStyle name="Normal 14 2 5 2 3 3 2" xfId="7271"/>
    <cellStyle name="Normal 14 2 5 2 3 4" xfId="7272"/>
    <cellStyle name="Normal 14 2 5 2 4" xfId="7273"/>
    <cellStyle name="Normal 14 2 5 2 4 2" xfId="7274"/>
    <cellStyle name="Normal 14 2 5 2 4 2 2" xfId="7275"/>
    <cellStyle name="Normal 14 2 5 2 4 2 2 2" xfId="7276"/>
    <cellStyle name="Normal 14 2 5 2 4 2 3" xfId="7277"/>
    <cellStyle name="Normal 14 2 5 2 4 3" xfId="7278"/>
    <cellStyle name="Normal 14 2 5 2 4 3 2" xfId="7279"/>
    <cellStyle name="Normal 14 2 5 2 4 4" xfId="7280"/>
    <cellStyle name="Normal 14 2 5 2 5" xfId="7281"/>
    <cellStyle name="Normal 14 2 5 2 5 2" xfId="7282"/>
    <cellStyle name="Normal 14 2 5 2 5 2 2" xfId="7283"/>
    <cellStyle name="Normal 14 2 5 2 5 3" xfId="7284"/>
    <cellStyle name="Normal 14 2 5 2 6" xfId="7285"/>
    <cellStyle name="Normal 14 2 5 2 6 2" xfId="7286"/>
    <cellStyle name="Normal 14 2 5 2 7" xfId="7287"/>
    <cellStyle name="Normal 14 2 5 3" xfId="7288"/>
    <cellStyle name="Normal 14 2 5 3 2" xfId="7289"/>
    <cellStyle name="Normal 14 2 5 3 2 2" xfId="7290"/>
    <cellStyle name="Normal 14 2 5 3 2 2 2" xfId="7291"/>
    <cellStyle name="Normal 14 2 5 3 2 2 2 2" xfId="7292"/>
    <cellStyle name="Normal 14 2 5 3 2 2 3" xfId="7293"/>
    <cellStyle name="Normal 14 2 5 3 2 3" xfId="7294"/>
    <cellStyle name="Normal 14 2 5 3 2 3 2" xfId="7295"/>
    <cellStyle name="Normal 14 2 5 3 2 4" xfId="7296"/>
    <cellStyle name="Normal 14 2 5 3 3" xfId="7297"/>
    <cellStyle name="Normal 14 2 5 3 3 2" xfId="7298"/>
    <cellStyle name="Normal 14 2 5 3 3 2 2" xfId="7299"/>
    <cellStyle name="Normal 14 2 5 3 3 2 2 2" xfId="7300"/>
    <cellStyle name="Normal 14 2 5 3 3 2 3" xfId="7301"/>
    <cellStyle name="Normal 14 2 5 3 3 3" xfId="7302"/>
    <cellStyle name="Normal 14 2 5 3 3 3 2" xfId="7303"/>
    <cellStyle name="Normal 14 2 5 3 3 4" xfId="7304"/>
    <cellStyle name="Normal 14 2 5 3 4" xfId="7305"/>
    <cellStyle name="Normal 14 2 5 3 4 2" xfId="7306"/>
    <cellStyle name="Normal 14 2 5 3 4 2 2" xfId="7307"/>
    <cellStyle name="Normal 14 2 5 3 4 3" xfId="7308"/>
    <cellStyle name="Normal 14 2 5 3 5" xfId="7309"/>
    <cellStyle name="Normal 14 2 5 3 5 2" xfId="7310"/>
    <cellStyle name="Normal 14 2 5 3 6" xfId="7311"/>
    <cellStyle name="Normal 14 2 5 4" xfId="7312"/>
    <cellStyle name="Normal 14 2 5 4 2" xfId="7313"/>
    <cellStyle name="Normal 14 2 5 4 2 2" xfId="7314"/>
    <cellStyle name="Normal 14 2 5 4 2 2 2" xfId="7315"/>
    <cellStyle name="Normal 14 2 5 4 2 3" xfId="7316"/>
    <cellStyle name="Normal 14 2 5 4 3" xfId="7317"/>
    <cellStyle name="Normal 14 2 5 4 3 2" xfId="7318"/>
    <cellStyle name="Normal 14 2 5 4 4" xfId="7319"/>
    <cellStyle name="Normal 14 2 5 5" xfId="7320"/>
    <cellStyle name="Normal 14 2 5 5 2" xfId="7321"/>
    <cellStyle name="Normal 14 2 5 5 2 2" xfId="7322"/>
    <cellStyle name="Normal 14 2 5 5 2 2 2" xfId="7323"/>
    <cellStyle name="Normal 14 2 5 5 2 3" xfId="7324"/>
    <cellStyle name="Normal 14 2 5 5 3" xfId="7325"/>
    <cellStyle name="Normal 14 2 5 5 3 2" xfId="7326"/>
    <cellStyle name="Normal 14 2 5 5 4" xfId="7327"/>
    <cellStyle name="Normal 14 2 5 6" xfId="7328"/>
    <cellStyle name="Normal 14 2 5 6 2" xfId="7329"/>
    <cellStyle name="Normal 14 2 5 6 2 2" xfId="7330"/>
    <cellStyle name="Normal 14 2 5 6 2 2 2" xfId="7331"/>
    <cellStyle name="Normal 14 2 5 6 2 3" xfId="7332"/>
    <cellStyle name="Normal 14 2 5 6 3" xfId="7333"/>
    <cellStyle name="Normal 14 2 5 6 3 2" xfId="7334"/>
    <cellStyle name="Normal 14 2 5 6 4" xfId="7335"/>
    <cellStyle name="Normal 14 2 5 7" xfId="7336"/>
    <cellStyle name="Normal 14 2 5 7 2" xfId="7337"/>
    <cellStyle name="Normal 14 2 5 7 2 2" xfId="7338"/>
    <cellStyle name="Normal 14 2 5 7 3" xfId="7339"/>
    <cellStyle name="Normal 14 2 5 8" xfId="7340"/>
    <cellStyle name="Normal 14 2 5 8 2" xfId="7341"/>
    <cellStyle name="Normal 14 2 5 9" xfId="7342"/>
    <cellStyle name="Normal 14 2 6" xfId="7343"/>
    <cellStyle name="Normal 14 2 6 2" xfId="7344"/>
    <cellStyle name="Normal 14 2 6 2 2" xfId="7345"/>
    <cellStyle name="Normal 14 2 6 2 2 2" xfId="7346"/>
    <cellStyle name="Normal 14 2 6 2 2 2 2" xfId="7347"/>
    <cellStyle name="Normal 14 2 6 2 2 2 2 2" xfId="7348"/>
    <cellStyle name="Normal 14 2 6 2 2 2 3" xfId="7349"/>
    <cellStyle name="Normal 14 2 6 2 2 3" xfId="7350"/>
    <cellStyle name="Normal 14 2 6 2 2 3 2" xfId="7351"/>
    <cellStyle name="Normal 14 2 6 2 2 4" xfId="7352"/>
    <cellStyle name="Normal 14 2 6 2 3" xfId="7353"/>
    <cellStyle name="Normal 14 2 6 2 3 2" xfId="7354"/>
    <cellStyle name="Normal 14 2 6 2 3 2 2" xfId="7355"/>
    <cellStyle name="Normal 14 2 6 2 3 2 2 2" xfId="7356"/>
    <cellStyle name="Normal 14 2 6 2 3 2 3" xfId="7357"/>
    <cellStyle name="Normal 14 2 6 2 3 3" xfId="7358"/>
    <cellStyle name="Normal 14 2 6 2 3 3 2" xfId="7359"/>
    <cellStyle name="Normal 14 2 6 2 3 4" xfId="7360"/>
    <cellStyle name="Normal 14 2 6 2 4" xfId="7361"/>
    <cellStyle name="Normal 14 2 6 2 4 2" xfId="7362"/>
    <cellStyle name="Normal 14 2 6 2 4 2 2" xfId="7363"/>
    <cellStyle name="Normal 14 2 6 2 4 3" xfId="7364"/>
    <cellStyle name="Normal 14 2 6 2 5" xfId="7365"/>
    <cellStyle name="Normal 14 2 6 2 5 2" xfId="7366"/>
    <cellStyle name="Normal 14 2 6 2 6" xfId="7367"/>
    <cellStyle name="Normal 14 2 6 3" xfId="7368"/>
    <cellStyle name="Normal 14 2 6 3 2" xfId="7369"/>
    <cellStyle name="Normal 14 2 6 3 2 2" xfId="7370"/>
    <cellStyle name="Normal 14 2 6 3 2 2 2" xfId="7371"/>
    <cellStyle name="Normal 14 2 6 3 2 3" xfId="7372"/>
    <cellStyle name="Normal 14 2 6 3 3" xfId="7373"/>
    <cellStyle name="Normal 14 2 6 3 3 2" xfId="7374"/>
    <cellStyle name="Normal 14 2 6 3 4" xfId="7375"/>
    <cellStyle name="Normal 14 2 6 4" xfId="7376"/>
    <cellStyle name="Normal 14 2 6 4 2" xfId="7377"/>
    <cellStyle name="Normal 14 2 6 4 2 2" xfId="7378"/>
    <cellStyle name="Normal 14 2 6 4 2 2 2" xfId="7379"/>
    <cellStyle name="Normal 14 2 6 4 2 3" xfId="7380"/>
    <cellStyle name="Normal 14 2 6 4 3" xfId="7381"/>
    <cellStyle name="Normal 14 2 6 4 3 2" xfId="7382"/>
    <cellStyle name="Normal 14 2 6 4 4" xfId="7383"/>
    <cellStyle name="Normal 14 2 6 5" xfId="7384"/>
    <cellStyle name="Normal 14 2 6 5 2" xfId="7385"/>
    <cellStyle name="Normal 14 2 6 5 2 2" xfId="7386"/>
    <cellStyle name="Normal 14 2 6 5 3" xfId="7387"/>
    <cellStyle name="Normal 14 2 6 6" xfId="7388"/>
    <cellStyle name="Normal 14 2 6 6 2" xfId="7389"/>
    <cellStyle name="Normal 14 2 6 7" xfId="7390"/>
    <cellStyle name="Normal 14 2 7" xfId="7391"/>
    <cellStyle name="Normal 14 2 7 2" xfId="7392"/>
    <cellStyle name="Normal 14 2 7 2 2" xfId="7393"/>
    <cellStyle name="Normal 14 2 7 2 2 2" xfId="7394"/>
    <cellStyle name="Normal 14 2 7 2 2 2 2" xfId="7395"/>
    <cellStyle name="Normal 14 2 7 2 2 3" xfId="7396"/>
    <cellStyle name="Normal 14 2 7 2 3" xfId="7397"/>
    <cellStyle name="Normal 14 2 7 2 3 2" xfId="7398"/>
    <cellStyle name="Normal 14 2 7 2 4" xfId="7399"/>
    <cellStyle name="Normal 14 2 7 3" xfId="7400"/>
    <cellStyle name="Normal 14 2 7 3 2" xfId="7401"/>
    <cellStyle name="Normal 14 2 7 3 2 2" xfId="7402"/>
    <cellStyle name="Normal 14 2 7 3 2 2 2" xfId="7403"/>
    <cellStyle name="Normal 14 2 7 3 2 3" xfId="7404"/>
    <cellStyle name="Normal 14 2 7 3 3" xfId="7405"/>
    <cellStyle name="Normal 14 2 7 3 3 2" xfId="7406"/>
    <cellStyle name="Normal 14 2 7 3 4" xfId="7407"/>
    <cellStyle name="Normal 14 2 7 4" xfId="7408"/>
    <cellStyle name="Normal 14 2 7 4 2" xfId="7409"/>
    <cellStyle name="Normal 14 2 7 4 2 2" xfId="7410"/>
    <cellStyle name="Normal 14 2 7 4 3" xfId="7411"/>
    <cellStyle name="Normal 14 2 7 5" xfId="7412"/>
    <cellStyle name="Normal 14 2 7 5 2" xfId="7413"/>
    <cellStyle name="Normal 14 2 7 6" xfId="7414"/>
    <cellStyle name="Normal 14 2 8" xfId="7415"/>
    <cellStyle name="Normal 14 2 8 2" xfId="7416"/>
    <cellStyle name="Normal 14 2 8 2 2" xfId="7417"/>
    <cellStyle name="Normal 14 2 8 2 2 2" xfId="7418"/>
    <cellStyle name="Normal 14 2 8 2 3" xfId="7419"/>
    <cellStyle name="Normal 14 2 8 3" xfId="7420"/>
    <cellStyle name="Normal 14 2 8 3 2" xfId="7421"/>
    <cellStyle name="Normal 14 2 8 4" xfId="7422"/>
    <cellStyle name="Normal 14 2 9" xfId="7423"/>
    <cellStyle name="Normal 14 2 9 2" xfId="7424"/>
    <cellStyle name="Normal 14 2 9 2 2" xfId="7425"/>
    <cellStyle name="Normal 14 2 9 2 2 2" xfId="7426"/>
    <cellStyle name="Normal 14 2 9 2 3" xfId="7427"/>
    <cellStyle name="Normal 14 2 9 3" xfId="7428"/>
    <cellStyle name="Normal 14 2 9 3 2" xfId="7429"/>
    <cellStyle name="Normal 14 2 9 4" xfId="7430"/>
    <cellStyle name="Normal 14 3" xfId="7431"/>
    <cellStyle name="Normal 14 3 10" xfId="7432"/>
    <cellStyle name="Normal 14 3 10 2" xfId="7433"/>
    <cellStyle name="Normal 14 3 11" xfId="7434"/>
    <cellStyle name="Normal 14 3 2" xfId="7435"/>
    <cellStyle name="Normal 14 3 2 10" xfId="7436"/>
    <cellStyle name="Normal 14 3 2 2" xfId="7437"/>
    <cellStyle name="Normal 14 3 2 2 2" xfId="7438"/>
    <cellStyle name="Normal 14 3 2 2 2 2" xfId="7439"/>
    <cellStyle name="Normal 14 3 2 2 2 2 2" xfId="7440"/>
    <cellStyle name="Normal 14 3 2 2 2 2 2 2" xfId="7441"/>
    <cellStyle name="Normal 14 3 2 2 2 2 2 2 2" xfId="7442"/>
    <cellStyle name="Normal 14 3 2 2 2 2 2 2 2 2" xfId="7443"/>
    <cellStyle name="Normal 14 3 2 2 2 2 2 2 3" xfId="7444"/>
    <cellStyle name="Normal 14 3 2 2 2 2 2 3" xfId="7445"/>
    <cellStyle name="Normal 14 3 2 2 2 2 2 3 2" xfId="7446"/>
    <cellStyle name="Normal 14 3 2 2 2 2 2 4" xfId="7447"/>
    <cellStyle name="Normal 14 3 2 2 2 2 3" xfId="7448"/>
    <cellStyle name="Normal 14 3 2 2 2 2 3 2" xfId="7449"/>
    <cellStyle name="Normal 14 3 2 2 2 2 3 2 2" xfId="7450"/>
    <cellStyle name="Normal 14 3 2 2 2 2 3 2 2 2" xfId="7451"/>
    <cellStyle name="Normal 14 3 2 2 2 2 3 2 3" xfId="7452"/>
    <cellStyle name="Normal 14 3 2 2 2 2 3 3" xfId="7453"/>
    <cellStyle name="Normal 14 3 2 2 2 2 3 3 2" xfId="7454"/>
    <cellStyle name="Normal 14 3 2 2 2 2 3 4" xfId="7455"/>
    <cellStyle name="Normal 14 3 2 2 2 2 4" xfId="7456"/>
    <cellStyle name="Normal 14 3 2 2 2 2 4 2" xfId="7457"/>
    <cellStyle name="Normal 14 3 2 2 2 2 4 2 2" xfId="7458"/>
    <cellStyle name="Normal 14 3 2 2 2 2 4 3" xfId="7459"/>
    <cellStyle name="Normal 14 3 2 2 2 2 5" xfId="7460"/>
    <cellStyle name="Normal 14 3 2 2 2 2 5 2" xfId="7461"/>
    <cellStyle name="Normal 14 3 2 2 2 2 6" xfId="7462"/>
    <cellStyle name="Normal 14 3 2 2 2 3" xfId="7463"/>
    <cellStyle name="Normal 14 3 2 2 2 3 2" xfId="7464"/>
    <cellStyle name="Normal 14 3 2 2 2 3 2 2" xfId="7465"/>
    <cellStyle name="Normal 14 3 2 2 2 3 2 2 2" xfId="7466"/>
    <cellStyle name="Normal 14 3 2 2 2 3 2 3" xfId="7467"/>
    <cellStyle name="Normal 14 3 2 2 2 3 3" xfId="7468"/>
    <cellStyle name="Normal 14 3 2 2 2 3 3 2" xfId="7469"/>
    <cellStyle name="Normal 14 3 2 2 2 3 4" xfId="7470"/>
    <cellStyle name="Normal 14 3 2 2 2 4" xfId="7471"/>
    <cellStyle name="Normal 14 3 2 2 2 4 2" xfId="7472"/>
    <cellStyle name="Normal 14 3 2 2 2 4 2 2" xfId="7473"/>
    <cellStyle name="Normal 14 3 2 2 2 4 2 2 2" xfId="7474"/>
    <cellStyle name="Normal 14 3 2 2 2 4 2 3" xfId="7475"/>
    <cellStyle name="Normal 14 3 2 2 2 4 3" xfId="7476"/>
    <cellStyle name="Normal 14 3 2 2 2 4 3 2" xfId="7477"/>
    <cellStyle name="Normal 14 3 2 2 2 4 4" xfId="7478"/>
    <cellStyle name="Normal 14 3 2 2 2 5" xfId="7479"/>
    <cellStyle name="Normal 14 3 2 2 2 5 2" xfId="7480"/>
    <cellStyle name="Normal 14 3 2 2 2 5 2 2" xfId="7481"/>
    <cellStyle name="Normal 14 3 2 2 2 5 3" xfId="7482"/>
    <cellStyle name="Normal 14 3 2 2 2 6" xfId="7483"/>
    <cellStyle name="Normal 14 3 2 2 2 6 2" xfId="7484"/>
    <cellStyle name="Normal 14 3 2 2 2 7" xfId="7485"/>
    <cellStyle name="Normal 14 3 2 2 3" xfId="7486"/>
    <cellStyle name="Normal 14 3 2 2 3 2" xfId="7487"/>
    <cellStyle name="Normal 14 3 2 2 3 2 2" xfId="7488"/>
    <cellStyle name="Normal 14 3 2 2 3 2 2 2" xfId="7489"/>
    <cellStyle name="Normal 14 3 2 2 3 2 2 2 2" xfId="7490"/>
    <cellStyle name="Normal 14 3 2 2 3 2 2 3" xfId="7491"/>
    <cellStyle name="Normal 14 3 2 2 3 2 3" xfId="7492"/>
    <cellStyle name="Normal 14 3 2 2 3 2 3 2" xfId="7493"/>
    <cellStyle name="Normal 14 3 2 2 3 2 4" xfId="7494"/>
    <cellStyle name="Normal 14 3 2 2 3 3" xfId="7495"/>
    <cellStyle name="Normal 14 3 2 2 3 3 2" xfId="7496"/>
    <cellStyle name="Normal 14 3 2 2 3 3 2 2" xfId="7497"/>
    <cellStyle name="Normal 14 3 2 2 3 3 2 2 2" xfId="7498"/>
    <cellStyle name="Normal 14 3 2 2 3 3 2 3" xfId="7499"/>
    <cellStyle name="Normal 14 3 2 2 3 3 3" xfId="7500"/>
    <cellStyle name="Normal 14 3 2 2 3 3 3 2" xfId="7501"/>
    <cellStyle name="Normal 14 3 2 2 3 3 4" xfId="7502"/>
    <cellStyle name="Normal 14 3 2 2 3 4" xfId="7503"/>
    <cellStyle name="Normal 14 3 2 2 3 4 2" xfId="7504"/>
    <cellStyle name="Normal 14 3 2 2 3 4 2 2" xfId="7505"/>
    <cellStyle name="Normal 14 3 2 2 3 4 3" xfId="7506"/>
    <cellStyle name="Normal 14 3 2 2 3 5" xfId="7507"/>
    <cellStyle name="Normal 14 3 2 2 3 5 2" xfId="7508"/>
    <cellStyle name="Normal 14 3 2 2 3 6" xfId="7509"/>
    <cellStyle name="Normal 14 3 2 2 4" xfId="7510"/>
    <cellStyle name="Normal 14 3 2 2 4 2" xfId="7511"/>
    <cellStyle name="Normal 14 3 2 2 4 2 2" xfId="7512"/>
    <cellStyle name="Normal 14 3 2 2 4 2 2 2" xfId="7513"/>
    <cellStyle name="Normal 14 3 2 2 4 2 3" xfId="7514"/>
    <cellStyle name="Normal 14 3 2 2 4 3" xfId="7515"/>
    <cellStyle name="Normal 14 3 2 2 4 3 2" xfId="7516"/>
    <cellStyle name="Normal 14 3 2 2 4 4" xfId="7517"/>
    <cellStyle name="Normal 14 3 2 2 5" xfId="7518"/>
    <cellStyle name="Normal 14 3 2 2 5 2" xfId="7519"/>
    <cellStyle name="Normal 14 3 2 2 5 2 2" xfId="7520"/>
    <cellStyle name="Normal 14 3 2 2 5 2 2 2" xfId="7521"/>
    <cellStyle name="Normal 14 3 2 2 5 2 3" xfId="7522"/>
    <cellStyle name="Normal 14 3 2 2 5 3" xfId="7523"/>
    <cellStyle name="Normal 14 3 2 2 5 3 2" xfId="7524"/>
    <cellStyle name="Normal 14 3 2 2 5 4" xfId="7525"/>
    <cellStyle name="Normal 14 3 2 2 6" xfId="7526"/>
    <cellStyle name="Normal 14 3 2 2 6 2" xfId="7527"/>
    <cellStyle name="Normal 14 3 2 2 6 2 2" xfId="7528"/>
    <cellStyle name="Normal 14 3 2 2 6 2 2 2" xfId="7529"/>
    <cellStyle name="Normal 14 3 2 2 6 2 3" xfId="7530"/>
    <cellStyle name="Normal 14 3 2 2 6 3" xfId="7531"/>
    <cellStyle name="Normal 14 3 2 2 6 3 2" xfId="7532"/>
    <cellStyle name="Normal 14 3 2 2 6 4" xfId="7533"/>
    <cellStyle name="Normal 14 3 2 2 7" xfId="7534"/>
    <cellStyle name="Normal 14 3 2 2 7 2" xfId="7535"/>
    <cellStyle name="Normal 14 3 2 2 7 2 2" xfId="7536"/>
    <cellStyle name="Normal 14 3 2 2 7 3" xfId="7537"/>
    <cellStyle name="Normal 14 3 2 2 8" xfId="7538"/>
    <cellStyle name="Normal 14 3 2 2 8 2" xfId="7539"/>
    <cellStyle name="Normal 14 3 2 2 9" xfId="7540"/>
    <cellStyle name="Normal 14 3 2 3" xfId="7541"/>
    <cellStyle name="Normal 14 3 2 3 2" xfId="7542"/>
    <cellStyle name="Normal 14 3 2 3 2 2" xfId="7543"/>
    <cellStyle name="Normal 14 3 2 3 2 2 2" xfId="7544"/>
    <cellStyle name="Normal 14 3 2 3 2 2 2 2" xfId="7545"/>
    <cellStyle name="Normal 14 3 2 3 2 2 2 2 2" xfId="7546"/>
    <cellStyle name="Normal 14 3 2 3 2 2 2 3" xfId="7547"/>
    <cellStyle name="Normal 14 3 2 3 2 2 3" xfId="7548"/>
    <cellStyle name="Normal 14 3 2 3 2 2 3 2" xfId="7549"/>
    <cellStyle name="Normal 14 3 2 3 2 2 4" xfId="7550"/>
    <cellStyle name="Normal 14 3 2 3 2 3" xfId="7551"/>
    <cellStyle name="Normal 14 3 2 3 2 3 2" xfId="7552"/>
    <cellStyle name="Normal 14 3 2 3 2 3 2 2" xfId="7553"/>
    <cellStyle name="Normal 14 3 2 3 2 3 2 2 2" xfId="7554"/>
    <cellStyle name="Normal 14 3 2 3 2 3 2 3" xfId="7555"/>
    <cellStyle name="Normal 14 3 2 3 2 3 3" xfId="7556"/>
    <cellStyle name="Normal 14 3 2 3 2 3 3 2" xfId="7557"/>
    <cellStyle name="Normal 14 3 2 3 2 3 4" xfId="7558"/>
    <cellStyle name="Normal 14 3 2 3 2 4" xfId="7559"/>
    <cellStyle name="Normal 14 3 2 3 2 4 2" xfId="7560"/>
    <cellStyle name="Normal 14 3 2 3 2 4 2 2" xfId="7561"/>
    <cellStyle name="Normal 14 3 2 3 2 4 3" xfId="7562"/>
    <cellStyle name="Normal 14 3 2 3 2 5" xfId="7563"/>
    <cellStyle name="Normal 14 3 2 3 2 5 2" xfId="7564"/>
    <cellStyle name="Normal 14 3 2 3 2 6" xfId="7565"/>
    <cellStyle name="Normal 14 3 2 3 3" xfId="7566"/>
    <cellStyle name="Normal 14 3 2 3 3 2" xfId="7567"/>
    <cellStyle name="Normal 14 3 2 3 3 2 2" xfId="7568"/>
    <cellStyle name="Normal 14 3 2 3 3 2 2 2" xfId="7569"/>
    <cellStyle name="Normal 14 3 2 3 3 2 3" xfId="7570"/>
    <cellStyle name="Normal 14 3 2 3 3 3" xfId="7571"/>
    <cellStyle name="Normal 14 3 2 3 3 3 2" xfId="7572"/>
    <cellStyle name="Normal 14 3 2 3 3 4" xfId="7573"/>
    <cellStyle name="Normal 14 3 2 3 4" xfId="7574"/>
    <cellStyle name="Normal 14 3 2 3 4 2" xfId="7575"/>
    <cellStyle name="Normal 14 3 2 3 4 2 2" xfId="7576"/>
    <cellStyle name="Normal 14 3 2 3 4 2 2 2" xfId="7577"/>
    <cellStyle name="Normal 14 3 2 3 4 2 3" xfId="7578"/>
    <cellStyle name="Normal 14 3 2 3 4 3" xfId="7579"/>
    <cellStyle name="Normal 14 3 2 3 4 3 2" xfId="7580"/>
    <cellStyle name="Normal 14 3 2 3 4 4" xfId="7581"/>
    <cellStyle name="Normal 14 3 2 3 5" xfId="7582"/>
    <cellStyle name="Normal 14 3 2 3 5 2" xfId="7583"/>
    <cellStyle name="Normal 14 3 2 3 5 2 2" xfId="7584"/>
    <cellStyle name="Normal 14 3 2 3 5 3" xfId="7585"/>
    <cellStyle name="Normal 14 3 2 3 6" xfId="7586"/>
    <cellStyle name="Normal 14 3 2 3 6 2" xfId="7587"/>
    <cellStyle name="Normal 14 3 2 3 7" xfId="7588"/>
    <cellStyle name="Normal 14 3 2 4" xfId="7589"/>
    <cellStyle name="Normal 14 3 2 4 2" xfId="7590"/>
    <cellStyle name="Normal 14 3 2 4 2 2" xfId="7591"/>
    <cellStyle name="Normal 14 3 2 4 2 2 2" xfId="7592"/>
    <cellStyle name="Normal 14 3 2 4 2 2 2 2" xfId="7593"/>
    <cellStyle name="Normal 14 3 2 4 2 2 3" xfId="7594"/>
    <cellStyle name="Normal 14 3 2 4 2 3" xfId="7595"/>
    <cellStyle name="Normal 14 3 2 4 2 3 2" xfId="7596"/>
    <cellStyle name="Normal 14 3 2 4 2 4" xfId="7597"/>
    <cellStyle name="Normal 14 3 2 4 3" xfId="7598"/>
    <cellStyle name="Normal 14 3 2 4 3 2" xfId="7599"/>
    <cellStyle name="Normal 14 3 2 4 3 2 2" xfId="7600"/>
    <cellStyle name="Normal 14 3 2 4 3 2 2 2" xfId="7601"/>
    <cellStyle name="Normal 14 3 2 4 3 2 3" xfId="7602"/>
    <cellStyle name="Normal 14 3 2 4 3 3" xfId="7603"/>
    <cellStyle name="Normal 14 3 2 4 3 3 2" xfId="7604"/>
    <cellStyle name="Normal 14 3 2 4 3 4" xfId="7605"/>
    <cellStyle name="Normal 14 3 2 4 4" xfId="7606"/>
    <cellStyle name="Normal 14 3 2 4 4 2" xfId="7607"/>
    <cellStyle name="Normal 14 3 2 4 4 2 2" xfId="7608"/>
    <cellStyle name="Normal 14 3 2 4 4 3" xfId="7609"/>
    <cellStyle name="Normal 14 3 2 4 5" xfId="7610"/>
    <cellStyle name="Normal 14 3 2 4 5 2" xfId="7611"/>
    <cellStyle name="Normal 14 3 2 4 6" xfId="7612"/>
    <cellStyle name="Normal 14 3 2 5" xfId="7613"/>
    <cellStyle name="Normal 14 3 2 5 2" xfId="7614"/>
    <cellStyle name="Normal 14 3 2 5 2 2" xfId="7615"/>
    <cellStyle name="Normal 14 3 2 5 2 2 2" xfId="7616"/>
    <cellStyle name="Normal 14 3 2 5 2 3" xfId="7617"/>
    <cellStyle name="Normal 14 3 2 5 3" xfId="7618"/>
    <cellStyle name="Normal 14 3 2 5 3 2" xfId="7619"/>
    <cellStyle name="Normal 14 3 2 5 4" xfId="7620"/>
    <cellStyle name="Normal 14 3 2 6" xfId="7621"/>
    <cellStyle name="Normal 14 3 2 6 2" xfId="7622"/>
    <cellStyle name="Normal 14 3 2 6 2 2" xfId="7623"/>
    <cellStyle name="Normal 14 3 2 6 2 2 2" xfId="7624"/>
    <cellStyle name="Normal 14 3 2 6 2 3" xfId="7625"/>
    <cellStyle name="Normal 14 3 2 6 3" xfId="7626"/>
    <cellStyle name="Normal 14 3 2 6 3 2" xfId="7627"/>
    <cellStyle name="Normal 14 3 2 6 4" xfId="7628"/>
    <cellStyle name="Normal 14 3 2 7" xfId="7629"/>
    <cellStyle name="Normal 14 3 2 7 2" xfId="7630"/>
    <cellStyle name="Normal 14 3 2 7 2 2" xfId="7631"/>
    <cellStyle name="Normal 14 3 2 7 2 2 2" xfId="7632"/>
    <cellStyle name="Normal 14 3 2 7 2 3" xfId="7633"/>
    <cellStyle name="Normal 14 3 2 7 3" xfId="7634"/>
    <cellStyle name="Normal 14 3 2 7 3 2" xfId="7635"/>
    <cellStyle name="Normal 14 3 2 7 4" xfId="7636"/>
    <cellStyle name="Normal 14 3 2 8" xfId="7637"/>
    <cellStyle name="Normal 14 3 2 8 2" xfId="7638"/>
    <cellStyle name="Normal 14 3 2 8 2 2" xfId="7639"/>
    <cellStyle name="Normal 14 3 2 8 3" xfId="7640"/>
    <cellStyle name="Normal 14 3 2 9" xfId="7641"/>
    <cellStyle name="Normal 14 3 2 9 2" xfId="7642"/>
    <cellStyle name="Normal 14 3 3" xfId="7643"/>
    <cellStyle name="Normal 14 3 3 2" xfId="7644"/>
    <cellStyle name="Normal 14 3 3 2 2" xfId="7645"/>
    <cellStyle name="Normal 14 3 3 2 2 2" xfId="7646"/>
    <cellStyle name="Normal 14 3 3 2 2 2 2" xfId="7647"/>
    <cellStyle name="Normal 14 3 3 2 2 2 2 2" xfId="7648"/>
    <cellStyle name="Normal 14 3 3 2 2 2 2 2 2" xfId="7649"/>
    <cellStyle name="Normal 14 3 3 2 2 2 2 3" xfId="7650"/>
    <cellStyle name="Normal 14 3 3 2 2 2 3" xfId="7651"/>
    <cellStyle name="Normal 14 3 3 2 2 2 3 2" xfId="7652"/>
    <cellStyle name="Normal 14 3 3 2 2 2 4" xfId="7653"/>
    <cellStyle name="Normal 14 3 3 2 2 3" xfId="7654"/>
    <cellStyle name="Normal 14 3 3 2 2 3 2" xfId="7655"/>
    <cellStyle name="Normal 14 3 3 2 2 3 2 2" xfId="7656"/>
    <cellStyle name="Normal 14 3 3 2 2 3 2 2 2" xfId="7657"/>
    <cellStyle name="Normal 14 3 3 2 2 3 2 3" xfId="7658"/>
    <cellStyle name="Normal 14 3 3 2 2 3 3" xfId="7659"/>
    <cellStyle name="Normal 14 3 3 2 2 3 3 2" xfId="7660"/>
    <cellStyle name="Normal 14 3 3 2 2 3 4" xfId="7661"/>
    <cellStyle name="Normal 14 3 3 2 2 4" xfId="7662"/>
    <cellStyle name="Normal 14 3 3 2 2 4 2" xfId="7663"/>
    <cellStyle name="Normal 14 3 3 2 2 4 2 2" xfId="7664"/>
    <cellStyle name="Normal 14 3 3 2 2 4 3" xfId="7665"/>
    <cellStyle name="Normal 14 3 3 2 2 5" xfId="7666"/>
    <cellStyle name="Normal 14 3 3 2 2 5 2" xfId="7667"/>
    <cellStyle name="Normal 14 3 3 2 2 6" xfId="7668"/>
    <cellStyle name="Normal 14 3 3 2 3" xfId="7669"/>
    <cellStyle name="Normal 14 3 3 2 3 2" xfId="7670"/>
    <cellStyle name="Normal 14 3 3 2 3 2 2" xfId="7671"/>
    <cellStyle name="Normal 14 3 3 2 3 2 2 2" xfId="7672"/>
    <cellStyle name="Normal 14 3 3 2 3 2 3" xfId="7673"/>
    <cellStyle name="Normal 14 3 3 2 3 3" xfId="7674"/>
    <cellStyle name="Normal 14 3 3 2 3 3 2" xfId="7675"/>
    <cellStyle name="Normal 14 3 3 2 3 4" xfId="7676"/>
    <cellStyle name="Normal 14 3 3 2 4" xfId="7677"/>
    <cellStyle name="Normal 14 3 3 2 4 2" xfId="7678"/>
    <cellStyle name="Normal 14 3 3 2 4 2 2" xfId="7679"/>
    <cellStyle name="Normal 14 3 3 2 4 2 2 2" xfId="7680"/>
    <cellStyle name="Normal 14 3 3 2 4 2 3" xfId="7681"/>
    <cellStyle name="Normal 14 3 3 2 4 3" xfId="7682"/>
    <cellStyle name="Normal 14 3 3 2 4 3 2" xfId="7683"/>
    <cellStyle name="Normal 14 3 3 2 4 4" xfId="7684"/>
    <cellStyle name="Normal 14 3 3 2 5" xfId="7685"/>
    <cellStyle name="Normal 14 3 3 2 5 2" xfId="7686"/>
    <cellStyle name="Normal 14 3 3 2 5 2 2" xfId="7687"/>
    <cellStyle name="Normal 14 3 3 2 5 3" xfId="7688"/>
    <cellStyle name="Normal 14 3 3 2 6" xfId="7689"/>
    <cellStyle name="Normal 14 3 3 2 6 2" xfId="7690"/>
    <cellStyle name="Normal 14 3 3 2 7" xfId="7691"/>
    <cellStyle name="Normal 14 3 3 3" xfId="7692"/>
    <cellStyle name="Normal 14 3 3 3 2" xfId="7693"/>
    <cellStyle name="Normal 14 3 3 3 2 2" xfId="7694"/>
    <cellStyle name="Normal 14 3 3 3 2 2 2" xfId="7695"/>
    <cellStyle name="Normal 14 3 3 3 2 2 2 2" xfId="7696"/>
    <cellStyle name="Normal 14 3 3 3 2 2 3" xfId="7697"/>
    <cellStyle name="Normal 14 3 3 3 2 3" xfId="7698"/>
    <cellStyle name="Normal 14 3 3 3 2 3 2" xfId="7699"/>
    <cellStyle name="Normal 14 3 3 3 2 4" xfId="7700"/>
    <cellStyle name="Normal 14 3 3 3 3" xfId="7701"/>
    <cellStyle name="Normal 14 3 3 3 3 2" xfId="7702"/>
    <cellStyle name="Normal 14 3 3 3 3 2 2" xfId="7703"/>
    <cellStyle name="Normal 14 3 3 3 3 2 2 2" xfId="7704"/>
    <cellStyle name="Normal 14 3 3 3 3 2 3" xfId="7705"/>
    <cellStyle name="Normal 14 3 3 3 3 3" xfId="7706"/>
    <cellStyle name="Normal 14 3 3 3 3 3 2" xfId="7707"/>
    <cellStyle name="Normal 14 3 3 3 3 4" xfId="7708"/>
    <cellStyle name="Normal 14 3 3 3 4" xfId="7709"/>
    <cellStyle name="Normal 14 3 3 3 4 2" xfId="7710"/>
    <cellStyle name="Normal 14 3 3 3 4 2 2" xfId="7711"/>
    <cellStyle name="Normal 14 3 3 3 4 3" xfId="7712"/>
    <cellStyle name="Normal 14 3 3 3 5" xfId="7713"/>
    <cellStyle name="Normal 14 3 3 3 5 2" xfId="7714"/>
    <cellStyle name="Normal 14 3 3 3 6" xfId="7715"/>
    <cellStyle name="Normal 14 3 3 4" xfId="7716"/>
    <cellStyle name="Normal 14 3 3 4 2" xfId="7717"/>
    <cellStyle name="Normal 14 3 3 4 2 2" xfId="7718"/>
    <cellStyle name="Normal 14 3 3 4 2 2 2" xfId="7719"/>
    <cellStyle name="Normal 14 3 3 4 2 3" xfId="7720"/>
    <cellStyle name="Normal 14 3 3 4 3" xfId="7721"/>
    <cellStyle name="Normal 14 3 3 4 3 2" xfId="7722"/>
    <cellStyle name="Normal 14 3 3 4 4" xfId="7723"/>
    <cellStyle name="Normal 14 3 3 5" xfId="7724"/>
    <cellStyle name="Normal 14 3 3 5 2" xfId="7725"/>
    <cellStyle name="Normal 14 3 3 5 2 2" xfId="7726"/>
    <cellStyle name="Normal 14 3 3 5 2 2 2" xfId="7727"/>
    <cellStyle name="Normal 14 3 3 5 2 3" xfId="7728"/>
    <cellStyle name="Normal 14 3 3 5 3" xfId="7729"/>
    <cellStyle name="Normal 14 3 3 5 3 2" xfId="7730"/>
    <cellStyle name="Normal 14 3 3 5 4" xfId="7731"/>
    <cellStyle name="Normal 14 3 3 6" xfId="7732"/>
    <cellStyle name="Normal 14 3 3 6 2" xfId="7733"/>
    <cellStyle name="Normal 14 3 3 6 2 2" xfId="7734"/>
    <cellStyle name="Normal 14 3 3 6 2 2 2" xfId="7735"/>
    <cellStyle name="Normal 14 3 3 6 2 3" xfId="7736"/>
    <cellStyle name="Normal 14 3 3 6 3" xfId="7737"/>
    <cellStyle name="Normal 14 3 3 6 3 2" xfId="7738"/>
    <cellStyle name="Normal 14 3 3 6 4" xfId="7739"/>
    <cellStyle name="Normal 14 3 3 7" xfId="7740"/>
    <cellStyle name="Normal 14 3 3 7 2" xfId="7741"/>
    <cellStyle name="Normal 14 3 3 7 2 2" xfId="7742"/>
    <cellStyle name="Normal 14 3 3 7 3" xfId="7743"/>
    <cellStyle name="Normal 14 3 3 8" xfId="7744"/>
    <cellStyle name="Normal 14 3 3 8 2" xfId="7745"/>
    <cellStyle name="Normal 14 3 3 9" xfId="7746"/>
    <cellStyle name="Normal 14 3 4" xfId="7747"/>
    <cellStyle name="Normal 14 3 4 2" xfId="7748"/>
    <cellStyle name="Normal 14 3 4 2 2" xfId="7749"/>
    <cellStyle name="Normal 14 3 4 2 2 2" xfId="7750"/>
    <cellStyle name="Normal 14 3 4 2 2 2 2" xfId="7751"/>
    <cellStyle name="Normal 14 3 4 2 2 2 2 2" xfId="7752"/>
    <cellStyle name="Normal 14 3 4 2 2 2 3" xfId="7753"/>
    <cellStyle name="Normal 14 3 4 2 2 3" xfId="7754"/>
    <cellStyle name="Normal 14 3 4 2 2 3 2" xfId="7755"/>
    <cellStyle name="Normal 14 3 4 2 2 4" xfId="7756"/>
    <cellStyle name="Normal 14 3 4 2 3" xfId="7757"/>
    <cellStyle name="Normal 14 3 4 2 3 2" xfId="7758"/>
    <cellStyle name="Normal 14 3 4 2 3 2 2" xfId="7759"/>
    <cellStyle name="Normal 14 3 4 2 3 2 2 2" xfId="7760"/>
    <cellStyle name="Normal 14 3 4 2 3 2 3" xfId="7761"/>
    <cellStyle name="Normal 14 3 4 2 3 3" xfId="7762"/>
    <cellStyle name="Normal 14 3 4 2 3 3 2" xfId="7763"/>
    <cellStyle name="Normal 14 3 4 2 3 4" xfId="7764"/>
    <cellStyle name="Normal 14 3 4 2 4" xfId="7765"/>
    <cellStyle name="Normal 14 3 4 2 4 2" xfId="7766"/>
    <cellStyle name="Normal 14 3 4 2 4 2 2" xfId="7767"/>
    <cellStyle name="Normal 14 3 4 2 4 3" xfId="7768"/>
    <cellStyle name="Normal 14 3 4 2 5" xfId="7769"/>
    <cellStyle name="Normal 14 3 4 2 5 2" xfId="7770"/>
    <cellStyle name="Normal 14 3 4 2 6" xfId="7771"/>
    <cellStyle name="Normal 14 3 4 3" xfId="7772"/>
    <cellStyle name="Normal 14 3 4 3 2" xfId="7773"/>
    <cellStyle name="Normal 14 3 4 3 2 2" xfId="7774"/>
    <cellStyle name="Normal 14 3 4 3 2 2 2" xfId="7775"/>
    <cellStyle name="Normal 14 3 4 3 2 3" xfId="7776"/>
    <cellStyle name="Normal 14 3 4 3 3" xfId="7777"/>
    <cellStyle name="Normal 14 3 4 3 3 2" xfId="7778"/>
    <cellStyle name="Normal 14 3 4 3 4" xfId="7779"/>
    <cellStyle name="Normal 14 3 4 4" xfId="7780"/>
    <cellStyle name="Normal 14 3 4 4 2" xfId="7781"/>
    <cellStyle name="Normal 14 3 4 4 2 2" xfId="7782"/>
    <cellStyle name="Normal 14 3 4 4 2 2 2" xfId="7783"/>
    <cellStyle name="Normal 14 3 4 4 2 3" xfId="7784"/>
    <cellStyle name="Normal 14 3 4 4 3" xfId="7785"/>
    <cellStyle name="Normal 14 3 4 4 3 2" xfId="7786"/>
    <cellStyle name="Normal 14 3 4 4 4" xfId="7787"/>
    <cellStyle name="Normal 14 3 4 5" xfId="7788"/>
    <cellStyle name="Normal 14 3 4 5 2" xfId="7789"/>
    <cellStyle name="Normal 14 3 4 5 2 2" xfId="7790"/>
    <cellStyle name="Normal 14 3 4 5 3" xfId="7791"/>
    <cellStyle name="Normal 14 3 4 6" xfId="7792"/>
    <cellStyle name="Normal 14 3 4 6 2" xfId="7793"/>
    <cellStyle name="Normal 14 3 4 7" xfId="7794"/>
    <cellStyle name="Normal 14 3 5" xfId="7795"/>
    <cellStyle name="Normal 14 3 5 2" xfId="7796"/>
    <cellStyle name="Normal 14 3 5 2 2" xfId="7797"/>
    <cellStyle name="Normal 14 3 5 2 2 2" xfId="7798"/>
    <cellStyle name="Normal 14 3 5 2 2 2 2" xfId="7799"/>
    <cellStyle name="Normal 14 3 5 2 2 3" xfId="7800"/>
    <cellStyle name="Normal 14 3 5 2 3" xfId="7801"/>
    <cellStyle name="Normal 14 3 5 2 3 2" xfId="7802"/>
    <cellStyle name="Normal 14 3 5 2 4" xfId="7803"/>
    <cellStyle name="Normal 14 3 5 3" xfId="7804"/>
    <cellStyle name="Normal 14 3 5 3 2" xfId="7805"/>
    <cellStyle name="Normal 14 3 5 3 2 2" xfId="7806"/>
    <cellStyle name="Normal 14 3 5 3 2 2 2" xfId="7807"/>
    <cellStyle name="Normal 14 3 5 3 2 3" xfId="7808"/>
    <cellStyle name="Normal 14 3 5 3 3" xfId="7809"/>
    <cellStyle name="Normal 14 3 5 3 3 2" xfId="7810"/>
    <cellStyle name="Normal 14 3 5 3 4" xfId="7811"/>
    <cellStyle name="Normal 14 3 5 4" xfId="7812"/>
    <cellStyle name="Normal 14 3 5 4 2" xfId="7813"/>
    <cellStyle name="Normal 14 3 5 4 2 2" xfId="7814"/>
    <cellStyle name="Normal 14 3 5 4 3" xfId="7815"/>
    <cellStyle name="Normal 14 3 5 5" xfId="7816"/>
    <cellStyle name="Normal 14 3 5 5 2" xfId="7817"/>
    <cellStyle name="Normal 14 3 5 6" xfId="7818"/>
    <cellStyle name="Normal 14 3 6" xfId="7819"/>
    <cellStyle name="Normal 14 3 6 2" xfId="7820"/>
    <cellStyle name="Normal 14 3 6 2 2" xfId="7821"/>
    <cellStyle name="Normal 14 3 6 2 2 2" xfId="7822"/>
    <cellStyle name="Normal 14 3 6 2 3" xfId="7823"/>
    <cellStyle name="Normal 14 3 6 3" xfId="7824"/>
    <cellStyle name="Normal 14 3 6 3 2" xfId="7825"/>
    <cellStyle name="Normal 14 3 6 4" xfId="7826"/>
    <cellStyle name="Normal 14 3 7" xfId="7827"/>
    <cellStyle name="Normal 14 3 7 2" xfId="7828"/>
    <cellStyle name="Normal 14 3 7 2 2" xfId="7829"/>
    <cellStyle name="Normal 14 3 7 2 2 2" xfId="7830"/>
    <cellStyle name="Normal 14 3 7 2 3" xfId="7831"/>
    <cellStyle name="Normal 14 3 7 3" xfId="7832"/>
    <cellStyle name="Normal 14 3 7 3 2" xfId="7833"/>
    <cellStyle name="Normal 14 3 7 4" xfId="7834"/>
    <cellStyle name="Normal 14 3 8" xfId="7835"/>
    <cellStyle name="Normal 14 3 8 2" xfId="7836"/>
    <cellStyle name="Normal 14 3 8 2 2" xfId="7837"/>
    <cellStyle name="Normal 14 3 8 2 2 2" xfId="7838"/>
    <cellStyle name="Normal 14 3 8 2 3" xfId="7839"/>
    <cellStyle name="Normal 14 3 8 3" xfId="7840"/>
    <cellStyle name="Normal 14 3 8 3 2" xfId="7841"/>
    <cellStyle name="Normal 14 3 8 4" xfId="7842"/>
    <cellStyle name="Normal 14 3 9" xfId="7843"/>
    <cellStyle name="Normal 14 3 9 2" xfId="7844"/>
    <cellStyle name="Normal 14 3 9 2 2" xfId="7845"/>
    <cellStyle name="Normal 14 3 9 3" xfId="7846"/>
    <cellStyle name="Normal 14 4" xfId="7847"/>
    <cellStyle name="Normal 14 4 10" xfId="7848"/>
    <cellStyle name="Normal 14 4 2" xfId="7849"/>
    <cellStyle name="Normal 14 4 2 2" xfId="7850"/>
    <cellStyle name="Normal 14 4 2 2 2" xfId="7851"/>
    <cellStyle name="Normal 14 4 2 2 2 2" xfId="7852"/>
    <cellStyle name="Normal 14 4 2 2 2 2 2" xfId="7853"/>
    <cellStyle name="Normal 14 4 2 2 2 2 2 2" xfId="7854"/>
    <cellStyle name="Normal 14 4 2 2 2 2 2 2 2" xfId="7855"/>
    <cellStyle name="Normal 14 4 2 2 2 2 2 3" xfId="7856"/>
    <cellStyle name="Normal 14 4 2 2 2 2 3" xfId="7857"/>
    <cellStyle name="Normal 14 4 2 2 2 2 3 2" xfId="7858"/>
    <cellStyle name="Normal 14 4 2 2 2 2 4" xfId="7859"/>
    <cellStyle name="Normal 14 4 2 2 2 3" xfId="7860"/>
    <cellStyle name="Normal 14 4 2 2 2 3 2" xfId="7861"/>
    <cellStyle name="Normal 14 4 2 2 2 3 2 2" xfId="7862"/>
    <cellStyle name="Normal 14 4 2 2 2 3 2 2 2" xfId="7863"/>
    <cellStyle name="Normal 14 4 2 2 2 3 2 3" xfId="7864"/>
    <cellStyle name="Normal 14 4 2 2 2 3 3" xfId="7865"/>
    <cellStyle name="Normal 14 4 2 2 2 3 3 2" xfId="7866"/>
    <cellStyle name="Normal 14 4 2 2 2 3 4" xfId="7867"/>
    <cellStyle name="Normal 14 4 2 2 2 4" xfId="7868"/>
    <cellStyle name="Normal 14 4 2 2 2 4 2" xfId="7869"/>
    <cellStyle name="Normal 14 4 2 2 2 4 2 2" xfId="7870"/>
    <cellStyle name="Normal 14 4 2 2 2 4 3" xfId="7871"/>
    <cellStyle name="Normal 14 4 2 2 2 5" xfId="7872"/>
    <cellStyle name="Normal 14 4 2 2 2 5 2" xfId="7873"/>
    <cellStyle name="Normal 14 4 2 2 2 6" xfId="7874"/>
    <cellStyle name="Normal 14 4 2 2 3" xfId="7875"/>
    <cellStyle name="Normal 14 4 2 2 3 2" xfId="7876"/>
    <cellStyle name="Normal 14 4 2 2 3 2 2" xfId="7877"/>
    <cellStyle name="Normal 14 4 2 2 3 2 2 2" xfId="7878"/>
    <cellStyle name="Normal 14 4 2 2 3 2 3" xfId="7879"/>
    <cellStyle name="Normal 14 4 2 2 3 3" xfId="7880"/>
    <cellStyle name="Normal 14 4 2 2 3 3 2" xfId="7881"/>
    <cellStyle name="Normal 14 4 2 2 3 4" xfId="7882"/>
    <cellStyle name="Normal 14 4 2 2 4" xfId="7883"/>
    <cellStyle name="Normal 14 4 2 2 4 2" xfId="7884"/>
    <cellStyle name="Normal 14 4 2 2 4 2 2" xfId="7885"/>
    <cellStyle name="Normal 14 4 2 2 4 2 2 2" xfId="7886"/>
    <cellStyle name="Normal 14 4 2 2 4 2 3" xfId="7887"/>
    <cellStyle name="Normal 14 4 2 2 4 3" xfId="7888"/>
    <cellStyle name="Normal 14 4 2 2 4 3 2" xfId="7889"/>
    <cellStyle name="Normal 14 4 2 2 4 4" xfId="7890"/>
    <cellStyle name="Normal 14 4 2 2 5" xfId="7891"/>
    <cellStyle name="Normal 14 4 2 2 5 2" xfId="7892"/>
    <cellStyle name="Normal 14 4 2 2 5 2 2" xfId="7893"/>
    <cellStyle name="Normal 14 4 2 2 5 3" xfId="7894"/>
    <cellStyle name="Normal 14 4 2 2 6" xfId="7895"/>
    <cellStyle name="Normal 14 4 2 2 6 2" xfId="7896"/>
    <cellStyle name="Normal 14 4 2 2 7" xfId="7897"/>
    <cellStyle name="Normal 14 4 2 3" xfId="7898"/>
    <cellStyle name="Normal 14 4 2 3 2" xfId="7899"/>
    <cellStyle name="Normal 14 4 2 3 2 2" xfId="7900"/>
    <cellStyle name="Normal 14 4 2 3 2 2 2" xfId="7901"/>
    <cellStyle name="Normal 14 4 2 3 2 2 2 2" xfId="7902"/>
    <cellStyle name="Normal 14 4 2 3 2 2 3" xfId="7903"/>
    <cellStyle name="Normal 14 4 2 3 2 3" xfId="7904"/>
    <cellStyle name="Normal 14 4 2 3 2 3 2" xfId="7905"/>
    <cellStyle name="Normal 14 4 2 3 2 4" xfId="7906"/>
    <cellStyle name="Normal 14 4 2 3 3" xfId="7907"/>
    <cellStyle name="Normal 14 4 2 3 3 2" xfId="7908"/>
    <cellStyle name="Normal 14 4 2 3 3 2 2" xfId="7909"/>
    <cellStyle name="Normal 14 4 2 3 3 2 2 2" xfId="7910"/>
    <cellStyle name="Normal 14 4 2 3 3 2 3" xfId="7911"/>
    <cellStyle name="Normal 14 4 2 3 3 3" xfId="7912"/>
    <cellStyle name="Normal 14 4 2 3 3 3 2" xfId="7913"/>
    <cellStyle name="Normal 14 4 2 3 3 4" xfId="7914"/>
    <cellStyle name="Normal 14 4 2 3 4" xfId="7915"/>
    <cellStyle name="Normal 14 4 2 3 4 2" xfId="7916"/>
    <cellStyle name="Normal 14 4 2 3 4 2 2" xfId="7917"/>
    <cellStyle name="Normal 14 4 2 3 4 3" xfId="7918"/>
    <cellStyle name="Normal 14 4 2 3 5" xfId="7919"/>
    <cellStyle name="Normal 14 4 2 3 5 2" xfId="7920"/>
    <cellStyle name="Normal 14 4 2 3 6" xfId="7921"/>
    <cellStyle name="Normal 14 4 2 4" xfId="7922"/>
    <cellStyle name="Normal 14 4 2 4 2" xfId="7923"/>
    <cellStyle name="Normal 14 4 2 4 2 2" xfId="7924"/>
    <cellStyle name="Normal 14 4 2 4 2 2 2" xfId="7925"/>
    <cellStyle name="Normal 14 4 2 4 2 3" xfId="7926"/>
    <cellStyle name="Normal 14 4 2 4 3" xfId="7927"/>
    <cellStyle name="Normal 14 4 2 4 3 2" xfId="7928"/>
    <cellStyle name="Normal 14 4 2 4 4" xfId="7929"/>
    <cellStyle name="Normal 14 4 2 5" xfId="7930"/>
    <cellStyle name="Normal 14 4 2 5 2" xfId="7931"/>
    <cellStyle name="Normal 14 4 2 5 2 2" xfId="7932"/>
    <cellStyle name="Normal 14 4 2 5 2 2 2" xfId="7933"/>
    <cellStyle name="Normal 14 4 2 5 2 3" xfId="7934"/>
    <cellStyle name="Normal 14 4 2 5 3" xfId="7935"/>
    <cellStyle name="Normal 14 4 2 5 3 2" xfId="7936"/>
    <cellStyle name="Normal 14 4 2 5 4" xfId="7937"/>
    <cellStyle name="Normal 14 4 2 6" xfId="7938"/>
    <cellStyle name="Normal 14 4 2 6 2" xfId="7939"/>
    <cellStyle name="Normal 14 4 2 6 2 2" xfId="7940"/>
    <cellStyle name="Normal 14 4 2 6 2 2 2" xfId="7941"/>
    <cellStyle name="Normal 14 4 2 6 2 3" xfId="7942"/>
    <cellStyle name="Normal 14 4 2 6 3" xfId="7943"/>
    <cellStyle name="Normal 14 4 2 6 3 2" xfId="7944"/>
    <cellStyle name="Normal 14 4 2 6 4" xfId="7945"/>
    <cellStyle name="Normal 14 4 2 7" xfId="7946"/>
    <cellStyle name="Normal 14 4 2 7 2" xfId="7947"/>
    <cellStyle name="Normal 14 4 2 7 2 2" xfId="7948"/>
    <cellStyle name="Normal 14 4 2 7 3" xfId="7949"/>
    <cellStyle name="Normal 14 4 2 8" xfId="7950"/>
    <cellStyle name="Normal 14 4 2 8 2" xfId="7951"/>
    <cellStyle name="Normal 14 4 2 9" xfId="7952"/>
    <cellStyle name="Normal 14 4 3" xfId="7953"/>
    <cellStyle name="Normal 14 4 3 2" xfId="7954"/>
    <cellStyle name="Normal 14 4 3 2 2" xfId="7955"/>
    <cellStyle name="Normal 14 4 3 2 2 2" xfId="7956"/>
    <cellStyle name="Normal 14 4 3 2 2 2 2" xfId="7957"/>
    <cellStyle name="Normal 14 4 3 2 2 2 2 2" xfId="7958"/>
    <cellStyle name="Normal 14 4 3 2 2 2 3" xfId="7959"/>
    <cellStyle name="Normal 14 4 3 2 2 3" xfId="7960"/>
    <cellStyle name="Normal 14 4 3 2 2 3 2" xfId="7961"/>
    <cellStyle name="Normal 14 4 3 2 2 4" xfId="7962"/>
    <cellStyle name="Normal 14 4 3 2 3" xfId="7963"/>
    <cellStyle name="Normal 14 4 3 2 3 2" xfId="7964"/>
    <cellStyle name="Normal 14 4 3 2 3 2 2" xfId="7965"/>
    <cellStyle name="Normal 14 4 3 2 3 2 2 2" xfId="7966"/>
    <cellStyle name="Normal 14 4 3 2 3 2 3" xfId="7967"/>
    <cellStyle name="Normal 14 4 3 2 3 3" xfId="7968"/>
    <cellStyle name="Normal 14 4 3 2 3 3 2" xfId="7969"/>
    <cellStyle name="Normal 14 4 3 2 3 4" xfId="7970"/>
    <cellStyle name="Normal 14 4 3 2 4" xfId="7971"/>
    <cellStyle name="Normal 14 4 3 2 4 2" xfId="7972"/>
    <cellStyle name="Normal 14 4 3 2 4 2 2" xfId="7973"/>
    <cellStyle name="Normal 14 4 3 2 4 3" xfId="7974"/>
    <cellStyle name="Normal 14 4 3 2 5" xfId="7975"/>
    <cellStyle name="Normal 14 4 3 2 5 2" xfId="7976"/>
    <cellStyle name="Normal 14 4 3 2 6" xfId="7977"/>
    <cellStyle name="Normal 14 4 3 3" xfId="7978"/>
    <cellStyle name="Normal 14 4 3 3 2" xfId="7979"/>
    <cellStyle name="Normal 14 4 3 3 2 2" xfId="7980"/>
    <cellStyle name="Normal 14 4 3 3 2 2 2" xfId="7981"/>
    <cellStyle name="Normal 14 4 3 3 2 3" xfId="7982"/>
    <cellStyle name="Normal 14 4 3 3 3" xfId="7983"/>
    <cellStyle name="Normal 14 4 3 3 3 2" xfId="7984"/>
    <cellStyle name="Normal 14 4 3 3 4" xfId="7985"/>
    <cellStyle name="Normal 14 4 3 4" xfId="7986"/>
    <cellStyle name="Normal 14 4 3 4 2" xfId="7987"/>
    <cellStyle name="Normal 14 4 3 4 2 2" xfId="7988"/>
    <cellStyle name="Normal 14 4 3 4 2 2 2" xfId="7989"/>
    <cellStyle name="Normal 14 4 3 4 2 3" xfId="7990"/>
    <cellStyle name="Normal 14 4 3 4 3" xfId="7991"/>
    <cellStyle name="Normal 14 4 3 4 3 2" xfId="7992"/>
    <cellStyle name="Normal 14 4 3 4 4" xfId="7993"/>
    <cellStyle name="Normal 14 4 3 5" xfId="7994"/>
    <cellStyle name="Normal 14 4 3 5 2" xfId="7995"/>
    <cellStyle name="Normal 14 4 3 5 2 2" xfId="7996"/>
    <cellStyle name="Normal 14 4 3 5 3" xfId="7997"/>
    <cellStyle name="Normal 14 4 3 6" xfId="7998"/>
    <cellStyle name="Normal 14 4 3 6 2" xfId="7999"/>
    <cellStyle name="Normal 14 4 3 7" xfId="8000"/>
    <cellStyle name="Normal 14 4 4" xfId="8001"/>
    <cellStyle name="Normal 14 4 4 2" xfId="8002"/>
    <cellStyle name="Normal 14 4 4 2 2" xfId="8003"/>
    <cellStyle name="Normal 14 4 4 2 2 2" xfId="8004"/>
    <cellStyle name="Normal 14 4 4 2 2 2 2" xfId="8005"/>
    <cellStyle name="Normal 14 4 4 2 2 3" xfId="8006"/>
    <cellStyle name="Normal 14 4 4 2 3" xfId="8007"/>
    <cellStyle name="Normal 14 4 4 2 3 2" xfId="8008"/>
    <cellStyle name="Normal 14 4 4 2 4" xfId="8009"/>
    <cellStyle name="Normal 14 4 4 3" xfId="8010"/>
    <cellStyle name="Normal 14 4 4 3 2" xfId="8011"/>
    <cellStyle name="Normal 14 4 4 3 2 2" xfId="8012"/>
    <cellStyle name="Normal 14 4 4 3 2 2 2" xfId="8013"/>
    <cellStyle name="Normal 14 4 4 3 2 3" xfId="8014"/>
    <cellStyle name="Normal 14 4 4 3 3" xfId="8015"/>
    <cellStyle name="Normal 14 4 4 3 3 2" xfId="8016"/>
    <cellStyle name="Normal 14 4 4 3 4" xfId="8017"/>
    <cellStyle name="Normal 14 4 4 4" xfId="8018"/>
    <cellStyle name="Normal 14 4 4 4 2" xfId="8019"/>
    <cellStyle name="Normal 14 4 4 4 2 2" xfId="8020"/>
    <cellStyle name="Normal 14 4 4 4 3" xfId="8021"/>
    <cellStyle name="Normal 14 4 4 5" xfId="8022"/>
    <cellStyle name="Normal 14 4 4 5 2" xfId="8023"/>
    <cellStyle name="Normal 14 4 4 6" xfId="8024"/>
    <cellStyle name="Normal 14 4 5" xfId="8025"/>
    <cellStyle name="Normal 14 4 5 2" xfId="8026"/>
    <cellStyle name="Normal 14 4 5 2 2" xfId="8027"/>
    <cellStyle name="Normal 14 4 5 2 2 2" xfId="8028"/>
    <cellStyle name="Normal 14 4 5 2 3" xfId="8029"/>
    <cellStyle name="Normal 14 4 5 3" xfId="8030"/>
    <cellStyle name="Normal 14 4 5 3 2" xfId="8031"/>
    <cellStyle name="Normal 14 4 5 4" xfId="8032"/>
    <cellStyle name="Normal 14 4 6" xfId="8033"/>
    <cellStyle name="Normal 14 4 6 2" xfId="8034"/>
    <cellStyle name="Normal 14 4 6 2 2" xfId="8035"/>
    <cellStyle name="Normal 14 4 6 2 2 2" xfId="8036"/>
    <cellStyle name="Normal 14 4 6 2 3" xfId="8037"/>
    <cellStyle name="Normal 14 4 6 3" xfId="8038"/>
    <cellStyle name="Normal 14 4 6 3 2" xfId="8039"/>
    <cellStyle name="Normal 14 4 6 4" xfId="8040"/>
    <cellStyle name="Normal 14 4 7" xfId="8041"/>
    <cellStyle name="Normal 14 4 7 2" xfId="8042"/>
    <cellStyle name="Normal 14 4 7 2 2" xfId="8043"/>
    <cellStyle name="Normal 14 4 7 2 2 2" xfId="8044"/>
    <cellStyle name="Normal 14 4 7 2 3" xfId="8045"/>
    <cellStyle name="Normal 14 4 7 3" xfId="8046"/>
    <cellStyle name="Normal 14 4 7 3 2" xfId="8047"/>
    <cellStyle name="Normal 14 4 7 4" xfId="8048"/>
    <cellStyle name="Normal 14 4 8" xfId="8049"/>
    <cellStyle name="Normal 14 4 8 2" xfId="8050"/>
    <cellStyle name="Normal 14 4 8 2 2" xfId="8051"/>
    <cellStyle name="Normal 14 4 8 3" xfId="8052"/>
    <cellStyle name="Normal 14 4 9" xfId="8053"/>
    <cellStyle name="Normal 14 4 9 2" xfId="8054"/>
    <cellStyle name="Normal 14 5" xfId="8055"/>
    <cellStyle name="Normal 14 5 10" xfId="8056"/>
    <cellStyle name="Normal 14 5 2" xfId="8057"/>
    <cellStyle name="Normal 14 5 2 2" xfId="8058"/>
    <cellStyle name="Normal 14 5 2 2 2" xfId="8059"/>
    <cellStyle name="Normal 14 5 2 2 2 2" xfId="8060"/>
    <cellStyle name="Normal 14 5 2 2 2 2 2" xfId="8061"/>
    <cellStyle name="Normal 14 5 2 2 2 2 2 2" xfId="8062"/>
    <cellStyle name="Normal 14 5 2 2 2 2 2 2 2" xfId="8063"/>
    <cellStyle name="Normal 14 5 2 2 2 2 2 3" xfId="8064"/>
    <cellStyle name="Normal 14 5 2 2 2 2 3" xfId="8065"/>
    <cellStyle name="Normal 14 5 2 2 2 2 3 2" xfId="8066"/>
    <cellStyle name="Normal 14 5 2 2 2 2 4" xfId="8067"/>
    <cellStyle name="Normal 14 5 2 2 2 3" xfId="8068"/>
    <cellStyle name="Normal 14 5 2 2 2 3 2" xfId="8069"/>
    <cellStyle name="Normal 14 5 2 2 2 3 2 2" xfId="8070"/>
    <cellStyle name="Normal 14 5 2 2 2 3 2 2 2" xfId="8071"/>
    <cellStyle name="Normal 14 5 2 2 2 3 2 3" xfId="8072"/>
    <cellStyle name="Normal 14 5 2 2 2 3 3" xfId="8073"/>
    <cellStyle name="Normal 14 5 2 2 2 3 3 2" xfId="8074"/>
    <cellStyle name="Normal 14 5 2 2 2 3 4" xfId="8075"/>
    <cellStyle name="Normal 14 5 2 2 2 4" xfId="8076"/>
    <cellStyle name="Normal 14 5 2 2 2 4 2" xfId="8077"/>
    <cellStyle name="Normal 14 5 2 2 2 4 2 2" xfId="8078"/>
    <cellStyle name="Normal 14 5 2 2 2 4 3" xfId="8079"/>
    <cellStyle name="Normal 14 5 2 2 2 5" xfId="8080"/>
    <cellStyle name="Normal 14 5 2 2 2 5 2" xfId="8081"/>
    <cellStyle name="Normal 14 5 2 2 2 6" xfId="8082"/>
    <cellStyle name="Normal 14 5 2 2 3" xfId="8083"/>
    <cellStyle name="Normal 14 5 2 2 3 2" xfId="8084"/>
    <cellStyle name="Normal 14 5 2 2 3 2 2" xfId="8085"/>
    <cellStyle name="Normal 14 5 2 2 3 2 2 2" xfId="8086"/>
    <cellStyle name="Normal 14 5 2 2 3 2 3" xfId="8087"/>
    <cellStyle name="Normal 14 5 2 2 3 3" xfId="8088"/>
    <cellStyle name="Normal 14 5 2 2 3 3 2" xfId="8089"/>
    <cellStyle name="Normal 14 5 2 2 3 4" xfId="8090"/>
    <cellStyle name="Normal 14 5 2 2 4" xfId="8091"/>
    <cellStyle name="Normal 14 5 2 2 4 2" xfId="8092"/>
    <cellStyle name="Normal 14 5 2 2 4 2 2" xfId="8093"/>
    <cellStyle name="Normal 14 5 2 2 4 2 2 2" xfId="8094"/>
    <cellStyle name="Normal 14 5 2 2 4 2 3" xfId="8095"/>
    <cellStyle name="Normal 14 5 2 2 4 3" xfId="8096"/>
    <cellStyle name="Normal 14 5 2 2 4 3 2" xfId="8097"/>
    <cellStyle name="Normal 14 5 2 2 4 4" xfId="8098"/>
    <cellStyle name="Normal 14 5 2 2 5" xfId="8099"/>
    <cellStyle name="Normal 14 5 2 2 5 2" xfId="8100"/>
    <cellStyle name="Normal 14 5 2 2 5 2 2" xfId="8101"/>
    <cellStyle name="Normal 14 5 2 2 5 3" xfId="8102"/>
    <cellStyle name="Normal 14 5 2 2 6" xfId="8103"/>
    <cellStyle name="Normal 14 5 2 2 6 2" xfId="8104"/>
    <cellStyle name="Normal 14 5 2 2 7" xfId="8105"/>
    <cellStyle name="Normal 14 5 2 3" xfId="8106"/>
    <cellStyle name="Normal 14 5 2 3 2" xfId="8107"/>
    <cellStyle name="Normal 14 5 2 3 2 2" xfId="8108"/>
    <cellStyle name="Normal 14 5 2 3 2 2 2" xfId="8109"/>
    <cellStyle name="Normal 14 5 2 3 2 2 2 2" xfId="8110"/>
    <cellStyle name="Normal 14 5 2 3 2 2 3" xfId="8111"/>
    <cellStyle name="Normal 14 5 2 3 2 3" xfId="8112"/>
    <cellStyle name="Normal 14 5 2 3 2 3 2" xfId="8113"/>
    <cellStyle name="Normal 14 5 2 3 2 4" xfId="8114"/>
    <cellStyle name="Normal 14 5 2 3 3" xfId="8115"/>
    <cellStyle name="Normal 14 5 2 3 3 2" xfId="8116"/>
    <cellStyle name="Normal 14 5 2 3 3 2 2" xfId="8117"/>
    <cellStyle name="Normal 14 5 2 3 3 2 2 2" xfId="8118"/>
    <cellStyle name="Normal 14 5 2 3 3 2 3" xfId="8119"/>
    <cellStyle name="Normal 14 5 2 3 3 3" xfId="8120"/>
    <cellStyle name="Normal 14 5 2 3 3 3 2" xfId="8121"/>
    <cellStyle name="Normal 14 5 2 3 3 4" xfId="8122"/>
    <cellStyle name="Normal 14 5 2 3 4" xfId="8123"/>
    <cellStyle name="Normal 14 5 2 3 4 2" xfId="8124"/>
    <cellStyle name="Normal 14 5 2 3 4 2 2" xfId="8125"/>
    <cellStyle name="Normal 14 5 2 3 4 3" xfId="8126"/>
    <cellStyle name="Normal 14 5 2 3 5" xfId="8127"/>
    <cellStyle name="Normal 14 5 2 3 5 2" xfId="8128"/>
    <cellStyle name="Normal 14 5 2 3 6" xfId="8129"/>
    <cellStyle name="Normal 14 5 2 4" xfId="8130"/>
    <cellStyle name="Normal 14 5 2 4 2" xfId="8131"/>
    <cellStyle name="Normal 14 5 2 4 2 2" xfId="8132"/>
    <cellStyle name="Normal 14 5 2 4 2 2 2" xfId="8133"/>
    <cellStyle name="Normal 14 5 2 4 2 3" xfId="8134"/>
    <cellStyle name="Normal 14 5 2 4 3" xfId="8135"/>
    <cellStyle name="Normal 14 5 2 4 3 2" xfId="8136"/>
    <cellStyle name="Normal 14 5 2 4 4" xfId="8137"/>
    <cellStyle name="Normal 14 5 2 5" xfId="8138"/>
    <cellStyle name="Normal 14 5 2 5 2" xfId="8139"/>
    <cellStyle name="Normal 14 5 2 5 2 2" xfId="8140"/>
    <cellStyle name="Normal 14 5 2 5 2 2 2" xfId="8141"/>
    <cellStyle name="Normal 14 5 2 5 2 3" xfId="8142"/>
    <cellStyle name="Normal 14 5 2 5 3" xfId="8143"/>
    <cellStyle name="Normal 14 5 2 5 3 2" xfId="8144"/>
    <cellStyle name="Normal 14 5 2 5 4" xfId="8145"/>
    <cellStyle name="Normal 14 5 2 6" xfId="8146"/>
    <cellStyle name="Normal 14 5 2 6 2" xfId="8147"/>
    <cellStyle name="Normal 14 5 2 6 2 2" xfId="8148"/>
    <cellStyle name="Normal 14 5 2 6 2 2 2" xfId="8149"/>
    <cellStyle name="Normal 14 5 2 6 2 3" xfId="8150"/>
    <cellStyle name="Normal 14 5 2 6 3" xfId="8151"/>
    <cellStyle name="Normal 14 5 2 6 3 2" xfId="8152"/>
    <cellStyle name="Normal 14 5 2 6 4" xfId="8153"/>
    <cellStyle name="Normal 14 5 2 7" xfId="8154"/>
    <cellStyle name="Normal 14 5 2 7 2" xfId="8155"/>
    <cellStyle name="Normal 14 5 2 7 2 2" xfId="8156"/>
    <cellStyle name="Normal 14 5 2 7 3" xfId="8157"/>
    <cellStyle name="Normal 14 5 2 8" xfId="8158"/>
    <cellStyle name="Normal 14 5 2 8 2" xfId="8159"/>
    <cellStyle name="Normal 14 5 2 9" xfId="8160"/>
    <cellStyle name="Normal 14 5 3" xfId="8161"/>
    <cellStyle name="Normal 14 5 3 2" xfId="8162"/>
    <cellStyle name="Normal 14 5 3 2 2" xfId="8163"/>
    <cellStyle name="Normal 14 5 3 2 2 2" xfId="8164"/>
    <cellStyle name="Normal 14 5 3 2 2 2 2" xfId="8165"/>
    <cellStyle name="Normal 14 5 3 2 2 2 2 2" xfId="8166"/>
    <cellStyle name="Normal 14 5 3 2 2 2 3" xfId="8167"/>
    <cellStyle name="Normal 14 5 3 2 2 3" xfId="8168"/>
    <cellStyle name="Normal 14 5 3 2 2 3 2" xfId="8169"/>
    <cellStyle name="Normal 14 5 3 2 2 4" xfId="8170"/>
    <cellStyle name="Normal 14 5 3 2 3" xfId="8171"/>
    <cellStyle name="Normal 14 5 3 2 3 2" xfId="8172"/>
    <cellStyle name="Normal 14 5 3 2 3 2 2" xfId="8173"/>
    <cellStyle name="Normal 14 5 3 2 3 2 2 2" xfId="8174"/>
    <cellStyle name="Normal 14 5 3 2 3 2 3" xfId="8175"/>
    <cellStyle name="Normal 14 5 3 2 3 3" xfId="8176"/>
    <cellStyle name="Normal 14 5 3 2 3 3 2" xfId="8177"/>
    <cellStyle name="Normal 14 5 3 2 3 4" xfId="8178"/>
    <cellStyle name="Normal 14 5 3 2 4" xfId="8179"/>
    <cellStyle name="Normal 14 5 3 2 4 2" xfId="8180"/>
    <cellStyle name="Normal 14 5 3 2 4 2 2" xfId="8181"/>
    <cellStyle name="Normal 14 5 3 2 4 3" xfId="8182"/>
    <cellStyle name="Normal 14 5 3 2 5" xfId="8183"/>
    <cellStyle name="Normal 14 5 3 2 5 2" xfId="8184"/>
    <cellStyle name="Normal 14 5 3 2 6" xfId="8185"/>
    <cellStyle name="Normal 14 5 3 3" xfId="8186"/>
    <cellStyle name="Normal 14 5 3 3 2" xfId="8187"/>
    <cellStyle name="Normal 14 5 3 3 2 2" xfId="8188"/>
    <cellStyle name="Normal 14 5 3 3 2 2 2" xfId="8189"/>
    <cellStyle name="Normal 14 5 3 3 2 3" xfId="8190"/>
    <cellStyle name="Normal 14 5 3 3 3" xfId="8191"/>
    <cellStyle name="Normal 14 5 3 3 3 2" xfId="8192"/>
    <cellStyle name="Normal 14 5 3 3 4" xfId="8193"/>
    <cellStyle name="Normal 14 5 3 4" xfId="8194"/>
    <cellStyle name="Normal 14 5 3 4 2" xfId="8195"/>
    <cellStyle name="Normal 14 5 3 4 2 2" xfId="8196"/>
    <cellStyle name="Normal 14 5 3 4 2 2 2" xfId="8197"/>
    <cellStyle name="Normal 14 5 3 4 2 3" xfId="8198"/>
    <cellStyle name="Normal 14 5 3 4 3" xfId="8199"/>
    <cellStyle name="Normal 14 5 3 4 3 2" xfId="8200"/>
    <cellStyle name="Normal 14 5 3 4 4" xfId="8201"/>
    <cellStyle name="Normal 14 5 3 5" xfId="8202"/>
    <cellStyle name="Normal 14 5 3 5 2" xfId="8203"/>
    <cellStyle name="Normal 14 5 3 5 2 2" xfId="8204"/>
    <cellStyle name="Normal 14 5 3 5 3" xfId="8205"/>
    <cellStyle name="Normal 14 5 3 6" xfId="8206"/>
    <cellStyle name="Normal 14 5 3 6 2" xfId="8207"/>
    <cellStyle name="Normal 14 5 3 7" xfId="8208"/>
    <cellStyle name="Normal 14 5 4" xfId="8209"/>
    <cellStyle name="Normal 14 5 4 2" xfId="8210"/>
    <cellStyle name="Normal 14 5 4 2 2" xfId="8211"/>
    <cellStyle name="Normal 14 5 4 2 2 2" xfId="8212"/>
    <cellStyle name="Normal 14 5 4 2 2 2 2" xfId="8213"/>
    <cellStyle name="Normal 14 5 4 2 2 3" xfId="8214"/>
    <cellStyle name="Normal 14 5 4 2 3" xfId="8215"/>
    <cellStyle name="Normal 14 5 4 2 3 2" xfId="8216"/>
    <cellStyle name="Normal 14 5 4 2 4" xfId="8217"/>
    <cellStyle name="Normal 14 5 4 3" xfId="8218"/>
    <cellStyle name="Normal 14 5 4 3 2" xfId="8219"/>
    <cellStyle name="Normal 14 5 4 3 2 2" xfId="8220"/>
    <cellStyle name="Normal 14 5 4 3 2 2 2" xfId="8221"/>
    <cellStyle name="Normal 14 5 4 3 2 3" xfId="8222"/>
    <cellStyle name="Normal 14 5 4 3 3" xfId="8223"/>
    <cellStyle name="Normal 14 5 4 3 3 2" xfId="8224"/>
    <cellStyle name="Normal 14 5 4 3 4" xfId="8225"/>
    <cellStyle name="Normal 14 5 4 4" xfId="8226"/>
    <cellStyle name="Normal 14 5 4 4 2" xfId="8227"/>
    <cellStyle name="Normal 14 5 4 4 2 2" xfId="8228"/>
    <cellStyle name="Normal 14 5 4 4 3" xfId="8229"/>
    <cellStyle name="Normal 14 5 4 5" xfId="8230"/>
    <cellStyle name="Normal 14 5 4 5 2" xfId="8231"/>
    <cellStyle name="Normal 14 5 4 6" xfId="8232"/>
    <cellStyle name="Normal 14 5 5" xfId="8233"/>
    <cellStyle name="Normal 14 5 5 2" xfId="8234"/>
    <cellStyle name="Normal 14 5 5 2 2" xfId="8235"/>
    <cellStyle name="Normal 14 5 5 2 2 2" xfId="8236"/>
    <cellStyle name="Normal 14 5 5 2 3" xfId="8237"/>
    <cellStyle name="Normal 14 5 5 3" xfId="8238"/>
    <cellStyle name="Normal 14 5 5 3 2" xfId="8239"/>
    <cellStyle name="Normal 14 5 5 4" xfId="8240"/>
    <cellStyle name="Normal 14 5 6" xfId="8241"/>
    <cellStyle name="Normal 14 5 6 2" xfId="8242"/>
    <cellStyle name="Normal 14 5 6 2 2" xfId="8243"/>
    <cellStyle name="Normal 14 5 6 2 2 2" xfId="8244"/>
    <cellStyle name="Normal 14 5 6 2 3" xfId="8245"/>
    <cellStyle name="Normal 14 5 6 3" xfId="8246"/>
    <cellStyle name="Normal 14 5 6 3 2" xfId="8247"/>
    <cellStyle name="Normal 14 5 6 4" xfId="8248"/>
    <cellStyle name="Normal 14 5 7" xfId="8249"/>
    <cellStyle name="Normal 14 5 7 2" xfId="8250"/>
    <cellStyle name="Normal 14 5 7 2 2" xfId="8251"/>
    <cellStyle name="Normal 14 5 7 2 2 2" xfId="8252"/>
    <cellStyle name="Normal 14 5 7 2 3" xfId="8253"/>
    <cellStyle name="Normal 14 5 7 3" xfId="8254"/>
    <cellStyle name="Normal 14 5 7 3 2" xfId="8255"/>
    <cellStyle name="Normal 14 5 7 4" xfId="8256"/>
    <cellStyle name="Normal 14 5 8" xfId="8257"/>
    <cellStyle name="Normal 14 5 8 2" xfId="8258"/>
    <cellStyle name="Normal 14 5 8 2 2" xfId="8259"/>
    <cellStyle name="Normal 14 5 8 3" xfId="8260"/>
    <cellStyle name="Normal 14 5 9" xfId="8261"/>
    <cellStyle name="Normal 14 5 9 2" xfId="8262"/>
    <cellStyle name="Normal 14 6" xfId="8263"/>
    <cellStyle name="Normal 14 6 2" xfId="8264"/>
    <cellStyle name="Normal 14 6 2 2" xfId="8265"/>
    <cellStyle name="Normal 14 6 2 2 2" xfId="8266"/>
    <cellStyle name="Normal 14 6 2 2 2 2" xfId="8267"/>
    <cellStyle name="Normal 14 6 2 2 2 2 2" xfId="8268"/>
    <cellStyle name="Normal 14 6 2 2 2 2 2 2" xfId="8269"/>
    <cellStyle name="Normal 14 6 2 2 2 2 3" xfId="8270"/>
    <cellStyle name="Normal 14 6 2 2 2 3" xfId="8271"/>
    <cellStyle name="Normal 14 6 2 2 2 3 2" xfId="8272"/>
    <cellStyle name="Normal 14 6 2 2 2 4" xfId="8273"/>
    <cellStyle name="Normal 14 6 2 2 3" xfId="8274"/>
    <cellStyle name="Normal 14 6 2 2 3 2" xfId="8275"/>
    <cellStyle name="Normal 14 6 2 2 3 2 2" xfId="8276"/>
    <cellStyle name="Normal 14 6 2 2 3 2 2 2" xfId="8277"/>
    <cellStyle name="Normal 14 6 2 2 3 2 3" xfId="8278"/>
    <cellStyle name="Normal 14 6 2 2 3 3" xfId="8279"/>
    <cellStyle name="Normal 14 6 2 2 3 3 2" xfId="8280"/>
    <cellStyle name="Normal 14 6 2 2 3 4" xfId="8281"/>
    <cellStyle name="Normal 14 6 2 2 4" xfId="8282"/>
    <cellStyle name="Normal 14 6 2 2 4 2" xfId="8283"/>
    <cellStyle name="Normal 14 6 2 2 4 2 2" xfId="8284"/>
    <cellStyle name="Normal 14 6 2 2 4 3" xfId="8285"/>
    <cellStyle name="Normal 14 6 2 2 5" xfId="8286"/>
    <cellStyle name="Normal 14 6 2 2 5 2" xfId="8287"/>
    <cellStyle name="Normal 14 6 2 2 6" xfId="8288"/>
    <cellStyle name="Normal 14 6 2 3" xfId="8289"/>
    <cellStyle name="Normal 14 6 2 3 2" xfId="8290"/>
    <cellStyle name="Normal 14 6 2 3 2 2" xfId="8291"/>
    <cellStyle name="Normal 14 6 2 3 2 2 2" xfId="8292"/>
    <cellStyle name="Normal 14 6 2 3 2 3" xfId="8293"/>
    <cellStyle name="Normal 14 6 2 3 3" xfId="8294"/>
    <cellStyle name="Normal 14 6 2 3 3 2" xfId="8295"/>
    <cellStyle name="Normal 14 6 2 3 4" xfId="8296"/>
    <cellStyle name="Normal 14 6 2 4" xfId="8297"/>
    <cellStyle name="Normal 14 6 2 4 2" xfId="8298"/>
    <cellStyle name="Normal 14 6 2 4 2 2" xfId="8299"/>
    <cellStyle name="Normal 14 6 2 4 2 2 2" xfId="8300"/>
    <cellStyle name="Normal 14 6 2 4 2 3" xfId="8301"/>
    <cellStyle name="Normal 14 6 2 4 3" xfId="8302"/>
    <cellStyle name="Normal 14 6 2 4 3 2" xfId="8303"/>
    <cellStyle name="Normal 14 6 2 4 4" xfId="8304"/>
    <cellStyle name="Normal 14 6 2 5" xfId="8305"/>
    <cellStyle name="Normal 14 6 2 5 2" xfId="8306"/>
    <cellStyle name="Normal 14 6 2 5 2 2" xfId="8307"/>
    <cellStyle name="Normal 14 6 2 5 3" xfId="8308"/>
    <cellStyle name="Normal 14 6 2 6" xfId="8309"/>
    <cellStyle name="Normal 14 6 2 6 2" xfId="8310"/>
    <cellStyle name="Normal 14 6 2 7" xfId="8311"/>
    <cellStyle name="Normal 14 6 3" xfId="8312"/>
    <cellStyle name="Normal 14 6 3 2" xfId="8313"/>
    <cellStyle name="Normal 14 6 3 2 2" xfId="8314"/>
    <cellStyle name="Normal 14 6 3 2 2 2" xfId="8315"/>
    <cellStyle name="Normal 14 6 3 2 2 2 2" xfId="8316"/>
    <cellStyle name="Normal 14 6 3 2 2 3" xfId="8317"/>
    <cellStyle name="Normal 14 6 3 2 3" xfId="8318"/>
    <cellStyle name="Normal 14 6 3 2 3 2" xfId="8319"/>
    <cellStyle name="Normal 14 6 3 2 4" xfId="8320"/>
    <cellStyle name="Normal 14 6 3 3" xfId="8321"/>
    <cellStyle name="Normal 14 6 3 3 2" xfId="8322"/>
    <cellStyle name="Normal 14 6 3 3 2 2" xfId="8323"/>
    <cellStyle name="Normal 14 6 3 3 2 2 2" xfId="8324"/>
    <cellStyle name="Normal 14 6 3 3 2 3" xfId="8325"/>
    <cellStyle name="Normal 14 6 3 3 3" xfId="8326"/>
    <cellStyle name="Normal 14 6 3 3 3 2" xfId="8327"/>
    <cellStyle name="Normal 14 6 3 3 4" xfId="8328"/>
    <cellStyle name="Normal 14 6 3 4" xfId="8329"/>
    <cellStyle name="Normal 14 6 3 4 2" xfId="8330"/>
    <cellStyle name="Normal 14 6 3 4 2 2" xfId="8331"/>
    <cellStyle name="Normal 14 6 3 4 3" xfId="8332"/>
    <cellStyle name="Normal 14 6 3 5" xfId="8333"/>
    <cellStyle name="Normal 14 6 3 5 2" xfId="8334"/>
    <cellStyle name="Normal 14 6 3 6" xfId="8335"/>
    <cellStyle name="Normal 14 6 4" xfId="8336"/>
    <cellStyle name="Normal 14 6 4 2" xfId="8337"/>
    <cellStyle name="Normal 14 6 4 2 2" xfId="8338"/>
    <cellStyle name="Normal 14 6 4 2 2 2" xfId="8339"/>
    <cellStyle name="Normal 14 6 4 2 3" xfId="8340"/>
    <cellStyle name="Normal 14 6 4 3" xfId="8341"/>
    <cellStyle name="Normal 14 6 4 3 2" xfId="8342"/>
    <cellStyle name="Normal 14 6 4 4" xfId="8343"/>
    <cellStyle name="Normal 14 6 5" xfId="8344"/>
    <cellStyle name="Normal 14 6 5 2" xfId="8345"/>
    <cellStyle name="Normal 14 6 5 2 2" xfId="8346"/>
    <cellStyle name="Normal 14 6 5 2 2 2" xfId="8347"/>
    <cellStyle name="Normal 14 6 5 2 3" xfId="8348"/>
    <cellStyle name="Normal 14 6 5 3" xfId="8349"/>
    <cellStyle name="Normal 14 6 5 3 2" xfId="8350"/>
    <cellStyle name="Normal 14 6 5 4" xfId="8351"/>
    <cellStyle name="Normal 14 6 6" xfId="8352"/>
    <cellStyle name="Normal 14 6 6 2" xfId="8353"/>
    <cellStyle name="Normal 14 6 6 2 2" xfId="8354"/>
    <cellStyle name="Normal 14 6 6 2 2 2" xfId="8355"/>
    <cellStyle name="Normal 14 6 6 2 3" xfId="8356"/>
    <cellStyle name="Normal 14 6 6 3" xfId="8357"/>
    <cellStyle name="Normal 14 6 6 3 2" xfId="8358"/>
    <cellStyle name="Normal 14 6 6 4" xfId="8359"/>
    <cellStyle name="Normal 14 6 7" xfId="8360"/>
    <cellStyle name="Normal 14 6 7 2" xfId="8361"/>
    <cellStyle name="Normal 14 6 7 2 2" xfId="8362"/>
    <cellStyle name="Normal 14 6 7 3" xfId="8363"/>
    <cellStyle name="Normal 14 6 8" xfId="8364"/>
    <cellStyle name="Normal 14 6 8 2" xfId="8365"/>
    <cellStyle name="Normal 14 6 9" xfId="8366"/>
    <cellStyle name="Normal 14 7" xfId="8367"/>
    <cellStyle name="Normal 14 7 2" xfId="8368"/>
    <cellStyle name="Normal 14 7 2 2" xfId="8369"/>
    <cellStyle name="Normal 14 7 2 2 2" xfId="8370"/>
    <cellStyle name="Normal 14 7 2 2 2 2" xfId="8371"/>
    <cellStyle name="Normal 14 7 2 2 2 2 2" xfId="8372"/>
    <cellStyle name="Normal 14 7 2 2 2 3" xfId="8373"/>
    <cellStyle name="Normal 14 7 2 2 3" xfId="8374"/>
    <cellStyle name="Normal 14 7 2 2 3 2" xfId="8375"/>
    <cellStyle name="Normal 14 7 2 2 4" xfId="8376"/>
    <cellStyle name="Normal 14 7 2 3" xfId="8377"/>
    <cellStyle name="Normal 14 7 2 3 2" xfId="8378"/>
    <cellStyle name="Normal 14 7 2 3 2 2" xfId="8379"/>
    <cellStyle name="Normal 14 7 2 3 2 2 2" xfId="8380"/>
    <cellStyle name="Normal 14 7 2 3 2 3" xfId="8381"/>
    <cellStyle name="Normal 14 7 2 3 3" xfId="8382"/>
    <cellStyle name="Normal 14 7 2 3 3 2" xfId="8383"/>
    <cellStyle name="Normal 14 7 2 3 4" xfId="8384"/>
    <cellStyle name="Normal 14 7 2 4" xfId="8385"/>
    <cellStyle name="Normal 14 7 2 4 2" xfId="8386"/>
    <cellStyle name="Normal 14 7 2 4 2 2" xfId="8387"/>
    <cellStyle name="Normal 14 7 2 4 3" xfId="8388"/>
    <cellStyle name="Normal 14 7 2 5" xfId="8389"/>
    <cellStyle name="Normal 14 7 2 5 2" xfId="8390"/>
    <cellStyle name="Normal 14 7 2 6" xfId="8391"/>
    <cellStyle name="Normal 14 7 3" xfId="8392"/>
    <cellStyle name="Normal 14 7 3 2" xfId="8393"/>
    <cellStyle name="Normal 14 7 3 2 2" xfId="8394"/>
    <cellStyle name="Normal 14 7 3 2 2 2" xfId="8395"/>
    <cellStyle name="Normal 14 7 3 2 3" xfId="8396"/>
    <cellStyle name="Normal 14 7 3 3" xfId="8397"/>
    <cellStyle name="Normal 14 7 3 3 2" xfId="8398"/>
    <cellStyle name="Normal 14 7 3 4" xfId="8399"/>
    <cellStyle name="Normal 14 7 4" xfId="8400"/>
    <cellStyle name="Normal 14 7 4 2" xfId="8401"/>
    <cellStyle name="Normal 14 7 4 2 2" xfId="8402"/>
    <cellStyle name="Normal 14 7 4 2 2 2" xfId="8403"/>
    <cellStyle name="Normal 14 7 4 2 3" xfId="8404"/>
    <cellStyle name="Normal 14 7 4 3" xfId="8405"/>
    <cellStyle name="Normal 14 7 4 3 2" xfId="8406"/>
    <cellStyle name="Normal 14 7 4 4" xfId="8407"/>
    <cellStyle name="Normal 14 7 5" xfId="8408"/>
    <cellStyle name="Normal 14 7 5 2" xfId="8409"/>
    <cellStyle name="Normal 14 7 5 2 2" xfId="8410"/>
    <cellStyle name="Normal 14 7 5 3" xfId="8411"/>
    <cellStyle name="Normal 14 7 6" xfId="8412"/>
    <cellStyle name="Normal 14 7 6 2" xfId="8413"/>
    <cellStyle name="Normal 14 7 7" xfId="8414"/>
    <cellStyle name="Normal 14 8" xfId="8415"/>
    <cellStyle name="Normal 14 8 2" xfId="8416"/>
    <cellStyle name="Normal 14 8 2 2" xfId="8417"/>
    <cellStyle name="Normal 14 8 2 2 2" xfId="8418"/>
    <cellStyle name="Normal 14 8 2 2 2 2" xfId="8419"/>
    <cellStyle name="Normal 14 8 2 2 3" xfId="8420"/>
    <cellStyle name="Normal 14 8 2 3" xfId="8421"/>
    <cellStyle name="Normal 14 8 2 3 2" xfId="8422"/>
    <cellStyle name="Normal 14 8 2 4" xfId="8423"/>
    <cellStyle name="Normal 14 8 3" xfId="8424"/>
    <cellStyle name="Normal 14 8 3 2" xfId="8425"/>
    <cellStyle name="Normal 14 8 3 2 2" xfId="8426"/>
    <cellStyle name="Normal 14 8 3 2 2 2" xfId="8427"/>
    <cellStyle name="Normal 14 8 3 2 3" xfId="8428"/>
    <cellStyle name="Normal 14 8 3 3" xfId="8429"/>
    <cellStyle name="Normal 14 8 3 3 2" xfId="8430"/>
    <cellStyle name="Normal 14 8 3 4" xfId="8431"/>
    <cellStyle name="Normal 14 8 4" xfId="8432"/>
    <cellStyle name="Normal 14 8 4 2" xfId="8433"/>
    <cellStyle name="Normal 14 8 4 2 2" xfId="8434"/>
    <cellStyle name="Normal 14 8 4 3" xfId="8435"/>
    <cellStyle name="Normal 14 8 5" xfId="8436"/>
    <cellStyle name="Normal 14 8 5 2" xfId="8437"/>
    <cellStyle name="Normal 14 8 6" xfId="8438"/>
    <cellStyle name="Normal 14 9" xfId="8439"/>
    <cellStyle name="Normal 14 9 2" xfId="8440"/>
    <cellStyle name="Normal 14 9 2 2" xfId="8441"/>
    <cellStyle name="Normal 14 9 2 2 2" xfId="8442"/>
    <cellStyle name="Normal 14 9 2 3" xfId="8443"/>
    <cellStyle name="Normal 14 9 3" xfId="8444"/>
    <cellStyle name="Normal 14 9 3 2" xfId="8445"/>
    <cellStyle name="Normal 14 9 4" xfId="8446"/>
    <cellStyle name="Normal 15" xfId="8447"/>
    <cellStyle name="Normal 15 10" xfId="8448"/>
    <cellStyle name="Normal 15 10 2" xfId="8449"/>
    <cellStyle name="Normal 15 10 2 2" xfId="8450"/>
    <cellStyle name="Normal 15 10 2 2 2" xfId="8451"/>
    <cellStyle name="Normal 15 10 2 3" xfId="8452"/>
    <cellStyle name="Normal 15 10 3" xfId="8453"/>
    <cellStyle name="Normal 15 10 3 2" xfId="8454"/>
    <cellStyle name="Normal 15 10 4" xfId="8455"/>
    <cellStyle name="Normal 15 11" xfId="8456"/>
    <cellStyle name="Normal 15 11 2" xfId="8457"/>
    <cellStyle name="Normal 15 11 2 2" xfId="8458"/>
    <cellStyle name="Normal 15 11 2 2 2" xfId="8459"/>
    <cellStyle name="Normal 15 11 2 3" xfId="8460"/>
    <cellStyle name="Normal 15 11 3" xfId="8461"/>
    <cellStyle name="Normal 15 11 3 2" xfId="8462"/>
    <cellStyle name="Normal 15 11 4" xfId="8463"/>
    <cellStyle name="Normal 15 12" xfId="8464"/>
    <cellStyle name="Normal 15 12 2" xfId="8465"/>
    <cellStyle name="Normal 15 12 2 2" xfId="8466"/>
    <cellStyle name="Normal 15 12 3" xfId="8467"/>
    <cellStyle name="Normal 15 13" xfId="8468"/>
    <cellStyle name="Normal 15 13 2" xfId="8469"/>
    <cellStyle name="Normal 15 14" xfId="8470"/>
    <cellStyle name="Normal 15 2" xfId="8471"/>
    <cellStyle name="Normal 15 2 10" xfId="8472"/>
    <cellStyle name="Normal 15 2 10 2" xfId="8473"/>
    <cellStyle name="Normal 15 2 10 2 2" xfId="8474"/>
    <cellStyle name="Normal 15 2 10 2 2 2" xfId="8475"/>
    <cellStyle name="Normal 15 2 10 2 3" xfId="8476"/>
    <cellStyle name="Normal 15 2 10 3" xfId="8477"/>
    <cellStyle name="Normal 15 2 10 3 2" xfId="8478"/>
    <cellStyle name="Normal 15 2 10 4" xfId="8479"/>
    <cellStyle name="Normal 15 2 11" xfId="8480"/>
    <cellStyle name="Normal 15 2 11 2" xfId="8481"/>
    <cellStyle name="Normal 15 2 11 2 2" xfId="8482"/>
    <cellStyle name="Normal 15 2 11 3" xfId="8483"/>
    <cellStyle name="Normal 15 2 12" xfId="8484"/>
    <cellStyle name="Normal 15 2 12 2" xfId="8485"/>
    <cellStyle name="Normal 15 2 13" xfId="8486"/>
    <cellStyle name="Normal 15 2 2" xfId="8487"/>
    <cellStyle name="Normal 15 2 2 10" xfId="8488"/>
    <cellStyle name="Normal 15 2 2 10 2" xfId="8489"/>
    <cellStyle name="Normal 15 2 2 11" xfId="8490"/>
    <cellStyle name="Normal 15 2 2 2" xfId="8491"/>
    <cellStyle name="Normal 15 2 2 2 10" xfId="8492"/>
    <cellStyle name="Normal 15 2 2 2 2" xfId="8493"/>
    <cellStyle name="Normal 15 2 2 2 2 2" xfId="8494"/>
    <cellStyle name="Normal 15 2 2 2 2 2 2" xfId="8495"/>
    <cellStyle name="Normal 15 2 2 2 2 2 2 2" xfId="8496"/>
    <cellStyle name="Normal 15 2 2 2 2 2 2 2 2" xfId="8497"/>
    <cellStyle name="Normal 15 2 2 2 2 2 2 2 2 2" xfId="8498"/>
    <cellStyle name="Normal 15 2 2 2 2 2 2 2 2 2 2" xfId="8499"/>
    <cellStyle name="Normal 15 2 2 2 2 2 2 2 2 3" xfId="8500"/>
    <cellStyle name="Normal 15 2 2 2 2 2 2 2 3" xfId="8501"/>
    <cellStyle name="Normal 15 2 2 2 2 2 2 2 3 2" xfId="8502"/>
    <cellStyle name="Normal 15 2 2 2 2 2 2 2 4" xfId="8503"/>
    <cellStyle name="Normal 15 2 2 2 2 2 2 3" xfId="8504"/>
    <cellStyle name="Normal 15 2 2 2 2 2 2 3 2" xfId="8505"/>
    <cellStyle name="Normal 15 2 2 2 2 2 2 3 2 2" xfId="8506"/>
    <cellStyle name="Normal 15 2 2 2 2 2 2 3 2 2 2" xfId="8507"/>
    <cellStyle name="Normal 15 2 2 2 2 2 2 3 2 3" xfId="8508"/>
    <cellStyle name="Normal 15 2 2 2 2 2 2 3 3" xfId="8509"/>
    <cellStyle name="Normal 15 2 2 2 2 2 2 3 3 2" xfId="8510"/>
    <cellStyle name="Normal 15 2 2 2 2 2 2 3 4" xfId="8511"/>
    <cellStyle name="Normal 15 2 2 2 2 2 2 4" xfId="8512"/>
    <cellStyle name="Normal 15 2 2 2 2 2 2 4 2" xfId="8513"/>
    <cellStyle name="Normal 15 2 2 2 2 2 2 4 2 2" xfId="8514"/>
    <cellStyle name="Normal 15 2 2 2 2 2 2 4 3" xfId="8515"/>
    <cellStyle name="Normal 15 2 2 2 2 2 2 5" xfId="8516"/>
    <cellStyle name="Normal 15 2 2 2 2 2 2 5 2" xfId="8517"/>
    <cellStyle name="Normal 15 2 2 2 2 2 2 6" xfId="8518"/>
    <cellStyle name="Normal 15 2 2 2 2 2 3" xfId="8519"/>
    <cellStyle name="Normal 15 2 2 2 2 2 3 2" xfId="8520"/>
    <cellStyle name="Normal 15 2 2 2 2 2 3 2 2" xfId="8521"/>
    <cellStyle name="Normal 15 2 2 2 2 2 3 2 2 2" xfId="8522"/>
    <cellStyle name="Normal 15 2 2 2 2 2 3 2 3" xfId="8523"/>
    <cellStyle name="Normal 15 2 2 2 2 2 3 3" xfId="8524"/>
    <cellStyle name="Normal 15 2 2 2 2 2 3 3 2" xfId="8525"/>
    <cellStyle name="Normal 15 2 2 2 2 2 3 4" xfId="8526"/>
    <cellStyle name="Normal 15 2 2 2 2 2 4" xfId="8527"/>
    <cellStyle name="Normal 15 2 2 2 2 2 4 2" xfId="8528"/>
    <cellStyle name="Normal 15 2 2 2 2 2 4 2 2" xfId="8529"/>
    <cellStyle name="Normal 15 2 2 2 2 2 4 2 2 2" xfId="8530"/>
    <cellStyle name="Normal 15 2 2 2 2 2 4 2 3" xfId="8531"/>
    <cellStyle name="Normal 15 2 2 2 2 2 4 3" xfId="8532"/>
    <cellStyle name="Normal 15 2 2 2 2 2 4 3 2" xfId="8533"/>
    <cellStyle name="Normal 15 2 2 2 2 2 4 4" xfId="8534"/>
    <cellStyle name="Normal 15 2 2 2 2 2 5" xfId="8535"/>
    <cellStyle name="Normal 15 2 2 2 2 2 5 2" xfId="8536"/>
    <cellStyle name="Normal 15 2 2 2 2 2 5 2 2" xfId="8537"/>
    <cellStyle name="Normal 15 2 2 2 2 2 5 3" xfId="8538"/>
    <cellStyle name="Normal 15 2 2 2 2 2 6" xfId="8539"/>
    <cellStyle name="Normal 15 2 2 2 2 2 6 2" xfId="8540"/>
    <cellStyle name="Normal 15 2 2 2 2 2 7" xfId="8541"/>
    <cellStyle name="Normal 15 2 2 2 2 3" xfId="8542"/>
    <cellStyle name="Normal 15 2 2 2 2 3 2" xfId="8543"/>
    <cellStyle name="Normal 15 2 2 2 2 3 2 2" xfId="8544"/>
    <cellStyle name="Normal 15 2 2 2 2 3 2 2 2" xfId="8545"/>
    <cellStyle name="Normal 15 2 2 2 2 3 2 2 2 2" xfId="8546"/>
    <cellStyle name="Normal 15 2 2 2 2 3 2 2 3" xfId="8547"/>
    <cellStyle name="Normal 15 2 2 2 2 3 2 3" xfId="8548"/>
    <cellStyle name="Normal 15 2 2 2 2 3 2 3 2" xfId="8549"/>
    <cellStyle name="Normal 15 2 2 2 2 3 2 4" xfId="8550"/>
    <cellStyle name="Normal 15 2 2 2 2 3 3" xfId="8551"/>
    <cellStyle name="Normal 15 2 2 2 2 3 3 2" xfId="8552"/>
    <cellStyle name="Normal 15 2 2 2 2 3 3 2 2" xfId="8553"/>
    <cellStyle name="Normal 15 2 2 2 2 3 3 2 2 2" xfId="8554"/>
    <cellStyle name="Normal 15 2 2 2 2 3 3 2 3" xfId="8555"/>
    <cellStyle name="Normal 15 2 2 2 2 3 3 3" xfId="8556"/>
    <cellStyle name="Normal 15 2 2 2 2 3 3 3 2" xfId="8557"/>
    <cellStyle name="Normal 15 2 2 2 2 3 3 4" xfId="8558"/>
    <cellStyle name="Normal 15 2 2 2 2 3 4" xfId="8559"/>
    <cellStyle name="Normal 15 2 2 2 2 3 4 2" xfId="8560"/>
    <cellStyle name="Normal 15 2 2 2 2 3 4 2 2" xfId="8561"/>
    <cellStyle name="Normal 15 2 2 2 2 3 4 3" xfId="8562"/>
    <cellStyle name="Normal 15 2 2 2 2 3 5" xfId="8563"/>
    <cellStyle name="Normal 15 2 2 2 2 3 5 2" xfId="8564"/>
    <cellStyle name="Normal 15 2 2 2 2 3 6" xfId="8565"/>
    <cellStyle name="Normal 15 2 2 2 2 4" xfId="8566"/>
    <cellStyle name="Normal 15 2 2 2 2 4 2" xfId="8567"/>
    <cellStyle name="Normal 15 2 2 2 2 4 2 2" xfId="8568"/>
    <cellStyle name="Normal 15 2 2 2 2 4 2 2 2" xfId="8569"/>
    <cellStyle name="Normal 15 2 2 2 2 4 2 3" xfId="8570"/>
    <cellStyle name="Normal 15 2 2 2 2 4 3" xfId="8571"/>
    <cellStyle name="Normal 15 2 2 2 2 4 3 2" xfId="8572"/>
    <cellStyle name="Normal 15 2 2 2 2 4 4" xfId="8573"/>
    <cellStyle name="Normal 15 2 2 2 2 5" xfId="8574"/>
    <cellStyle name="Normal 15 2 2 2 2 5 2" xfId="8575"/>
    <cellStyle name="Normal 15 2 2 2 2 5 2 2" xfId="8576"/>
    <cellStyle name="Normal 15 2 2 2 2 5 2 2 2" xfId="8577"/>
    <cellStyle name="Normal 15 2 2 2 2 5 2 3" xfId="8578"/>
    <cellStyle name="Normal 15 2 2 2 2 5 3" xfId="8579"/>
    <cellStyle name="Normal 15 2 2 2 2 5 3 2" xfId="8580"/>
    <cellStyle name="Normal 15 2 2 2 2 5 4" xfId="8581"/>
    <cellStyle name="Normal 15 2 2 2 2 6" xfId="8582"/>
    <cellStyle name="Normal 15 2 2 2 2 6 2" xfId="8583"/>
    <cellStyle name="Normal 15 2 2 2 2 6 2 2" xfId="8584"/>
    <cellStyle name="Normal 15 2 2 2 2 6 2 2 2" xfId="8585"/>
    <cellStyle name="Normal 15 2 2 2 2 6 2 3" xfId="8586"/>
    <cellStyle name="Normal 15 2 2 2 2 6 3" xfId="8587"/>
    <cellStyle name="Normal 15 2 2 2 2 6 3 2" xfId="8588"/>
    <cellStyle name="Normal 15 2 2 2 2 6 4" xfId="8589"/>
    <cellStyle name="Normal 15 2 2 2 2 7" xfId="8590"/>
    <cellStyle name="Normal 15 2 2 2 2 7 2" xfId="8591"/>
    <cellStyle name="Normal 15 2 2 2 2 7 2 2" xfId="8592"/>
    <cellStyle name="Normal 15 2 2 2 2 7 3" xfId="8593"/>
    <cellStyle name="Normal 15 2 2 2 2 8" xfId="8594"/>
    <cellStyle name="Normal 15 2 2 2 2 8 2" xfId="8595"/>
    <cellStyle name="Normal 15 2 2 2 2 9" xfId="8596"/>
    <cellStyle name="Normal 15 2 2 2 3" xfId="8597"/>
    <cellStyle name="Normal 15 2 2 2 3 2" xfId="8598"/>
    <cellStyle name="Normal 15 2 2 2 3 2 2" xfId="8599"/>
    <cellStyle name="Normal 15 2 2 2 3 2 2 2" xfId="8600"/>
    <cellStyle name="Normal 15 2 2 2 3 2 2 2 2" xfId="8601"/>
    <cellStyle name="Normal 15 2 2 2 3 2 2 2 2 2" xfId="8602"/>
    <cellStyle name="Normal 15 2 2 2 3 2 2 2 3" xfId="8603"/>
    <cellStyle name="Normal 15 2 2 2 3 2 2 3" xfId="8604"/>
    <cellStyle name="Normal 15 2 2 2 3 2 2 3 2" xfId="8605"/>
    <cellStyle name="Normal 15 2 2 2 3 2 2 4" xfId="8606"/>
    <cellStyle name="Normal 15 2 2 2 3 2 3" xfId="8607"/>
    <cellStyle name="Normal 15 2 2 2 3 2 3 2" xfId="8608"/>
    <cellStyle name="Normal 15 2 2 2 3 2 3 2 2" xfId="8609"/>
    <cellStyle name="Normal 15 2 2 2 3 2 3 2 2 2" xfId="8610"/>
    <cellStyle name="Normal 15 2 2 2 3 2 3 2 3" xfId="8611"/>
    <cellStyle name="Normal 15 2 2 2 3 2 3 3" xfId="8612"/>
    <cellStyle name="Normal 15 2 2 2 3 2 3 3 2" xfId="8613"/>
    <cellStyle name="Normal 15 2 2 2 3 2 3 4" xfId="8614"/>
    <cellStyle name="Normal 15 2 2 2 3 2 4" xfId="8615"/>
    <cellStyle name="Normal 15 2 2 2 3 2 4 2" xfId="8616"/>
    <cellStyle name="Normal 15 2 2 2 3 2 4 2 2" xfId="8617"/>
    <cellStyle name="Normal 15 2 2 2 3 2 4 3" xfId="8618"/>
    <cellStyle name="Normal 15 2 2 2 3 2 5" xfId="8619"/>
    <cellStyle name="Normal 15 2 2 2 3 2 5 2" xfId="8620"/>
    <cellStyle name="Normal 15 2 2 2 3 2 6" xfId="8621"/>
    <cellStyle name="Normal 15 2 2 2 3 3" xfId="8622"/>
    <cellStyle name="Normal 15 2 2 2 3 3 2" xfId="8623"/>
    <cellStyle name="Normal 15 2 2 2 3 3 2 2" xfId="8624"/>
    <cellStyle name="Normal 15 2 2 2 3 3 2 2 2" xfId="8625"/>
    <cellStyle name="Normal 15 2 2 2 3 3 2 3" xfId="8626"/>
    <cellStyle name="Normal 15 2 2 2 3 3 3" xfId="8627"/>
    <cellStyle name="Normal 15 2 2 2 3 3 3 2" xfId="8628"/>
    <cellStyle name="Normal 15 2 2 2 3 3 4" xfId="8629"/>
    <cellStyle name="Normal 15 2 2 2 3 4" xfId="8630"/>
    <cellStyle name="Normal 15 2 2 2 3 4 2" xfId="8631"/>
    <cellStyle name="Normal 15 2 2 2 3 4 2 2" xfId="8632"/>
    <cellStyle name="Normal 15 2 2 2 3 4 2 2 2" xfId="8633"/>
    <cellStyle name="Normal 15 2 2 2 3 4 2 3" xfId="8634"/>
    <cellStyle name="Normal 15 2 2 2 3 4 3" xfId="8635"/>
    <cellStyle name="Normal 15 2 2 2 3 4 3 2" xfId="8636"/>
    <cellStyle name="Normal 15 2 2 2 3 4 4" xfId="8637"/>
    <cellStyle name="Normal 15 2 2 2 3 5" xfId="8638"/>
    <cellStyle name="Normal 15 2 2 2 3 5 2" xfId="8639"/>
    <cellStyle name="Normal 15 2 2 2 3 5 2 2" xfId="8640"/>
    <cellStyle name="Normal 15 2 2 2 3 5 3" xfId="8641"/>
    <cellStyle name="Normal 15 2 2 2 3 6" xfId="8642"/>
    <cellStyle name="Normal 15 2 2 2 3 6 2" xfId="8643"/>
    <cellStyle name="Normal 15 2 2 2 3 7" xfId="8644"/>
    <cellStyle name="Normal 15 2 2 2 4" xfId="8645"/>
    <cellStyle name="Normal 15 2 2 2 4 2" xfId="8646"/>
    <cellStyle name="Normal 15 2 2 2 4 2 2" xfId="8647"/>
    <cellStyle name="Normal 15 2 2 2 4 2 2 2" xfId="8648"/>
    <cellStyle name="Normal 15 2 2 2 4 2 2 2 2" xfId="8649"/>
    <cellStyle name="Normal 15 2 2 2 4 2 2 3" xfId="8650"/>
    <cellStyle name="Normal 15 2 2 2 4 2 3" xfId="8651"/>
    <cellStyle name="Normal 15 2 2 2 4 2 3 2" xfId="8652"/>
    <cellStyle name="Normal 15 2 2 2 4 2 4" xfId="8653"/>
    <cellStyle name="Normal 15 2 2 2 4 3" xfId="8654"/>
    <cellStyle name="Normal 15 2 2 2 4 3 2" xfId="8655"/>
    <cellStyle name="Normal 15 2 2 2 4 3 2 2" xfId="8656"/>
    <cellStyle name="Normal 15 2 2 2 4 3 2 2 2" xfId="8657"/>
    <cellStyle name="Normal 15 2 2 2 4 3 2 3" xfId="8658"/>
    <cellStyle name="Normal 15 2 2 2 4 3 3" xfId="8659"/>
    <cellStyle name="Normal 15 2 2 2 4 3 3 2" xfId="8660"/>
    <cellStyle name="Normal 15 2 2 2 4 3 4" xfId="8661"/>
    <cellStyle name="Normal 15 2 2 2 4 4" xfId="8662"/>
    <cellStyle name="Normal 15 2 2 2 4 4 2" xfId="8663"/>
    <cellStyle name="Normal 15 2 2 2 4 4 2 2" xfId="8664"/>
    <cellStyle name="Normal 15 2 2 2 4 4 3" xfId="8665"/>
    <cellStyle name="Normal 15 2 2 2 4 5" xfId="8666"/>
    <cellStyle name="Normal 15 2 2 2 4 5 2" xfId="8667"/>
    <cellStyle name="Normal 15 2 2 2 4 6" xfId="8668"/>
    <cellStyle name="Normal 15 2 2 2 5" xfId="8669"/>
    <cellStyle name="Normal 15 2 2 2 5 2" xfId="8670"/>
    <cellStyle name="Normal 15 2 2 2 5 2 2" xfId="8671"/>
    <cellStyle name="Normal 15 2 2 2 5 2 2 2" xfId="8672"/>
    <cellStyle name="Normal 15 2 2 2 5 2 3" xfId="8673"/>
    <cellStyle name="Normal 15 2 2 2 5 3" xfId="8674"/>
    <cellStyle name="Normal 15 2 2 2 5 3 2" xfId="8675"/>
    <cellStyle name="Normal 15 2 2 2 5 4" xfId="8676"/>
    <cellStyle name="Normal 15 2 2 2 6" xfId="8677"/>
    <cellStyle name="Normal 15 2 2 2 6 2" xfId="8678"/>
    <cellStyle name="Normal 15 2 2 2 6 2 2" xfId="8679"/>
    <cellStyle name="Normal 15 2 2 2 6 2 2 2" xfId="8680"/>
    <cellStyle name="Normal 15 2 2 2 6 2 3" xfId="8681"/>
    <cellStyle name="Normal 15 2 2 2 6 3" xfId="8682"/>
    <cellStyle name="Normal 15 2 2 2 6 3 2" xfId="8683"/>
    <cellStyle name="Normal 15 2 2 2 6 4" xfId="8684"/>
    <cellStyle name="Normal 15 2 2 2 7" xfId="8685"/>
    <cellStyle name="Normal 15 2 2 2 7 2" xfId="8686"/>
    <cellStyle name="Normal 15 2 2 2 7 2 2" xfId="8687"/>
    <cellStyle name="Normal 15 2 2 2 7 2 2 2" xfId="8688"/>
    <cellStyle name="Normal 15 2 2 2 7 2 3" xfId="8689"/>
    <cellStyle name="Normal 15 2 2 2 7 3" xfId="8690"/>
    <cellStyle name="Normal 15 2 2 2 7 3 2" xfId="8691"/>
    <cellStyle name="Normal 15 2 2 2 7 4" xfId="8692"/>
    <cellStyle name="Normal 15 2 2 2 8" xfId="8693"/>
    <cellStyle name="Normal 15 2 2 2 8 2" xfId="8694"/>
    <cellStyle name="Normal 15 2 2 2 8 2 2" xfId="8695"/>
    <cellStyle name="Normal 15 2 2 2 8 3" xfId="8696"/>
    <cellStyle name="Normal 15 2 2 2 9" xfId="8697"/>
    <cellStyle name="Normal 15 2 2 2 9 2" xfId="8698"/>
    <cellStyle name="Normal 15 2 2 3" xfId="8699"/>
    <cellStyle name="Normal 15 2 2 3 2" xfId="8700"/>
    <cellStyle name="Normal 15 2 2 3 2 2" xfId="8701"/>
    <cellStyle name="Normal 15 2 2 3 2 2 2" xfId="8702"/>
    <cellStyle name="Normal 15 2 2 3 2 2 2 2" xfId="8703"/>
    <cellStyle name="Normal 15 2 2 3 2 2 2 2 2" xfId="8704"/>
    <cellStyle name="Normal 15 2 2 3 2 2 2 2 2 2" xfId="8705"/>
    <cellStyle name="Normal 15 2 2 3 2 2 2 2 3" xfId="8706"/>
    <cellStyle name="Normal 15 2 2 3 2 2 2 3" xfId="8707"/>
    <cellStyle name="Normal 15 2 2 3 2 2 2 3 2" xfId="8708"/>
    <cellStyle name="Normal 15 2 2 3 2 2 2 4" xfId="8709"/>
    <cellStyle name="Normal 15 2 2 3 2 2 3" xfId="8710"/>
    <cellStyle name="Normal 15 2 2 3 2 2 3 2" xfId="8711"/>
    <cellStyle name="Normal 15 2 2 3 2 2 3 2 2" xfId="8712"/>
    <cellStyle name="Normal 15 2 2 3 2 2 3 2 2 2" xfId="8713"/>
    <cellStyle name="Normal 15 2 2 3 2 2 3 2 3" xfId="8714"/>
    <cellStyle name="Normal 15 2 2 3 2 2 3 3" xfId="8715"/>
    <cellStyle name="Normal 15 2 2 3 2 2 3 3 2" xfId="8716"/>
    <cellStyle name="Normal 15 2 2 3 2 2 3 4" xfId="8717"/>
    <cellStyle name="Normal 15 2 2 3 2 2 4" xfId="8718"/>
    <cellStyle name="Normal 15 2 2 3 2 2 4 2" xfId="8719"/>
    <cellStyle name="Normal 15 2 2 3 2 2 4 2 2" xfId="8720"/>
    <cellStyle name="Normal 15 2 2 3 2 2 4 3" xfId="8721"/>
    <cellStyle name="Normal 15 2 2 3 2 2 5" xfId="8722"/>
    <cellStyle name="Normal 15 2 2 3 2 2 5 2" xfId="8723"/>
    <cellStyle name="Normal 15 2 2 3 2 2 6" xfId="8724"/>
    <cellStyle name="Normal 15 2 2 3 2 3" xfId="8725"/>
    <cellStyle name="Normal 15 2 2 3 2 3 2" xfId="8726"/>
    <cellStyle name="Normal 15 2 2 3 2 3 2 2" xfId="8727"/>
    <cellStyle name="Normal 15 2 2 3 2 3 2 2 2" xfId="8728"/>
    <cellStyle name="Normal 15 2 2 3 2 3 2 3" xfId="8729"/>
    <cellStyle name="Normal 15 2 2 3 2 3 3" xfId="8730"/>
    <cellStyle name="Normal 15 2 2 3 2 3 3 2" xfId="8731"/>
    <cellStyle name="Normal 15 2 2 3 2 3 4" xfId="8732"/>
    <cellStyle name="Normal 15 2 2 3 2 4" xfId="8733"/>
    <cellStyle name="Normal 15 2 2 3 2 4 2" xfId="8734"/>
    <cellStyle name="Normal 15 2 2 3 2 4 2 2" xfId="8735"/>
    <cellStyle name="Normal 15 2 2 3 2 4 2 2 2" xfId="8736"/>
    <cellStyle name="Normal 15 2 2 3 2 4 2 3" xfId="8737"/>
    <cellStyle name="Normal 15 2 2 3 2 4 3" xfId="8738"/>
    <cellStyle name="Normal 15 2 2 3 2 4 3 2" xfId="8739"/>
    <cellStyle name="Normal 15 2 2 3 2 4 4" xfId="8740"/>
    <cellStyle name="Normal 15 2 2 3 2 5" xfId="8741"/>
    <cellStyle name="Normal 15 2 2 3 2 5 2" xfId="8742"/>
    <cellStyle name="Normal 15 2 2 3 2 5 2 2" xfId="8743"/>
    <cellStyle name="Normal 15 2 2 3 2 5 3" xfId="8744"/>
    <cellStyle name="Normal 15 2 2 3 2 6" xfId="8745"/>
    <cellStyle name="Normal 15 2 2 3 2 6 2" xfId="8746"/>
    <cellStyle name="Normal 15 2 2 3 2 7" xfId="8747"/>
    <cellStyle name="Normal 15 2 2 3 3" xfId="8748"/>
    <cellStyle name="Normal 15 2 2 3 3 2" xfId="8749"/>
    <cellStyle name="Normal 15 2 2 3 3 2 2" xfId="8750"/>
    <cellStyle name="Normal 15 2 2 3 3 2 2 2" xfId="8751"/>
    <cellStyle name="Normal 15 2 2 3 3 2 2 2 2" xfId="8752"/>
    <cellStyle name="Normal 15 2 2 3 3 2 2 3" xfId="8753"/>
    <cellStyle name="Normal 15 2 2 3 3 2 3" xfId="8754"/>
    <cellStyle name="Normal 15 2 2 3 3 2 3 2" xfId="8755"/>
    <cellStyle name="Normal 15 2 2 3 3 2 4" xfId="8756"/>
    <cellStyle name="Normal 15 2 2 3 3 3" xfId="8757"/>
    <cellStyle name="Normal 15 2 2 3 3 3 2" xfId="8758"/>
    <cellStyle name="Normal 15 2 2 3 3 3 2 2" xfId="8759"/>
    <cellStyle name="Normal 15 2 2 3 3 3 2 2 2" xfId="8760"/>
    <cellStyle name="Normal 15 2 2 3 3 3 2 3" xfId="8761"/>
    <cellStyle name="Normal 15 2 2 3 3 3 3" xfId="8762"/>
    <cellStyle name="Normal 15 2 2 3 3 3 3 2" xfId="8763"/>
    <cellStyle name="Normal 15 2 2 3 3 3 4" xfId="8764"/>
    <cellStyle name="Normal 15 2 2 3 3 4" xfId="8765"/>
    <cellStyle name="Normal 15 2 2 3 3 4 2" xfId="8766"/>
    <cellStyle name="Normal 15 2 2 3 3 4 2 2" xfId="8767"/>
    <cellStyle name="Normal 15 2 2 3 3 4 3" xfId="8768"/>
    <cellStyle name="Normal 15 2 2 3 3 5" xfId="8769"/>
    <cellStyle name="Normal 15 2 2 3 3 5 2" xfId="8770"/>
    <cellStyle name="Normal 15 2 2 3 3 6" xfId="8771"/>
    <cellStyle name="Normal 15 2 2 3 4" xfId="8772"/>
    <cellStyle name="Normal 15 2 2 3 4 2" xfId="8773"/>
    <cellStyle name="Normal 15 2 2 3 4 2 2" xfId="8774"/>
    <cellStyle name="Normal 15 2 2 3 4 2 2 2" xfId="8775"/>
    <cellStyle name="Normal 15 2 2 3 4 2 3" xfId="8776"/>
    <cellStyle name="Normal 15 2 2 3 4 3" xfId="8777"/>
    <cellStyle name="Normal 15 2 2 3 4 3 2" xfId="8778"/>
    <cellStyle name="Normal 15 2 2 3 4 4" xfId="8779"/>
    <cellStyle name="Normal 15 2 2 3 5" xfId="8780"/>
    <cellStyle name="Normal 15 2 2 3 5 2" xfId="8781"/>
    <cellStyle name="Normal 15 2 2 3 5 2 2" xfId="8782"/>
    <cellStyle name="Normal 15 2 2 3 5 2 2 2" xfId="8783"/>
    <cellStyle name="Normal 15 2 2 3 5 2 3" xfId="8784"/>
    <cellStyle name="Normal 15 2 2 3 5 3" xfId="8785"/>
    <cellStyle name="Normal 15 2 2 3 5 3 2" xfId="8786"/>
    <cellStyle name="Normal 15 2 2 3 5 4" xfId="8787"/>
    <cellStyle name="Normal 15 2 2 3 6" xfId="8788"/>
    <cellStyle name="Normal 15 2 2 3 6 2" xfId="8789"/>
    <cellStyle name="Normal 15 2 2 3 6 2 2" xfId="8790"/>
    <cellStyle name="Normal 15 2 2 3 6 2 2 2" xfId="8791"/>
    <cellStyle name="Normal 15 2 2 3 6 2 3" xfId="8792"/>
    <cellStyle name="Normal 15 2 2 3 6 3" xfId="8793"/>
    <cellStyle name="Normal 15 2 2 3 6 3 2" xfId="8794"/>
    <cellStyle name="Normal 15 2 2 3 6 4" xfId="8795"/>
    <cellStyle name="Normal 15 2 2 3 7" xfId="8796"/>
    <cellStyle name="Normal 15 2 2 3 7 2" xfId="8797"/>
    <cellStyle name="Normal 15 2 2 3 7 2 2" xfId="8798"/>
    <cellStyle name="Normal 15 2 2 3 7 3" xfId="8799"/>
    <cellStyle name="Normal 15 2 2 3 8" xfId="8800"/>
    <cellStyle name="Normal 15 2 2 3 8 2" xfId="8801"/>
    <cellStyle name="Normal 15 2 2 3 9" xfId="8802"/>
    <cellStyle name="Normal 15 2 2 4" xfId="8803"/>
    <cellStyle name="Normal 15 2 2 4 2" xfId="8804"/>
    <cellStyle name="Normal 15 2 2 4 2 2" xfId="8805"/>
    <cellStyle name="Normal 15 2 2 4 2 2 2" xfId="8806"/>
    <cellStyle name="Normal 15 2 2 4 2 2 2 2" xfId="8807"/>
    <cellStyle name="Normal 15 2 2 4 2 2 2 2 2" xfId="8808"/>
    <cellStyle name="Normal 15 2 2 4 2 2 2 3" xfId="8809"/>
    <cellStyle name="Normal 15 2 2 4 2 2 3" xfId="8810"/>
    <cellStyle name="Normal 15 2 2 4 2 2 3 2" xfId="8811"/>
    <cellStyle name="Normal 15 2 2 4 2 2 4" xfId="8812"/>
    <cellStyle name="Normal 15 2 2 4 2 3" xfId="8813"/>
    <cellStyle name="Normal 15 2 2 4 2 3 2" xfId="8814"/>
    <cellStyle name="Normal 15 2 2 4 2 3 2 2" xfId="8815"/>
    <cellStyle name="Normal 15 2 2 4 2 3 2 2 2" xfId="8816"/>
    <cellStyle name="Normal 15 2 2 4 2 3 2 3" xfId="8817"/>
    <cellStyle name="Normal 15 2 2 4 2 3 3" xfId="8818"/>
    <cellStyle name="Normal 15 2 2 4 2 3 3 2" xfId="8819"/>
    <cellStyle name="Normal 15 2 2 4 2 3 4" xfId="8820"/>
    <cellStyle name="Normal 15 2 2 4 2 4" xfId="8821"/>
    <cellStyle name="Normal 15 2 2 4 2 4 2" xfId="8822"/>
    <cellStyle name="Normal 15 2 2 4 2 4 2 2" xfId="8823"/>
    <cellStyle name="Normal 15 2 2 4 2 4 3" xfId="8824"/>
    <cellStyle name="Normal 15 2 2 4 2 5" xfId="8825"/>
    <cellStyle name="Normal 15 2 2 4 2 5 2" xfId="8826"/>
    <cellStyle name="Normal 15 2 2 4 2 6" xfId="8827"/>
    <cellStyle name="Normal 15 2 2 4 3" xfId="8828"/>
    <cellStyle name="Normal 15 2 2 4 3 2" xfId="8829"/>
    <cellStyle name="Normal 15 2 2 4 3 2 2" xfId="8830"/>
    <cellStyle name="Normal 15 2 2 4 3 2 2 2" xfId="8831"/>
    <cellStyle name="Normal 15 2 2 4 3 2 3" xfId="8832"/>
    <cellStyle name="Normal 15 2 2 4 3 3" xfId="8833"/>
    <cellStyle name="Normal 15 2 2 4 3 3 2" xfId="8834"/>
    <cellStyle name="Normal 15 2 2 4 3 4" xfId="8835"/>
    <cellStyle name="Normal 15 2 2 4 4" xfId="8836"/>
    <cellStyle name="Normal 15 2 2 4 4 2" xfId="8837"/>
    <cellStyle name="Normal 15 2 2 4 4 2 2" xfId="8838"/>
    <cellStyle name="Normal 15 2 2 4 4 2 2 2" xfId="8839"/>
    <cellStyle name="Normal 15 2 2 4 4 2 3" xfId="8840"/>
    <cellStyle name="Normal 15 2 2 4 4 3" xfId="8841"/>
    <cellStyle name="Normal 15 2 2 4 4 3 2" xfId="8842"/>
    <cellStyle name="Normal 15 2 2 4 4 4" xfId="8843"/>
    <cellStyle name="Normal 15 2 2 4 5" xfId="8844"/>
    <cellStyle name="Normal 15 2 2 4 5 2" xfId="8845"/>
    <cellStyle name="Normal 15 2 2 4 5 2 2" xfId="8846"/>
    <cellStyle name="Normal 15 2 2 4 5 3" xfId="8847"/>
    <cellStyle name="Normal 15 2 2 4 6" xfId="8848"/>
    <cellStyle name="Normal 15 2 2 4 6 2" xfId="8849"/>
    <cellStyle name="Normal 15 2 2 4 7" xfId="8850"/>
    <cellStyle name="Normal 15 2 2 5" xfId="8851"/>
    <cellStyle name="Normal 15 2 2 5 2" xfId="8852"/>
    <cellStyle name="Normal 15 2 2 5 2 2" xfId="8853"/>
    <cellStyle name="Normal 15 2 2 5 2 2 2" xfId="8854"/>
    <cellStyle name="Normal 15 2 2 5 2 2 2 2" xfId="8855"/>
    <cellStyle name="Normal 15 2 2 5 2 2 3" xfId="8856"/>
    <cellStyle name="Normal 15 2 2 5 2 3" xfId="8857"/>
    <cellStyle name="Normal 15 2 2 5 2 3 2" xfId="8858"/>
    <cellStyle name="Normal 15 2 2 5 2 4" xfId="8859"/>
    <cellStyle name="Normal 15 2 2 5 3" xfId="8860"/>
    <cellStyle name="Normal 15 2 2 5 3 2" xfId="8861"/>
    <cellStyle name="Normal 15 2 2 5 3 2 2" xfId="8862"/>
    <cellStyle name="Normal 15 2 2 5 3 2 2 2" xfId="8863"/>
    <cellStyle name="Normal 15 2 2 5 3 2 3" xfId="8864"/>
    <cellStyle name="Normal 15 2 2 5 3 3" xfId="8865"/>
    <cellStyle name="Normal 15 2 2 5 3 3 2" xfId="8866"/>
    <cellStyle name="Normal 15 2 2 5 3 4" xfId="8867"/>
    <cellStyle name="Normal 15 2 2 5 4" xfId="8868"/>
    <cellStyle name="Normal 15 2 2 5 4 2" xfId="8869"/>
    <cellStyle name="Normal 15 2 2 5 4 2 2" xfId="8870"/>
    <cellStyle name="Normal 15 2 2 5 4 3" xfId="8871"/>
    <cellStyle name="Normal 15 2 2 5 5" xfId="8872"/>
    <cellStyle name="Normal 15 2 2 5 5 2" xfId="8873"/>
    <cellStyle name="Normal 15 2 2 5 6" xfId="8874"/>
    <cellStyle name="Normal 15 2 2 6" xfId="8875"/>
    <cellStyle name="Normal 15 2 2 6 2" xfId="8876"/>
    <cellStyle name="Normal 15 2 2 6 2 2" xfId="8877"/>
    <cellStyle name="Normal 15 2 2 6 2 2 2" xfId="8878"/>
    <cellStyle name="Normal 15 2 2 6 2 3" xfId="8879"/>
    <cellStyle name="Normal 15 2 2 6 3" xfId="8880"/>
    <cellStyle name="Normal 15 2 2 6 3 2" xfId="8881"/>
    <cellStyle name="Normal 15 2 2 6 4" xfId="8882"/>
    <cellStyle name="Normal 15 2 2 7" xfId="8883"/>
    <cellStyle name="Normal 15 2 2 7 2" xfId="8884"/>
    <cellStyle name="Normal 15 2 2 7 2 2" xfId="8885"/>
    <cellStyle name="Normal 15 2 2 7 2 2 2" xfId="8886"/>
    <cellStyle name="Normal 15 2 2 7 2 3" xfId="8887"/>
    <cellStyle name="Normal 15 2 2 7 3" xfId="8888"/>
    <cellStyle name="Normal 15 2 2 7 3 2" xfId="8889"/>
    <cellStyle name="Normal 15 2 2 7 4" xfId="8890"/>
    <cellStyle name="Normal 15 2 2 8" xfId="8891"/>
    <cellStyle name="Normal 15 2 2 8 2" xfId="8892"/>
    <cellStyle name="Normal 15 2 2 8 2 2" xfId="8893"/>
    <cellStyle name="Normal 15 2 2 8 2 2 2" xfId="8894"/>
    <cellStyle name="Normal 15 2 2 8 2 3" xfId="8895"/>
    <cellStyle name="Normal 15 2 2 8 3" xfId="8896"/>
    <cellStyle name="Normal 15 2 2 8 3 2" xfId="8897"/>
    <cellStyle name="Normal 15 2 2 8 4" xfId="8898"/>
    <cellStyle name="Normal 15 2 2 9" xfId="8899"/>
    <cellStyle name="Normal 15 2 2 9 2" xfId="8900"/>
    <cellStyle name="Normal 15 2 2 9 2 2" xfId="8901"/>
    <cellStyle name="Normal 15 2 2 9 3" xfId="8902"/>
    <cellStyle name="Normal 15 2 3" xfId="8903"/>
    <cellStyle name="Normal 15 2 3 10" xfId="8904"/>
    <cellStyle name="Normal 15 2 3 2" xfId="8905"/>
    <cellStyle name="Normal 15 2 3 2 2" xfId="8906"/>
    <cellStyle name="Normal 15 2 3 2 2 2" xfId="8907"/>
    <cellStyle name="Normal 15 2 3 2 2 2 2" xfId="8908"/>
    <cellStyle name="Normal 15 2 3 2 2 2 2 2" xfId="8909"/>
    <cellStyle name="Normal 15 2 3 2 2 2 2 2 2" xfId="8910"/>
    <cellStyle name="Normal 15 2 3 2 2 2 2 2 2 2" xfId="8911"/>
    <cellStyle name="Normal 15 2 3 2 2 2 2 2 3" xfId="8912"/>
    <cellStyle name="Normal 15 2 3 2 2 2 2 3" xfId="8913"/>
    <cellStyle name="Normal 15 2 3 2 2 2 2 3 2" xfId="8914"/>
    <cellStyle name="Normal 15 2 3 2 2 2 2 4" xfId="8915"/>
    <cellStyle name="Normal 15 2 3 2 2 2 3" xfId="8916"/>
    <cellStyle name="Normal 15 2 3 2 2 2 3 2" xfId="8917"/>
    <cellStyle name="Normal 15 2 3 2 2 2 3 2 2" xfId="8918"/>
    <cellStyle name="Normal 15 2 3 2 2 2 3 2 2 2" xfId="8919"/>
    <cellStyle name="Normal 15 2 3 2 2 2 3 2 3" xfId="8920"/>
    <cellStyle name="Normal 15 2 3 2 2 2 3 3" xfId="8921"/>
    <cellStyle name="Normal 15 2 3 2 2 2 3 3 2" xfId="8922"/>
    <cellStyle name="Normal 15 2 3 2 2 2 3 4" xfId="8923"/>
    <cellStyle name="Normal 15 2 3 2 2 2 4" xfId="8924"/>
    <cellStyle name="Normal 15 2 3 2 2 2 4 2" xfId="8925"/>
    <cellStyle name="Normal 15 2 3 2 2 2 4 2 2" xfId="8926"/>
    <cellStyle name="Normal 15 2 3 2 2 2 4 3" xfId="8927"/>
    <cellStyle name="Normal 15 2 3 2 2 2 5" xfId="8928"/>
    <cellStyle name="Normal 15 2 3 2 2 2 5 2" xfId="8929"/>
    <cellStyle name="Normal 15 2 3 2 2 2 6" xfId="8930"/>
    <cellStyle name="Normal 15 2 3 2 2 3" xfId="8931"/>
    <cellStyle name="Normal 15 2 3 2 2 3 2" xfId="8932"/>
    <cellStyle name="Normal 15 2 3 2 2 3 2 2" xfId="8933"/>
    <cellStyle name="Normal 15 2 3 2 2 3 2 2 2" xfId="8934"/>
    <cellStyle name="Normal 15 2 3 2 2 3 2 3" xfId="8935"/>
    <cellStyle name="Normal 15 2 3 2 2 3 3" xfId="8936"/>
    <cellStyle name="Normal 15 2 3 2 2 3 3 2" xfId="8937"/>
    <cellStyle name="Normal 15 2 3 2 2 3 4" xfId="8938"/>
    <cellStyle name="Normal 15 2 3 2 2 4" xfId="8939"/>
    <cellStyle name="Normal 15 2 3 2 2 4 2" xfId="8940"/>
    <cellStyle name="Normal 15 2 3 2 2 4 2 2" xfId="8941"/>
    <cellStyle name="Normal 15 2 3 2 2 4 2 2 2" xfId="8942"/>
    <cellStyle name="Normal 15 2 3 2 2 4 2 3" xfId="8943"/>
    <cellStyle name="Normal 15 2 3 2 2 4 3" xfId="8944"/>
    <cellStyle name="Normal 15 2 3 2 2 4 3 2" xfId="8945"/>
    <cellStyle name="Normal 15 2 3 2 2 4 4" xfId="8946"/>
    <cellStyle name="Normal 15 2 3 2 2 5" xfId="8947"/>
    <cellStyle name="Normal 15 2 3 2 2 5 2" xfId="8948"/>
    <cellStyle name="Normal 15 2 3 2 2 5 2 2" xfId="8949"/>
    <cellStyle name="Normal 15 2 3 2 2 5 3" xfId="8950"/>
    <cellStyle name="Normal 15 2 3 2 2 6" xfId="8951"/>
    <cellStyle name="Normal 15 2 3 2 2 6 2" xfId="8952"/>
    <cellStyle name="Normal 15 2 3 2 2 7" xfId="8953"/>
    <cellStyle name="Normal 15 2 3 2 3" xfId="8954"/>
    <cellStyle name="Normal 15 2 3 2 3 2" xfId="8955"/>
    <cellStyle name="Normal 15 2 3 2 3 2 2" xfId="8956"/>
    <cellStyle name="Normal 15 2 3 2 3 2 2 2" xfId="8957"/>
    <cellStyle name="Normal 15 2 3 2 3 2 2 2 2" xfId="8958"/>
    <cellStyle name="Normal 15 2 3 2 3 2 2 3" xfId="8959"/>
    <cellStyle name="Normal 15 2 3 2 3 2 3" xfId="8960"/>
    <cellStyle name="Normal 15 2 3 2 3 2 3 2" xfId="8961"/>
    <cellStyle name="Normal 15 2 3 2 3 2 4" xfId="8962"/>
    <cellStyle name="Normal 15 2 3 2 3 3" xfId="8963"/>
    <cellStyle name="Normal 15 2 3 2 3 3 2" xfId="8964"/>
    <cellStyle name="Normal 15 2 3 2 3 3 2 2" xfId="8965"/>
    <cellStyle name="Normal 15 2 3 2 3 3 2 2 2" xfId="8966"/>
    <cellStyle name="Normal 15 2 3 2 3 3 2 3" xfId="8967"/>
    <cellStyle name="Normal 15 2 3 2 3 3 3" xfId="8968"/>
    <cellStyle name="Normal 15 2 3 2 3 3 3 2" xfId="8969"/>
    <cellStyle name="Normal 15 2 3 2 3 3 4" xfId="8970"/>
    <cellStyle name="Normal 15 2 3 2 3 4" xfId="8971"/>
    <cellStyle name="Normal 15 2 3 2 3 4 2" xfId="8972"/>
    <cellStyle name="Normal 15 2 3 2 3 4 2 2" xfId="8973"/>
    <cellStyle name="Normal 15 2 3 2 3 4 3" xfId="8974"/>
    <cellStyle name="Normal 15 2 3 2 3 5" xfId="8975"/>
    <cellStyle name="Normal 15 2 3 2 3 5 2" xfId="8976"/>
    <cellStyle name="Normal 15 2 3 2 3 6" xfId="8977"/>
    <cellStyle name="Normal 15 2 3 2 4" xfId="8978"/>
    <cellStyle name="Normal 15 2 3 2 4 2" xfId="8979"/>
    <cellStyle name="Normal 15 2 3 2 4 2 2" xfId="8980"/>
    <cellStyle name="Normal 15 2 3 2 4 2 2 2" xfId="8981"/>
    <cellStyle name="Normal 15 2 3 2 4 2 3" xfId="8982"/>
    <cellStyle name="Normal 15 2 3 2 4 3" xfId="8983"/>
    <cellStyle name="Normal 15 2 3 2 4 3 2" xfId="8984"/>
    <cellStyle name="Normal 15 2 3 2 4 4" xfId="8985"/>
    <cellStyle name="Normal 15 2 3 2 5" xfId="8986"/>
    <cellStyle name="Normal 15 2 3 2 5 2" xfId="8987"/>
    <cellStyle name="Normal 15 2 3 2 5 2 2" xfId="8988"/>
    <cellStyle name="Normal 15 2 3 2 5 2 2 2" xfId="8989"/>
    <cellStyle name="Normal 15 2 3 2 5 2 3" xfId="8990"/>
    <cellStyle name="Normal 15 2 3 2 5 3" xfId="8991"/>
    <cellStyle name="Normal 15 2 3 2 5 3 2" xfId="8992"/>
    <cellStyle name="Normal 15 2 3 2 5 4" xfId="8993"/>
    <cellStyle name="Normal 15 2 3 2 6" xfId="8994"/>
    <cellStyle name="Normal 15 2 3 2 6 2" xfId="8995"/>
    <cellStyle name="Normal 15 2 3 2 6 2 2" xfId="8996"/>
    <cellStyle name="Normal 15 2 3 2 6 2 2 2" xfId="8997"/>
    <cellStyle name="Normal 15 2 3 2 6 2 3" xfId="8998"/>
    <cellStyle name="Normal 15 2 3 2 6 3" xfId="8999"/>
    <cellStyle name="Normal 15 2 3 2 6 3 2" xfId="9000"/>
    <cellStyle name="Normal 15 2 3 2 6 4" xfId="9001"/>
    <cellStyle name="Normal 15 2 3 2 7" xfId="9002"/>
    <cellStyle name="Normal 15 2 3 2 7 2" xfId="9003"/>
    <cellStyle name="Normal 15 2 3 2 7 2 2" xfId="9004"/>
    <cellStyle name="Normal 15 2 3 2 7 3" xfId="9005"/>
    <cellStyle name="Normal 15 2 3 2 8" xfId="9006"/>
    <cellStyle name="Normal 15 2 3 2 8 2" xfId="9007"/>
    <cellStyle name="Normal 15 2 3 2 9" xfId="9008"/>
    <cellStyle name="Normal 15 2 3 3" xfId="9009"/>
    <cellStyle name="Normal 15 2 3 3 2" xfId="9010"/>
    <cellStyle name="Normal 15 2 3 3 2 2" xfId="9011"/>
    <cellStyle name="Normal 15 2 3 3 2 2 2" xfId="9012"/>
    <cellStyle name="Normal 15 2 3 3 2 2 2 2" xfId="9013"/>
    <cellStyle name="Normal 15 2 3 3 2 2 2 2 2" xfId="9014"/>
    <cellStyle name="Normal 15 2 3 3 2 2 2 3" xfId="9015"/>
    <cellStyle name="Normal 15 2 3 3 2 2 3" xfId="9016"/>
    <cellStyle name="Normal 15 2 3 3 2 2 3 2" xfId="9017"/>
    <cellStyle name="Normal 15 2 3 3 2 2 4" xfId="9018"/>
    <cellStyle name="Normal 15 2 3 3 2 3" xfId="9019"/>
    <cellStyle name="Normal 15 2 3 3 2 3 2" xfId="9020"/>
    <cellStyle name="Normal 15 2 3 3 2 3 2 2" xfId="9021"/>
    <cellStyle name="Normal 15 2 3 3 2 3 2 2 2" xfId="9022"/>
    <cellStyle name="Normal 15 2 3 3 2 3 2 3" xfId="9023"/>
    <cellStyle name="Normal 15 2 3 3 2 3 3" xfId="9024"/>
    <cellStyle name="Normal 15 2 3 3 2 3 3 2" xfId="9025"/>
    <cellStyle name="Normal 15 2 3 3 2 3 4" xfId="9026"/>
    <cellStyle name="Normal 15 2 3 3 2 4" xfId="9027"/>
    <cellStyle name="Normal 15 2 3 3 2 4 2" xfId="9028"/>
    <cellStyle name="Normal 15 2 3 3 2 4 2 2" xfId="9029"/>
    <cellStyle name="Normal 15 2 3 3 2 4 3" xfId="9030"/>
    <cellStyle name="Normal 15 2 3 3 2 5" xfId="9031"/>
    <cellStyle name="Normal 15 2 3 3 2 5 2" xfId="9032"/>
    <cellStyle name="Normal 15 2 3 3 2 6" xfId="9033"/>
    <cellStyle name="Normal 15 2 3 3 3" xfId="9034"/>
    <cellStyle name="Normal 15 2 3 3 3 2" xfId="9035"/>
    <cellStyle name="Normal 15 2 3 3 3 2 2" xfId="9036"/>
    <cellStyle name="Normal 15 2 3 3 3 2 2 2" xfId="9037"/>
    <cellStyle name="Normal 15 2 3 3 3 2 3" xfId="9038"/>
    <cellStyle name="Normal 15 2 3 3 3 3" xfId="9039"/>
    <cellStyle name="Normal 15 2 3 3 3 3 2" xfId="9040"/>
    <cellStyle name="Normal 15 2 3 3 3 4" xfId="9041"/>
    <cellStyle name="Normal 15 2 3 3 4" xfId="9042"/>
    <cellStyle name="Normal 15 2 3 3 4 2" xfId="9043"/>
    <cellStyle name="Normal 15 2 3 3 4 2 2" xfId="9044"/>
    <cellStyle name="Normal 15 2 3 3 4 2 2 2" xfId="9045"/>
    <cellStyle name="Normal 15 2 3 3 4 2 3" xfId="9046"/>
    <cellStyle name="Normal 15 2 3 3 4 3" xfId="9047"/>
    <cellStyle name="Normal 15 2 3 3 4 3 2" xfId="9048"/>
    <cellStyle name="Normal 15 2 3 3 4 4" xfId="9049"/>
    <cellStyle name="Normal 15 2 3 3 5" xfId="9050"/>
    <cellStyle name="Normal 15 2 3 3 5 2" xfId="9051"/>
    <cellStyle name="Normal 15 2 3 3 5 2 2" xfId="9052"/>
    <cellStyle name="Normal 15 2 3 3 5 3" xfId="9053"/>
    <cellStyle name="Normal 15 2 3 3 6" xfId="9054"/>
    <cellStyle name="Normal 15 2 3 3 6 2" xfId="9055"/>
    <cellStyle name="Normal 15 2 3 3 7" xfId="9056"/>
    <cellStyle name="Normal 15 2 3 4" xfId="9057"/>
    <cellStyle name="Normal 15 2 3 4 2" xfId="9058"/>
    <cellStyle name="Normal 15 2 3 4 2 2" xfId="9059"/>
    <cellStyle name="Normal 15 2 3 4 2 2 2" xfId="9060"/>
    <cellStyle name="Normal 15 2 3 4 2 2 2 2" xfId="9061"/>
    <cellStyle name="Normal 15 2 3 4 2 2 3" xfId="9062"/>
    <cellStyle name="Normal 15 2 3 4 2 3" xfId="9063"/>
    <cellStyle name="Normal 15 2 3 4 2 3 2" xfId="9064"/>
    <cellStyle name="Normal 15 2 3 4 2 4" xfId="9065"/>
    <cellStyle name="Normal 15 2 3 4 3" xfId="9066"/>
    <cellStyle name="Normal 15 2 3 4 3 2" xfId="9067"/>
    <cellStyle name="Normal 15 2 3 4 3 2 2" xfId="9068"/>
    <cellStyle name="Normal 15 2 3 4 3 2 2 2" xfId="9069"/>
    <cellStyle name="Normal 15 2 3 4 3 2 3" xfId="9070"/>
    <cellStyle name="Normal 15 2 3 4 3 3" xfId="9071"/>
    <cellStyle name="Normal 15 2 3 4 3 3 2" xfId="9072"/>
    <cellStyle name="Normal 15 2 3 4 3 4" xfId="9073"/>
    <cellStyle name="Normal 15 2 3 4 4" xfId="9074"/>
    <cellStyle name="Normal 15 2 3 4 4 2" xfId="9075"/>
    <cellStyle name="Normal 15 2 3 4 4 2 2" xfId="9076"/>
    <cellStyle name="Normal 15 2 3 4 4 3" xfId="9077"/>
    <cellStyle name="Normal 15 2 3 4 5" xfId="9078"/>
    <cellStyle name="Normal 15 2 3 4 5 2" xfId="9079"/>
    <cellStyle name="Normal 15 2 3 4 6" xfId="9080"/>
    <cellStyle name="Normal 15 2 3 5" xfId="9081"/>
    <cellStyle name="Normal 15 2 3 5 2" xfId="9082"/>
    <cellStyle name="Normal 15 2 3 5 2 2" xfId="9083"/>
    <cellStyle name="Normal 15 2 3 5 2 2 2" xfId="9084"/>
    <cellStyle name="Normal 15 2 3 5 2 3" xfId="9085"/>
    <cellStyle name="Normal 15 2 3 5 3" xfId="9086"/>
    <cellStyle name="Normal 15 2 3 5 3 2" xfId="9087"/>
    <cellStyle name="Normal 15 2 3 5 4" xfId="9088"/>
    <cellStyle name="Normal 15 2 3 6" xfId="9089"/>
    <cellStyle name="Normal 15 2 3 6 2" xfId="9090"/>
    <cellStyle name="Normal 15 2 3 6 2 2" xfId="9091"/>
    <cellStyle name="Normal 15 2 3 6 2 2 2" xfId="9092"/>
    <cellStyle name="Normal 15 2 3 6 2 3" xfId="9093"/>
    <cellStyle name="Normal 15 2 3 6 3" xfId="9094"/>
    <cellStyle name="Normal 15 2 3 6 3 2" xfId="9095"/>
    <cellStyle name="Normal 15 2 3 6 4" xfId="9096"/>
    <cellStyle name="Normal 15 2 3 7" xfId="9097"/>
    <cellStyle name="Normal 15 2 3 7 2" xfId="9098"/>
    <cellStyle name="Normal 15 2 3 7 2 2" xfId="9099"/>
    <cellStyle name="Normal 15 2 3 7 2 2 2" xfId="9100"/>
    <cellStyle name="Normal 15 2 3 7 2 3" xfId="9101"/>
    <cellStyle name="Normal 15 2 3 7 3" xfId="9102"/>
    <cellStyle name="Normal 15 2 3 7 3 2" xfId="9103"/>
    <cellStyle name="Normal 15 2 3 7 4" xfId="9104"/>
    <cellStyle name="Normal 15 2 3 8" xfId="9105"/>
    <cellStyle name="Normal 15 2 3 8 2" xfId="9106"/>
    <cellStyle name="Normal 15 2 3 8 2 2" xfId="9107"/>
    <cellStyle name="Normal 15 2 3 8 3" xfId="9108"/>
    <cellStyle name="Normal 15 2 3 9" xfId="9109"/>
    <cellStyle name="Normal 15 2 3 9 2" xfId="9110"/>
    <cellStyle name="Normal 15 2 4" xfId="9111"/>
    <cellStyle name="Normal 15 2 4 10" xfId="9112"/>
    <cellStyle name="Normal 15 2 4 2" xfId="9113"/>
    <cellStyle name="Normal 15 2 4 2 2" xfId="9114"/>
    <cellStyle name="Normal 15 2 4 2 2 2" xfId="9115"/>
    <cellStyle name="Normal 15 2 4 2 2 2 2" xfId="9116"/>
    <cellStyle name="Normal 15 2 4 2 2 2 2 2" xfId="9117"/>
    <cellStyle name="Normal 15 2 4 2 2 2 2 2 2" xfId="9118"/>
    <cellStyle name="Normal 15 2 4 2 2 2 2 2 2 2" xfId="9119"/>
    <cellStyle name="Normal 15 2 4 2 2 2 2 2 3" xfId="9120"/>
    <cellStyle name="Normal 15 2 4 2 2 2 2 3" xfId="9121"/>
    <cellStyle name="Normal 15 2 4 2 2 2 2 3 2" xfId="9122"/>
    <cellStyle name="Normal 15 2 4 2 2 2 2 4" xfId="9123"/>
    <cellStyle name="Normal 15 2 4 2 2 2 3" xfId="9124"/>
    <cellStyle name="Normal 15 2 4 2 2 2 3 2" xfId="9125"/>
    <cellStyle name="Normal 15 2 4 2 2 2 3 2 2" xfId="9126"/>
    <cellStyle name="Normal 15 2 4 2 2 2 3 2 2 2" xfId="9127"/>
    <cellStyle name="Normal 15 2 4 2 2 2 3 2 3" xfId="9128"/>
    <cellStyle name="Normal 15 2 4 2 2 2 3 3" xfId="9129"/>
    <cellStyle name="Normal 15 2 4 2 2 2 3 3 2" xfId="9130"/>
    <cellStyle name="Normal 15 2 4 2 2 2 3 4" xfId="9131"/>
    <cellStyle name="Normal 15 2 4 2 2 2 4" xfId="9132"/>
    <cellStyle name="Normal 15 2 4 2 2 2 4 2" xfId="9133"/>
    <cellStyle name="Normal 15 2 4 2 2 2 4 2 2" xfId="9134"/>
    <cellStyle name="Normal 15 2 4 2 2 2 4 3" xfId="9135"/>
    <cellStyle name="Normal 15 2 4 2 2 2 5" xfId="9136"/>
    <cellStyle name="Normal 15 2 4 2 2 2 5 2" xfId="9137"/>
    <cellStyle name="Normal 15 2 4 2 2 2 6" xfId="9138"/>
    <cellStyle name="Normal 15 2 4 2 2 3" xfId="9139"/>
    <cellStyle name="Normal 15 2 4 2 2 3 2" xfId="9140"/>
    <cellStyle name="Normal 15 2 4 2 2 3 2 2" xfId="9141"/>
    <cellStyle name="Normal 15 2 4 2 2 3 2 2 2" xfId="9142"/>
    <cellStyle name="Normal 15 2 4 2 2 3 2 3" xfId="9143"/>
    <cellStyle name="Normal 15 2 4 2 2 3 3" xfId="9144"/>
    <cellStyle name="Normal 15 2 4 2 2 3 3 2" xfId="9145"/>
    <cellStyle name="Normal 15 2 4 2 2 3 4" xfId="9146"/>
    <cellStyle name="Normal 15 2 4 2 2 4" xfId="9147"/>
    <cellStyle name="Normal 15 2 4 2 2 4 2" xfId="9148"/>
    <cellStyle name="Normal 15 2 4 2 2 4 2 2" xfId="9149"/>
    <cellStyle name="Normal 15 2 4 2 2 4 2 2 2" xfId="9150"/>
    <cellStyle name="Normal 15 2 4 2 2 4 2 3" xfId="9151"/>
    <cellStyle name="Normal 15 2 4 2 2 4 3" xfId="9152"/>
    <cellStyle name="Normal 15 2 4 2 2 4 3 2" xfId="9153"/>
    <cellStyle name="Normal 15 2 4 2 2 4 4" xfId="9154"/>
    <cellStyle name="Normal 15 2 4 2 2 5" xfId="9155"/>
    <cellStyle name="Normal 15 2 4 2 2 5 2" xfId="9156"/>
    <cellStyle name="Normal 15 2 4 2 2 5 2 2" xfId="9157"/>
    <cellStyle name="Normal 15 2 4 2 2 5 3" xfId="9158"/>
    <cellStyle name="Normal 15 2 4 2 2 6" xfId="9159"/>
    <cellStyle name="Normal 15 2 4 2 2 6 2" xfId="9160"/>
    <cellStyle name="Normal 15 2 4 2 2 7" xfId="9161"/>
    <cellStyle name="Normal 15 2 4 2 3" xfId="9162"/>
    <cellStyle name="Normal 15 2 4 2 3 2" xfId="9163"/>
    <cellStyle name="Normal 15 2 4 2 3 2 2" xfId="9164"/>
    <cellStyle name="Normal 15 2 4 2 3 2 2 2" xfId="9165"/>
    <cellStyle name="Normal 15 2 4 2 3 2 2 2 2" xfId="9166"/>
    <cellStyle name="Normal 15 2 4 2 3 2 2 3" xfId="9167"/>
    <cellStyle name="Normal 15 2 4 2 3 2 3" xfId="9168"/>
    <cellStyle name="Normal 15 2 4 2 3 2 3 2" xfId="9169"/>
    <cellStyle name="Normal 15 2 4 2 3 2 4" xfId="9170"/>
    <cellStyle name="Normal 15 2 4 2 3 3" xfId="9171"/>
    <cellStyle name="Normal 15 2 4 2 3 3 2" xfId="9172"/>
    <cellStyle name="Normal 15 2 4 2 3 3 2 2" xfId="9173"/>
    <cellStyle name="Normal 15 2 4 2 3 3 2 2 2" xfId="9174"/>
    <cellStyle name="Normal 15 2 4 2 3 3 2 3" xfId="9175"/>
    <cellStyle name="Normal 15 2 4 2 3 3 3" xfId="9176"/>
    <cellStyle name="Normal 15 2 4 2 3 3 3 2" xfId="9177"/>
    <cellStyle name="Normal 15 2 4 2 3 3 4" xfId="9178"/>
    <cellStyle name="Normal 15 2 4 2 3 4" xfId="9179"/>
    <cellStyle name="Normal 15 2 4 2 3 4 2" xfId="9180"/>
    <cellStyle name="Normal 15 2 4 2 3 4 2 2" xfId="9181"/>
    <cellStyle name="Normal 15 2 4 2 3 4 3" xfId="9182"/>
    <cellStyle name="Normal 15 2 4 2 3 5" xfId="9183"/>
    <cellStyle name="Normal 15 2 4 2 3 5 2" xfId="9184"/>
    <cellStyle name="Normal 15 2 4 2 3 6" xfId="9185"/>
    <cellStyle name="Normal 15 2 4 2 4" xfId="9186"/>
    <cellStyle name="Normal 15 2 4 2 4 2" xfId="9187"/>
    <cellStyle name="Normal 15 2 4 2 4 2 2" xfId="9188"/>
    <cellStyle name="Normal 15 2 4 2 4 2 2 2" xfId="9189"/>
    <cellStyle name="Normal 15 2 4 2 4 2 3" xfId="9190"/>
    <cellStyle name="Normal 15 2 4 2 4 3" xfId="9191"/>
    <cellStyle name="Normal 15 2 4 2 4 3 2" xfId="9192"/>
    <cellStyle name="Normal 15 2 4 2 4 4" xfId="9193"/>
    <cellStyle name="Normal 15 2 4 2 5" xfId="9194"/>
    <cellStyle name="Normal 15 2 4 2 5 2" xfId="9195"/>
    <cellStyle name="Normal 15 2 4 2 5 2 2" xfId="9196"/>
    <cellStyle name="Normal 15 2 4 2 5 2 2 2" xfId="9197"/>
    <cellStyle name="Normal 15 2 4 2 5 2 3" xfId="9198"/>
    <cellStyle name="Normal 15 2 4 2 5 3" xfId="9199"/>
    <cellStyle name="Normal 15 2 4 2 5 3 2" xfId="9200"/>
    <cellStyle name="Normal 15 2 4 2 5 4" xfId="9201"/>
    <cellStyle name="Normal 15 2 4 2 6" xfId="9202"/>
    <cellStyle name="Normal 15 2 4 2 6 2" xfId="9203"/>
    <cellStyle name="Normal 15 2 4 2 6 2 2" xfId="9204"/>
    <cellStyle name="Normal 15 2 4 2 6 2 2 2" xfId="9205"/>
    <cellStyle name="Normal 15 2 4 2 6 2 3" xfId="9206"/>
    <cellStyle name="Normal 15 2 4 2 6 3" xfId="9207"/>
    <cellStyle name="Normal 15 2 4 2 6 3 2" xfId="9208"/>
    <cellStyle name="Normal 15 2 4 2 6 4" xfId="9209"/>
    <cellStyle name="Normal 15 2 4 2 7" xfId="9210"/>
    <cellStyle name="Normal 15 2 4 2 7 2" xfId="9211"/>
    <cellStyle name="Normal 15 2 4 2 7 2 2" xfId="9212"/>
    <cellStyle name="Normal 15 2 4 2 7 3" xfId="9213"/>
    <cellStyle name="Normal 15 2 4 2 8" xfId="9214"/>
    <cellStyle name="Normal 15 2 4 2 8 2" xfId="9215"/>
    <cellStyle name="Normal 15 2 4 2 9" xfId="9216"/>
    <cellStyle name="Normal 15 2 4 3" xfId="9217"/>
    <cellStyle name="Normal 15 2 4 3 2" xfId="9218"/>
    <cellStyle name="Normal 15 2 4 3 2 2" xfId="9219"/>
    <cellStyle name="Normal 15 2 4 3 2 2 2" xfId="9220"/>
    <cellStyle name="Normal 15 2 4 3 2 2 2 2" xfId="9221"/>
    <cellStyle name="Normal 15 2 4 3 2 2 2 2 2" xfId="9222"/>
    <cellStyle name="Normal 15 2 4 3 2 2 2 3" xfId="9223"/>
    <cellStyle name="Normal 15 2 4 3 2 2 3" xfId="9224"/>
    <cellStyle name="Normal 15 2 4 3 2 2 3 2" xfId="9225"/>
    <cellStyle name="Normal 15 2 4 3 2 2 4" xfId="9226"/>
    <cellStyle name="Normal 15 2 4 3 2 3" xfId="9227"/>
    <cellStyle name="Normal 15 2 4 3 2 3 2" xfId="9228"/>
    <cellStyle name="Normal 15 2 4 3 2 3 2 2" xfId="9229"/>
    <cellStyle name="Normal 15 2 4 3 2 3 2 2 2" xfId="9230"/>
    <cellStyle name="Normal 15 2 4 3 2 3 2 3" xfId="9231"/>
    <cellStyle name="Normal 15 2 4 3 2 3 3" xfId="9232"/>
    <cellStyle name="Normal 15 2 4 3 2 3 3 2" xfId="9233"/>
    <cellStyle name="Normal 15 2 4 3 2 3 4" xfId="9234"/>
    <cellStyle name="Normal 15 2 4 3 2 4" xfId="9235"/>
    <cellStyle name="Normal 15 2 4 3 2 4 2" xfId="9236"/>
    <cellStyle name="Normal 15 2 4 3 2 4 2 2" xfId="9237"/>
    <cellStyle name="Normal 15 2 4 3 2 4 3" xfId="9238"/>
    <cellStyle name="Normal 15 2 4 3 2 5" xfId="9239"/>
    <cellStyle name="Normal 15 2 4 3 2 5 2" xfId="9240"/>
    <cellStyle name="Normal 15 2 4 3 2 6" xfId="9241"/>
    <cellStyle name="Normal 15 2 4 3 3" xfId="9242"/>
    <cellStyle name="Normal 15 2 4 3 3 2" xfId="9243"/>
    <cellStyle name="Normal 15 2 4 3 3 2 2" xfId="9244"/>
    <cellStyle name="Normal 15 2 4 3 3 2 2 2" xfId="9245"/>
    <cellStyle name="Normal 15 2 4 3 3 2 3" xfId="9246"/>
    <cellStyle name="Normal 15 2 4 3 3 3" xfId="9247"/>
    <cellStyle name="Normal 15 2 4 3 3 3 2" xfId="9248"/>
    <cellStyle name="Normal 15 2 4 3 3 4" xfId="9249"/>
    <cellStyle name="Normal 15 2 4 3 4" xfId="9250"/>
    <cellStyle name="Normal 15 2 4 3 4 2" xfId="9251"/>
    <cellStyle name="Normal 15 2 4 3 4 2 2" xfId="9252"/>
    <cellStyle name="Normal 15 2 4 3 4 2 2 2" xfId="9253"/>
    <cellStyle name="Normal 15 2 4 3 4 2 3" xfId="9254"/>
    <cellStyle name="Normal 15 2 4 3 4 3" xfId="9255"/>
    <cellStyle name="Normal 15 2 4 3 4 3 2" xfId="9256"/>
    <cellStyle name="Normal 15 2 4 3 4 4" xfId="9257"/>
    <cellStyle name="Normal 15 2 4 3 5" xfId="9258"/>
    <cellStyle name="Normal 15 2 4 3 5 2" xfId="9259"/>
    <cellStyle name="Normal 15 2 4 3 5 2 2" xfId="9260"/>
    <cellStyle name="Normal 15 2 4 3 5 3" xfId="9261"/>
    <cellStyle name="Normal 15 2 4 3 6" xfId="9262"/>
    <cellStyle name="Normal 15 2 4 3 6 2" xfId="9263"/>
    <cellStyle name="Normal 15 2 4 3 7" xfId="9264"/>
    <cellStyle name="Normal 15 2 4 4" xfId="9265"/>
    <cellStyle name="Normal 15 2 4 4 2" xfId="9266"/>
    <cellStyle name="Normal 15 2 4 4 2 2" xfId="9267"/>
    <cellStyle name="Normal 15 2 4 4 2 2 2" xfId="9268"/>
    <cellStyle name="Normal 15 2 4 4 2 2 2 2" xfId="9269"/>
    <cellStyle name="Normal 15 2 4 4 2 2 3" xfId="9270"/>
    <cellStyle name="Normal 15 2 4 4 2 3" xfId="9271"/>
    <cellStyle name="Normal 15 2 4 4 2 3 2" xfId="9272"/>
    <cellStyle name="Normal 15 2 4 4 2 4" xfId="9273"/>
    <cellStyle name="Normal 15 2 4 4 3" xfId="9274"/>
    <cellStyle name="Normal 15 2 4 4 3 2" xfId="9275"/>
    <cellStyle name="Normal 15 2 4 4 3 2 2" xfId="9276"/>
    <cellStyle name="Normal 15 2 4 4 3 2 2 2" xfId="9277"/>
    <cellStyle name="Normal 15 2 4 4 3 2 3" xfId="9278"/>
    <cellStyle name="Normal 15 2 4 4 3 3" xfId="9279"/>
    <cellStyle name="Normal 15 2 4 4 3 3 2" xfId="9280"/>
    <cellStyle name="Normal 15 2 4 4 3 4" xfId="9281"/>
    <cellStyle name="Normal 15 2 4 4 4" xfId="9282"/>
    <cellStyle name="Normal 15 2 4 4 4 2" xfId="9283"/>
    <cellStyle name="Normal 15 2 4 4 4 2 2" xfId="9284"/>
    <cellStyle name="Normal 15 2 4 4 4 3" xfId="9285"/>
    <cellStyle name="Normal 15 2 4 4 5" xfId="9286"/>
    <cellStyle name="Normal 15 2 4 4 5 2" xfId="9287"/>
    <cellStyle name="Normal 15 2 4 4 6" xfId="9288"/>
    <cellStyle name="Normal 15 2 4 5" xfId="9289"/>
    <cellStyle name="Normal 15 2 4 5 2" xfId="9290"/>
    <cellStyle name="Normal 15 2 4 5 2 2" xfId="9291"/>
    <cellStyle name="Normal 15 2 4 5 2 2 2" xfId="9292"/>
    <cellStyle name="Normal 15 2 4 5 2 3" xfId="9293"/>
    <cellStyle name="Normal 15 2 4 5 3" xfId="9294"/>
    <cellStyle name="Normal 15 2 4 5 3 2" xfId="9295"/>
    <cellStyle name="Normal 15 2 4 5 4" xfId="9296"/>
    <cellStyle name="Normal 15 2 4 6" xfId="9297"/>
    <cellStyle name="Normal 15 2 4 6 2" xfId="9298"/>
    <cellStyle name="Normal 15 2 4 6 2 2" xfId="9299"/>
    <cellStyle name="Normal 15 2 4 6 2 2 2" xfId="9300"/>
    <cellStyle name="Normal 15 2 4 6 2 3" xfId="9301"/>
    <cellStyle name="Normal 15 2 4 6 3" xfId="9302"/>
    <cellStyle name="Normal 15 2 4 6 3 2" xfId="9303"/>
    <cellStyle name="Normal 15 2 4 6 4" xfId="9304"/>
    <cellStyle name="Normal 15 2 4 7" xfId="9305"/>
    <cellStyle name="Normal 15 2 4 7 2" xfId="9306"/>
    <cellStyle name="Normal 15 2 4 7 2 2" xfId="9307"/>
    <cellStyle name="Normal 15 2 4 7 2 2 2" xfId="9308"/>
    <cellStyle name="Normal 15 2 4 7 2 3" xfId="9309"/>
    <cellStyle name="Normal 15 2 4 7 3" xfId="9310"/>
    <cellStyle name="Normal 15 2 4 7 3 2" xfId="9311"/>
    <cellStyle name="Normal 15 2 4 7 4" xfId="9312"/>
    <cellStyle name="Normal 15 2 4 8" xfId="9313"/>
    <cellStyle name="Normal 15 2 4 8 2" xfId="9314"/>
    <cellStyle name="Normal 15 2 4 8 2 2" xfId="9315"/>
    <cellStyle name="Normal 15 2 4 8 3" xfId="9316"/>
    <cellStyle name="Normal 15 2 4 9" xfId="9317"/>
    <cellStyle name="Normal 15 2 4 9 2" xfId="9318"/>
    <cellStyle name="Normal 15 2 5" xfId="9319"/>
    <cellStyle name="Normal 15 2 5 2" xfId="9320"/>
    <cellStyle name="Normal 15 2 5 2 2" xfId="9321"/>
    <cellStyle name="Normal 15 2 5 2 2 2" xfId="9322"/>
    <cellStyle name="Normal 15 2 5 2 2 2 2" xfId="9323"/>
    <cellStyle name="Normal 15 2 5 2 2 2 2 2" xfId="9324"/>
    <cellStyle name="Normal 15 2 5 2 2 2 2 2 2" xfId="9325"/>
    <cellStyle name="Normal 15 2 5 2 2 2 2 3" xfId="9326"/>
    <cellStyle name="Normal 15 2 5 2 2 2 3" xfId="9327"/>
    <cellStyle name="Normal 15 2 5 2 2 2 3 2" xfId="9328"/>
    <cellStyle name="Normal 15 2 5 2 2 2 4" xfId="9329"/>
    <cellStyle name="Normal 15 2 5 2 2 3" xfId="9330"/>
    <cellStyle name="Normal 15 2 5 2 2 3 2" xfId="9331"/>
    <cellStyle name="Normal 15 2 5 2 2 3 2 2" xfId="9332"/>
    <cellStyle name="Normal 15 2 5 2 2 3 2 2 2" xfId="9333"/>
    <cellStyle name="Normal 15 2 5 2 2 3 2 3" xfId="9334"/>
    <cellStyle name="Normal 15 2 5 2 2 3 3" xfId="9335"/>
    <cellStyle name="Normal 15 2 5 2 2 3 3 2" xfId="9336"/>
    <cellStyle name="Normal 15 2 5 2 2 3 4" xfId="9337"/>
    <cellStyle name="Normal 15 2 5 2 2 4" xfId="9338"/>
    <cellStyle name="Normal 15 2 5 2 2 4 2" xfId="9339"/>
    <cellStyle name="Normal 15 2 5 2 2 4 2 2" xfId="9340"/>
    <cellStyle name="Normal 15 2 5 2 2 4 3" xfId="9341"/>
    <cellStyle name="Normal 15 2 5 2 2 5" xfId="9342"/>
    <cellStyle name="Normal 15 2 5 2 2 5 2" xfId="9343"/>
    <cellStyle name="Normal 15 2 5 2 2 6" xfId="9344"/>
    <cellStyle name="Normal 15 2 5 2 3" xfId="9345"/>
    <cellStyle name="Normal 15 2 5 2 3 2" xfId="9346"/>
    <cellStyle name="Normal 15 2 5 2 3 2 2" xfId="9347"/>
    <cellStyle name="Normal 15 2 5 2 3 2 2 2" xfId="9348"/>
    <cellStyle name="Normal 15 2 5 2 3 2 3" xfId="9349"/>
    <cellStyle name="Normal 15 2 5 2 3 3" xfId="9350"/>
    <cellStyle name="Normal 15 2 5 2 3 3 2" xfId="9351"/>
    <cellStyle name="Normal 15 2 5 2 3 4" xfId="9352"/>
    <cellStyle name="Normal 15 2 5 2 4" xfId="9353"/>
    <cellStyle name="Normal 15 2 5 2 4 2" xfId="9354"/>
    <cellStyle name="Normal 15 2 5 2 4 2 2" xfId="9355"/>
    <cellStyle name="Normal 15 2 5 2 4 2 2 2" xfId="9356"/>
    <cellStyle name="Normal 15 2 5 2 4 2 3" xfId="9357"/>
    <cellStyle name="Normal 15 2 5 2 4 3" xfId="9358"/>
    <cellStyle name="Normal 15 2 5 2 4 3 2" xfId="9359"/>
    <cellStyle name="Normal 15 2 5 2 4 4" xfId="9360"/>
    <cellStyle name="Normal 15 2 5 2 5" xfId="9361"/>
    <cellStyle name="Normal 15 2 5 2 5 2" xfId="9362"/>
    <cellStyle name="Normal 15 2 5 2 5 2 2" xfId="9363"/>
    <cellStyle name="Normal 15 2 5 2 5 3" xfId="9364"/>
    <cellStyle name="Normal 15 2 5 2 6" xfId="9365"/>
    <cellStyle name="Normal 15 2 5 2 6 2" xfId="9366"/>
    <cellStyle name="Normal 15 2 5 2 7" xfId="9367"/>
    <cellStyle name="Normal 15 2 5 3" xfId="9368"/>
    <cellStyle name="Normal 15 2 5 3 2" xfId="9369"/>
    <cellStyle name="Normal 15 2 5 3 2 2" xfId="9370"/>
    <cellStyle name="Normal 15 2 5 3 2 2 2" xfId="9371"/>
    <cellStyle name="Normal 15 2 5 3 2 2 2 2" xfId="9372"/>
    <cellStyle name="Normal 15 2 5 3 2 2 3" xfId="9373"/>
    <cellStyle name="Normal 15 2 5 3 2 3" xfId="9374"/>
    <cellStyle name="Normal 15 2 5 3 2 3 2" xfId="9375"/>
    <cellStyle name="Normal 15 2 5 3 2 4" xfId="9376"/>
    <cellStyle name="Normal 15 2 5 3 3" xfId="9377"/>
    <cellStyle name="Normal 15 2 5 3 3 2" xfId="9378"/>
    <cellStyle name="Normal 15 2 5 3 3 2 2" xfId="9379"/>
    <cellStyle name="Normal 15 2 5 3 3 2 2 2" xfId="9380"/>
    <cellStyle name="Normal 15 2 5 3 3 2 3" xfId="9381"/>
    <cellStyle name="Normal 15 2 5 3 3 3" xfId="9382"/>
    <cellStyle name="Normal 15 2 5 3 3 3 2" xfId="9383"/>
    <cellStyle name="Normal 15 2 5 3 3 4" xfId="9384"/>
    <cellStyle name="Normal 15 2 5 3 4" xfId="9385"/>
    <cellStyle name="Normal 15 2 5 3 4 2" xfId="9386"/>
    <cellStyle name="Normal 15 2 5 3 4 2 2" xfId="9387"/>
    <cellStyle name="Normal 15 2 5 3 4 3" xfId="9388"/>
    <cellStyle name="Normal 15 2 5 3 5" xfId="9389"/>
    <cellStyle name="Normal 15 2 5 3 5 2" xfId="9390"/>
    <cellStyle name="Normal 15 2 5 3 6" xfId="9391"/>
    <cellStyle name="Normal 15 2 5 4" xfId="9392"/>
    <cellStyle name="Normal 15 2 5 4 2" xfId="9393"/>
    <cellStyle name="Normal 15 2 5 4 2 2" xfId="9394"/>
    <cellStyle name="Normal 15 2 5 4 2 2 2" xfId="9395"/>
    <cellStyle name="Normal 15 2 5 4 2 3" xfId="9396"/>
    <cellStyle name="Normal 15 2 5 4 3" xfId="9397"/>
    <cellStyle name="Normal 15 2 5 4 3 2" xfId="9398"/>
    <cellStyle name="Normal 15 2 5 4 4" xfId="9399"/>
    <cellStyle name="Normal 15 2 5 5" xfId="9400"/>
    <cellStyle name="Normal 15 2 5 5 2" xfId="9401"/>
    <cellStyle name="Normal 15 2 5 5 2 2" xfId="9402"/>
    <cellStyle name="Normal 15 2 5 5 2 2 2" xfId="9403"/>
    <cellStyle name="Normal 15 2 5 5 2 3" xfId="9404"/>
    <cellStyle name="Normal 15 2 5 5 3" xfId="9405"/>
    <cellStyle name="Normal 15 2 5 5 3 2" xfId="9406"/>
    <cellStyle name="Normal 15 2 5 5 4" xfId="9407"/>
    <cellStyle name="Normal 15 2 5 6" xfId="9408"/>
    <cellStyle name="Normal 15 2 5 6 2" xfId="9409"/>
    <cellStyle name="Normal 15 2 5 6 2 2" xfId="9410"/>
    <cellStyle name="Normal 15 2 5 6 2 2 2" xfId="9411"/>
    <cellStyle name="Normal 15 2 5 6 2 3" xfId="9412"/>
    <cellStyle name="Normal 15 2 5 6 3" xfId="9413"/>
    <cellStyle name="Normal 15 2 5 6 3 2" xfId="9414"/>
    <cellStyle name="Normal 15 2 5 6 4" xfId="9415"/>
    <cellStyle name="Normal 15 2 5 7" xfId="9416"/>
    <cellStyle name="Normal 15 2 5 7 2" xfId="9417"/>
    <cellStyle name="Normal 15 2 5 7 2 2" xfId="9418"/>
    <cellStyle name="Normal 15 2 5 7 3" xfId="9419"/>
    <cellStyle name="Normal 15 2 5 8" xfId="9420"/>
    <cellStyle name="Normal 15 2 5 8 2" xfId="9421"/>
    <cellStyle name="Normal 15 2 5 9" xfId="9422"/>
    <cellStyle name="Normal 15 2 6" xfId="9423"/>
    <cellStyle name="Normal 15 2 6 2" xfId="9424"/>
    <cellStyle name="Normal 15 2 6 2 2" xfId="9425"/>
    <cellStyle name="Normal 15 2 6 2 2 2" xfId="9426"/>
    <cellStyle name="Normal 15 2 6 2 2 2 2" xfId="9427"/>
    <cellStyle name="Normal 15 2 6 2 2 2 2 2" xfId="9428"/>
    <cellStyle name="Normal 15 2 6 2 2 2 3" xfId="9429"/>
    <cellStyle name="Normal 15 2 6 2 2 3" xfId="9430"/>
    <cellStyle name="Normal 15 2 6 2 2 3 2" xfId="9431"/>
    <cellStyle name="Normal 15 2 6 2 2 4" xfId="9432"/>
    <cellStyle name="Normal 15 2 6 2 3" xfId="9433"/>
    <cellStyle name="Normal 15 2 6 2 3 2" xfId="9434"/>
    <cellStyle name="Normal 15 2 6 2 3 2 2" xfId="9435"/>
    <cellStyle name="Normal 15 2 6 2 3 2 2 2" xfId="9436"/>
    <cellStyle name="Normal 15 2 6 2 3 2 3" xfId="9437"/>
    <cellStyle name="Normal 15 2 6 2 3 3" xfId="9438"/>
    <cellStyle name="Normal 15 2 6 2 3 3 2" xfId="9439"/>
    <cellStyle name="Normal 15 2 6 2 3 4" xfId="9440"/>
    <cellStyle name="Normal 15 2 6 2 4" xfId="9441"/>
    <cellStyle name="Normal 15 2 6 2 4 2" xfId="9442"/>
    <cellStyle name="Normal 15 2 6 2 4 2 2" xfId="9443"/>
    <cellStyle name="Normal 15 2 6 2 4 3" xfId="9444"/>
    <cellStyle name="Normal 15 2 6 2 5" xfId="9445"/>
    <cellStyle name="Normal 15 2 6 2 5 2" xfId="9446"/>
    <cellStyle name="Normal 15 2 6 2 6" xfId="9447"/>
    <cellStyle name="Normal 15 2 6 3" xfId="9448"/>
    <cellStyle name="Normal 15 2 6 3 2" xfId="9449"/>
    <cellStyle name="Normal 15 2 6 3 2 2" xfId="9450"/>
    <cellStyle name="Normal 15 2 6 3 2 2 2" xfId="9451"/>
    <cellStyle name="Normal 15 2 6 3 2 3" xfId="9452"/>
    <cellStyle name="Normal 15 2 6 3 3" xfId="9453"/>
    <cellStyle name="Normal 15 2 6 3 3 2" xfId="9454"/>
    <cellStyle name="Normal 15 2 6 3 4" xfId="9455"/>
    <cellStyle name="Normal 15 2 6 4" xfId="9456"/>
    <cellStyle name="Normal 15 2 6 4 2" xfId="9457"/>
    <cellStyle name="Normal 15 2 6 4 2 2" xfId="9458"/>
    <cellStyle name="Normal 15 2 6 4 2 2 2" xfId="9459"/>
    <cellStyle name="Normal 15 2 6 4 2 3" xfId="9460"/>
    <cellStyle name="Normal 15 2 6 4 3" xfId="9461"/>
    <cellStyle name="Normal 15 2 6 4 3 2" xfId="9462"/>
    <cellStyle name="Normal 15 2 6 4 4" xfId="9463"/>
    <cellStyle name="Normal 15 2 6 5" xfId="9464"/>
    <cellStyle name="Normal 15 2 6 5 2" xfId="9465"/>
    <cellStyle name="Normal 15 2 6 5 2 2" xfId="9466"/>
    <cellStyle name="Normal 15 2 6 5 3" xfId="9467"/>
    <cellStyle name="Normal 15 2 6 6" xfId="9468"/>
    <cellStyle name="Normal 15 2 6 6 2" xfId="9469"/>
    <cellStyle name="Normal 15 2 6 7" xfId="9470"/>
    <cellStyle name="Normal 15 2 7" xfId="9471"/>
    <cellStyle name="Normal 15 2 7 2" xfId="9472"/>
    <cellStyle name="Normal 15 2 7 2 2" xfId="9473"/>
    <cellStyle name="Normal 15 2 7 2 2 2" xfId="9474"/>
    <cellStyle name="Normal 15 2 7 2 2 2 2" xfId="9475"/>
    <cellStyle name="Normal 15 2 7 2 2 3" xfId="9476"/>
    <cellStyle name="Normal 15 2 7 2 3" xfId="9477"/>
    <cellStyle name="Normal 15 2 7 2 3 2" xfId="9478"/>
    <cellStyle name="Normal 15 2 7 2 4" xfId="9479"/>
    <cellStyle name="Normal 15 2 7 3" xfId="9480"/>
    <cellStyle name="Normal 15 2 7 3 2" xfId="9481"/>
    <cellStyle name="Normal 15 2 7 3 2 2" xfId="9482"/>
    <cellStyle name="Normal 15 2 7 3 2 2 2" xfId="9483"/>
    <cellStyle name="Normal 15 2 7 3 2 3" xfId="9484"/>
    <cellStyle name="Normal 15 2 7 3 3" xfId="9485"/>
    <cellStyle name="Normal 15 2 7 3 3 2" xfId="9486"/>
    <cellStyle name="Normal 15 2 7 3 4" xfId="9487"/>
    <cellStyle name="Normal 15 2 7 4" xfId="9488"/>
    <cellStyle name="Normal 15 2 7 4 2" xfId="9489"/>
    <cellStyle name="Normal 15 2 7 4 2 2" xfId="9490"/>
    <cellStyle name="Normal 15 2 7 4 3" xfId="9491"/>
    <cellStyle name="Normal 15 2 7 5" xfId="9492"/>
    <cellStyle name="Normal 15 2 7 5 2" xfId="9493"/>
    <cellStyle name="Normal 15 2 7 6" xfId="9494"/>
    <cellStyle name="Normal 15 2 8" xfId="9495"/>
    <cellStyle name="Normal 15 2 8 2" xfId="9496"/>
    <cellStyle name="Normal 15 2 8 2 2" xfId="9497"/>
    <cellStyle name="Normal 15 2 8 2 2 2" xfId="9498"/>
    <cellStyle name="Normal 15 2 8 2 3" xfId="9499"/>
    <cellStyle name="Normal 15 2 8 3" xfId="9500"/>
    <cellStyle name="Normal 15 2 8 3 2" xfId="9501"/>
    <cellStyle name="Normal 15 2 8 4" xfId="9502"/>
    <cellStyle name="Normal 15 2 9" xfId="9503"/>
    <cellStyle name="Normal 15 2 9 2" xfId="9504"/>
    <cellStyle name="Normal 15 2 9 2 2" xfId="9505"/>
    <cellStyle name="Normal 15 2 9 2 2 2" xfId="9506"/>
    <cellStyle name="Normal 15 2 9 2 3" xfId="9507"/>
    <cellStyle name="Normal 15 2 9 3" xfId="9508"/>
    <cellStyle name="Normal 15 2 9 3 2" xfId="9509"/>
    <cellStyle name="Normal 15 2 9 4" xfId="9510"/>
    <cellStyle name="Normal 15 3" xfId="9511"/>
    <cellStyle name="Normal 15 3 10" xfId="9512"/>
    <cellStyle name="Normal 15 3 10 2" xfId="9513"/>
    <cellStyle name="Normal 15 3 11" xfId="9514"/>
    <cellStyle name="Normal 15 3 2" xfId="9515"/>
    <cellStyle name="Normal 15 3 2 10" xfId="9516"/>
    <cellStyle name="Normal 15 3 2 2" xfId="9517"/>
    <cellStyle name="Normal 15 3 2 2 2" xfId="9518"/>
    <cellStyle name="Normal 15 3 2 2 2 2" xfId="9519"/>
    <cellStyle name="Normal 15 3 2 2 2 2 2" xfId="9520"/>
    <cellStyle name="Normal 15 3 2 2 2 2 2 2" xfId="9521"/>
    <cellStyle name="Normal 15 3 2 2 2 2 2 2 2" xfId="9522"/>
    <cellStyle name="Normal 15 3 2 2 2 2 2 2 2 2" xfId="9523"/>
    <cellStyle name="Normal 15 3 2 2 2 2 2 2 3" xfId="9524"/>
    <cellStyle name="Normal 15 3 2 2 2 2 2 3" xfId="9525"/>
    <cellStyle name="Normal 15 3 2 2 2 2 2 3 2" xfId="9526"/>
    <cellStyle name="Normal 15 3 2 2 2 2 2 4" xfId="9527"/>
    <cellStyle name="Normal 15 3 2 2 2 2 3" xfId="9528"/>
    <cellStyle name="Normal 15 3 2 2 2 2 3 2" xfId="9529"/>
    <cellStyle name="Normal 15 3 2 2 2 2 3 2 2" xfId="9530"/>
    <cellStyle name="Normal 15 3 2 2 2 2 3 2 2 2" xfId="9531"/>
    <cellStyle name="Normal 15 3 2 2 2 2 3 2 3" xfId="9532"/>
    <cellStyle name="Normal 15 3 2 2 2 2 3 3" xfId="9533"/>
    <cellStyle name="Normal 15 3 2 2 2 2 3 3 2" xfId="9534"/>
    <cellStyle name="Normal 15 3 2 2 2 2 3 4" xfId="9535"/>
    <cellStyle name="Normal 15 3 2 2 2 2 4" xfId="9536"/>
    <cellStyle name="Normal 15 3 2 2 2 2 4 2" xfId="9537"/>
    <cellStyle name="Normal 15 3 2 2 2 2 4 2 2" xfId="9538"/>
    <cellStyle name="Normal 15 3 2 2 2 2 4 3" xfId="9539"/>
    <cellStyle name="Normal 15 3 2 2 2 2 5" xfId="9540"/>
    <cellStyle name="Normal 15 3 2 2 2 2 5 2" xfId="9541"/>
    <cellStyle name="Normal 15 3 2 2 2 2 6" xfId="9542"/>
    <cellStyle name="Normal 15 3 2 2 2 3" xfId="9543"/>
    <cellStyle name="Normal 15 3 2 2 2 3 2" xfId="9544"/>
    <cellStyle name="Normal 15 3 2 2 2 3 2 2" xfId="9545"/>
    <cellStyle name="Normal 15 3 2 2 2 3 2 2 2" xfId="9546"/>
    <cellStyle name="Normal 15 3 2 2 2 3 2 3" xfId="9547"/>
    <cellStyle name="Normal 15 3 2 2 2 3 3" xfId="9548"/>
    <cellStyle name="Normal 15 3 2 2 2 3 3 2" xfId="9549"/>
    <cellStyle name="Normal 15 3 2 2 2 3 4" xfId="9550"/>
    <cellStyle name="Normal 15 3 2 2 2 4" xfId="9551"/>
    <cellStyle name="Normal 15 3 2 2 2 4 2" xfId="9552"/>
    <cellStyle name="Normal 15 3 2 2 2 4 2 2" xfId="9553"/>
    <cellStyle name="Normal 15 3 2 2 2 4 2 2 2" xfId="9554"/>
    <cellStyle name="Normal 15 3 2 2 2 4 2 3" xfId="9555"/>
    <cellStyle name="Normal 15 3 2 2 2 4 3" xfId="9556"/>
    <cellStyle name="Normal 15 3 2 2 2 4 3 2" xfId="9557"/>
    <cellStyle name="Normal 15 3 2 2 2 4 4" xfId="9558"/>
    <cellStyle name="Normal 15 3 2 2 2 5" xfId="9559"/>
    <cellStyle name="Normal 15 3 2 2 2 5 2" xfId="9560"/>
    <cellStyle name="Normal 15 3 2 2 2 5 2 2" xfId="9561"/>
    <cellStyle name="Normal 15 3 2 2 2 5 3" xfId="9562"/>
    <cellStyle name="Normal 15 3 2 2 2 6" xfId="9563"/>
    <cellStyle name="Normal 15 3 2 2 2 6 2" xfId="9564"/>
    <cellStyle name="Normal 15 3 2 2 2 7" xfId="9565"/>
    <cellStyle name="Normal 15 3 2 2 3" xfId="9566"/>
    <cellStyle name="Normal 15 3 2 2 3 2" xfId="9567"/>
    <cellStyle name="Normal 15 3 2 2 3 2 2" xfId="9568"/>
    <cellStyle name="Normal 15 3 2 2 3 2 2 2" xfId="9569"/>
    <cellStyle name="Normal 15 3 2 2 3 2 2 2 2" xfId="9570"/>
    <cellStyle name="Normal 15 3 2 2 3 2 2 3" xfId="9571"/>
    <cellStyle name="Normal 15 3 2 2 3 2 3" xfId="9572"/>
    <cellStyle name="Normal 15 3 2 2 3 2 3 2" xfId="9573"/>
    <cellStyle name="Normal 15 3 2 2 3 2 4" xfId="9574"/>
    <cellStyle name="Normal 15 3 2 2 3 3" xfId="9575"/>
    <cellStyle name="Normal 15 3 2 2 3 3 2" xfId="9576"/>
    <cellStyle name="Normal 15 3 2 2 3 3 2 2" xfId="9577"/>
    <cellStyle name="Normal 15 3 2 2 3 3 2 2 2" xfId="9578"/>
    <cellStyle name="Normal 15 3 2 2 3 3 2 3" xfId="9579"/>
    <cellStyle name="Normal 15 3 2 2 3 3 3" xfId="9580"/>
    <cellStyle name="Normal 15 3 2 2 3 3 3 2" xfId="9581"/>
    <cellStyle name="Normal 15 3 2 2 3 3 4" xfId="9582"/>
    <cellStyle name="Normal 15 3 2 2 3 4" xfId="9583"/>
    <cellStyle name="Normal 15 3 2 2 3 4 2" xfId="9584"/>
    <cellStyle name="Normal 15 3 2 2 3 4 2 2" xfId="9585"/>
    <cellStyle name="Normal 15 3 2 2 3 4 3" xfId="9586"/>
    <cellStyle name="Normal 15 3 2 2 3 5" xfId="9587"/>
    <cellStyle name="Normal 15 3 2 2 3 5 2" xfId="9588"/>
    <cellStyle name="Normal 15 3 2 2 3 6" xfId="9589"/>
    <cellStyle name="Normal 15 3 2 2 4" xfId="9590"/>
    <cellStyle name="Normal 15 3 2 2 4 2" xfId="9591"/>
    <cellStyle name="Normal 15 3 2 2 4 2 2" xfId="9592"/>
    <cellStyle name="Normal 15 3 2 2 4 2 2 2" xfId="9593"/>
    <cellStyle name="Normal 15 3 2 2 4 2 3" xfId="9594"/>
    <cellStyle name="Normal 15 3 2 2 4 3" xfId="9595"/>
    <cellStyle name="Normal 15 3 2 2 4 3 2" xfId="9596"/>
    <cellStyle name="Normal 15 3 2 2 4 4" xfId="9597"/>
    <cellStyle name="Normal 15 3 2 2 5" xfId="9598"/>
    <cellStyle name="Normal 15 3 2 2 5 2" xfId="9599"/>
    <cellStyle name="Normal 15 3 2 2 5 2 2" xfId="9600"/>
    <cellStyle name="Normal 15 3 2 2 5 2 2 2" xfId="9601"/>
    <cellStyle name="Normal 15 3 2 2 5 2 3" xfId="9602"/>
    <cellStyle name="Normal 15 3 2 2 5 3" xfId="9603"/>
    <cellStyle name="Normal 15 3 2 2 5 3 2" xfId="9604"/>
    <cellStyle name="Normal 15 3 2 2 5 4" xfId="9605"/>
    <cellStyle name="Normal 15 3 2 2 6" xfId="9606"/>
    <cellStyle name="Normal 15 3 2 2 6 2" xfId="9607"/>
    <cellStyle name="Normal 15 3 2 2 6 2 2" xfId="9608"/>
    <cellStyle name="Normal 15 3 2 2 6 2 2 2" xfId="9609"/>
    <cellStyle name="Normal 15 3 2 2 6 2 3" xfId="9610"/>
    <cellStyle name="Normal 15 3 2 2 6 3" xfId="9611"/>
    <cellStyle name="Normal 15 3 2 2 6 3 2" xfId="9612"/>
    <cellStyle name="Normal 15 3 2 2 6 4" xfId="9613"/>
    <cellStyle name="Normal 15 3 2 2 7" xfId="9614"/>
    <cellStyle name="Normal 15 3 2 2 7 2" xfId="9615"/>
    <cellStyle name="Normal 15 3 2 2 7 2 2" xfId="9616"/>
    <cellStyle name="Normal 15 3 2 2 7 3" xfId="9617"/>
    <cellStyle name="Normal 15 3 2 2 8" xfId="9618"/>
    <cellStyle name="Normal 15 3 2 2 8 2" xfId="9619"/>
    <cellStyle name="Normal 15 3 2 2 9" xfId="9620"/>
    <cellStyle name="Normal 15 3 2 3" xfId="9621"/>
    <cellStyle name="Normal 15 3 2 3 2" xfId="9622"/>
    <cellStyle name="Normal 15 3 2 3 2 2" xfId="9623"/>
    <cellStyle name="Normal 15 3 2 3 2 2 2" xfId="9624"/>
    <cellStyle name="Normal 15 3 2 3 2 2 2 2" xfId="9625"/>
    <cellStyle name="Normal 15 3 2 3 2 2 2 2 2" xfId="9626"/>
    <cellStyle name="Normal 15 3 2 3 2 2 2 3" xfId="9627"/>
    <cellStyle name="Normal 15 3 2 3 2 2 3" xfId="9628"/>
    <cellStyle name="Normal 15 3 2 3 2 2 3 2" xfId="9629"/>
    <cellStyle name="Normal 15 3 2 3 2 2 4" xfId="9630"/>
    <cellStyle name="Normal 15 3 2 3 2 3" xfId="9631"/>
    <cellStyle name="Normal 15 3 2 3 2 3 2" xfId="9632"/>
    <cellStyle name="Normal 15 3 2 3 2 3 2 2" xfId="9633"/>
    <cellStyle name="Normal 15 3 2 3 2 3 2 2 2" xfId="9634"/>
    <cellStyle name="Normal 15 3 2 3 2 3 2 3" xfId="9635"/>
    <cellStyle name="Normal 15 3 2 3 2 3 3" xfId="9636"/>
    <cellStyle name="Normal 15 3 2 3 2 3 3 2" xfId="9637"/>
    <cellStyle name="Normal 15 3 2 3 2 3 4" xfId="9638"/>
    <cellStyle name="Normal 15 3 2 3 2 4" xfId="9639"/>
    <cellStyle name="Normal 15 3 2 3 2 4 2" xfId="9640"/>
    <cellStyle name="Normal 15 3 2 3 2 4 2 2" xfId="9641"/>
    <cellStyle name="Normal 15 3 2 3 2 4 3" xfId="9642"/>
    <cellStyle name="Normal 15 3 2 3 2 5" xfId="9643"/>
    <cellStyle name="Normal 15 3 2 3 2 5 2" xfId="9644"/>
    <cellStyle name="Normal 15 3 2 3 2 6" xfId="9645"/>
    <cellStyle name="Normal 15 3 2 3 3" xfId="9646"/>
    <cellStyle name="Normal 15 3 2 3 3 2" xfId="9647"/>
    <cellStyle name="Normal 15 3 2 3 3 2 2" xfId="9648"/>
    <cellStyle name="Normal 15 3 2 3 3 2 2 2" xfId="9649"/>
    <cellStyle name="Normal 15 3 2 3 3 2 3" xfId="9650"/>
    <cellStyle name="Normal 15 3 2 3 3 3" xfId="9651"/>
    <cellStyle name="Normal 15 3 2 3 3 3 2" xfId="9652"/>
    <cellStyle name="Normal 15 3 2 3 3 4" xfId="9653"/>
    <cellStyle name="Normal 15 3 2 3 4" xfId="9654"/>
    <cellStyle name="Normal 15 3 2 3 4 2" xfId="9655"/>
    <cellStyle name="Normal 15 3 2 3 4 2 2" xfId="9656"/>
    <cellStyle name="Normal 15 3 2 3 4 2 2 2" xfId="9657"/>
    <cellStyle name="Normal 15 3 2 3 4 2 3" xfId="9658"/>
    <cellStyle name="Normal 15 3 2 3 4 3" xfId="9659"/>
    <cellStyle name="Normal 15 3 2 3 4 3 2" xfId="9660"/>
    <cellStyle name="Normal 15 3 2 3 4 4" xfId="9661"/>
    <cellStyle name="Normal 15 3 2 3 5" xfId="9662"/>
    <cellStyle name="Normal 15 3 2 3 5 2" xfId="9663"/>
    <cellStyle name="Normal 15 3 2 3 5 2 2" xfId="9664"/>
    <cellStyle name="Normal 15 3 2 3 5 3" xfId="9665"/>
    <cellStyle name="Normal 15 3 2 3 6" xfId="9666"/>
    <cellStyle name="Normal 15 3 2 3 6 2" xfId="9667"/>
    <cellStyle name="Normal 15 3 2 3 7" xfId="9668"/>
    <cellStyle name="Normal 15 3 2 4" xfId="9669"/>
    <cellStyle name="Normal 15 3 2 4 2" xfId="9670"/>
    <cellStyle name="Normal 15 3 2 4 2 2" xfId="9671"/>
    <cellStyle name="Normal 15 3 2 4 2 2 2" xfId="9672"/>
    <cellStyle name="Normal 15 3 2 4 2 2 2 2" xfId="9673"/>
    <cellStyle name="Normal 15 3 2 4 2 2 3" xfId="9674"/>
    <cellStyle name="Normal 15 3 2 4 2 3" xfId="9675"/>
    <cellStyle name="Normal 15 3 2 4 2 3 2" xfId="9676"/>
    <cellStyle name="Normal 15 3 2 4 2 4" xfId="9677"/>
    <cellStyle name="Normal 15 3 2 4 3" xfId="9678"/>
    <cellStyle name="Normal 15 3 2 4 3 2" xfId="9679"/>
    <cellStyle name="Normal 15 3 2 4 3 2 2" xfId="9680"/>
    <cellStyle name="Normal 15 3 2 4 3 2 2 2" xfId="9681"/>
    <cellStyle name="Normal 15 3 2 4 3 2 3" xfId="9682"/>
    <cellStyle name="Normal 15 3 2 4 3 3" xfId="9683"/>
    <cellStyle name="Normal 15 3 2 4 3 3 2" xfId="9684"/>
    <cellStyle name="Normal 15 3 2 4 3 4" xfId="9685"/>
    <cellStyle name="Normal 15 3 2 4 4" xfId="9686"/>
    <cellStyle name="Normal 15 3 2 4 4 2" xfId="9687"/>
    <cellStyle name="Normal 15 3 2 4 4 2 2" xfId="9688"/>
    <cellStyle name="Normal 15 3 2 4 4 3" xfId="9689"/>
    <cellStyle name="Normal 15 3 2 4 5" xfId="9690"/>
    <cellStyle name="Normal 15 3 2 4 5 2" xfId="9691"/>
    <cellStyle name="Normal 15 3 2 4 6" xfId="9692"/>
    <cellStyle name="Normal 15 3 2 5" xfId="9693"/>
    <cellStyle name="Normal 15 3 2 5 2" xfId="9694"/>
    <cellStyle name="Normal 15 3 2 5 2 2" xfId="9695"/>
    <cellStyle name="Normal 15 3 2 5 2 2 2" xfId="9696"/>
    <cellStyle name="Normal 15 3 2 5 2 3" xfId="9697"/>
    <cellStyle name="Normal 15 3 2 5 3" xfId="9698"/>
    <cellStyle name="Normal 15 3 2 5 3 2" xfId="9699"/>
    <cellStyle name="Normal 15 3 2 5 4" xfId="9700"/>
    <cellStyle name="Normal 15 3 2 6" xfId="9701"/>
    <cellStyle name="Normal 15 3 2 6 2" xfId="9702"/>
    <cellStyle name="Normal 15 3 2 6 2 2" xfId="9703"/>
    <cellStyle name="Normal 15 3 2 6 2 2 2" xfId="9704"/>
    <cellStyle name="Normal 15 3 2 6 2 3" xfId="9705"/>
    <cellStyle name="Normal 15 3 2 6 3" xfId="9706"/>
    <cellStyle name="Normal 15 3 2 6 3 2" xfId="9707"/>
    <cellStyle name="Normal 15 3 2 6 4" xfId="9708"/>
    <cellStyle name="Normal 15 3 2 7" xfId="9709"/>
    <cellStyle name="Normal 15 3 2 7 2" xfId="9710"/>
    <cellStyle name="Normal 15 3 2 7 2 2" xfId="9711"/>
    <cellStyle name="Normal 15 3 2 7 2 2 2" xfId="9712"/>
    <cellStyle name="Normal 15 3 2 7 2 3" xfId="9713"/>
    <cellStyle name="Normal 15 3 2 7 3" xfId="9714"/>
    <cellStyle name="Normal 15 3 2 7 3 2" xfId="9715"/>
    <cellStyle name="Normal 15 3 2 7 4" xfId="9716"/>
    <cellStyle name="Normal 15 3 2 8" xfId="9717"/>
    <cellStyle name="Normal 15 3 2 8 2" xfId="9718"/>
    <cellStyle name="Normal 15 3 2 8 2 2" xfId="9719"/>
    <cellStyle name="Normal 15 3 2 8 3" xfId="9720"/>
    <cellStyle name="Normal 15 3 2 9" xfId="9721"/>
    <cellStyle name="Normal 15 3 2 9 2" xfId="9722"/>
    <cellStyle name="Normal 15 3 3" xfId="9723"/>
    <cellStyle name="Normal 15 3 3 2" xfId="9724"/>
    <cellStyle name="Normal 15 3 3 2 2" xfId="9725"/>
    <cellStyle name="Normal 15 3 3 2 2 2" xfId="9726"/>
    <cellStyle name="Normal 15 3 3 2 2 2 2" xfId="9727"/>
    <cellStyle name="Normal 15 3 3 2 2 2 2 2" xfId="9728"/>
    <cellStyle name="Normal 15 3 3 2 2 2 2 2 2" xfId="9729"/>
    <cellStyle name="Normal 15 3 3 2 2 2 2 3" xfId="9730"/>
    <cellStyle name="Normal 15 3 3 2 2 2 3" xfId="9731"/>
    <cellStyle name="Normal 15 3 3 2 2 2 3 2" xfId="9732"/>
    <cellStyle name="Normal 15 3 3 2 2 2 4" xfId="9733"/>
    <cellStyle name="Normal 15 3 3 2 2 3" xfId="9734"/>
    <cellStyle name="Normal 15 3 3 2 2 3 2" xfId="9735"/>
    <cellStyle name="Normal 15 3 3 2 2 3 2 2" xfId="9736"/>
    <cellStyle name="Normal 15 3 3 2 2 3 2 2 2" xfId="9737"/>
    <cellStyle name="Normal 15 3 3 2 2 3 2 3" xfId="9738"/>
    <cellStyle name="Normal 15 3 3 2 2 3 3" xfId="9739"/>
    <cellStyle name="Normal 15 3 3 2 2 3 3 2" xfId="9740"/>
    <cellStyle name="Normal 15 3 3 2 2 3 4" xfId="9741"/>
    <cellStyle name="Normal 15 3 3 2 2 4" xfId="9742"/>
    <cellStyle name="Normal 15 3 3 2 2 4 2" xfId="9743"/>
    <cellStyle name="Normal 15 3 3 2 2 4 2 2" xfId="9744"/>
    <cellStyle name="Normal 15 3 3 2 2 4 3" xfId="9745"/>
    <cellStyle name="Normal 15 3 3 2 2 5" xfId="9746"/>
    <cellStyle name="Normal 15 3 3 2 2 5 2" xfId="9747"/>
    <cellStyle name="Normal 15 3 3 2 2 6" xfId="9748"/>
    <cellStyle name="Normal 15 3 3 2 3" xfId="9749"/>
    <cellStyle name="Normal 15 3 3 2 3 2" xfId="9750"/>
    <cellStyle name="Normal 15 3 3 2 3 2 2" xfId="9751"/>
    <cellStyle name="Normal 15 3 3 2 3 2 2 2" xfId="9752"/>
    <cellStyle name="Normal 15 3 3 2 3 2 3" xfId="9753"/>
    <cellStyle name="Normal 15 3 3 2 3 3" xfId="9754"/>
    <cellStyle name="Normal 15 3 3 2 3 3 2" xfId="9755"/>
    <cellStyle name="Normal 15 3 3 2 3 4" xfId="9756"/>
    <cellStyle name="Normal 15 3 3 2 4" xfId="9757"/>
    <cellStyle name="Normal 15 3 3 2 4 2" xfId="9758"/>
    <cellStyle name="Normal 15 3 3 2 4 2 2" xfId="9759"/>
    <cellStyle name="Normal 15 3 3 2 4 2 2 2" xfId="9760"/>
    <cellStyle name="Normal 15 3 3 2 4 2 3" xfId="9761"/>
    <cellStyle name="Normal 15 3 3 2 4 3" xfId="9762"/>
    <cellStyle name="Normal 15 3 3 2 4 3 2" xfId="9763"/>
    <cellStyle name="Normal 15 3 3 2 4 4" xfId="9764"/>
    <cellStyle name="Normal 15 3 3 2 5" xfId="9765"/>
    <cellStyle name="Normal 15 3 3 2 5 2" xfId="9766"/>
    <cellStyle name="Normal 15 3 3 2 5 2 2" xfId="9767"/>
    <cellStyle name="Normal 15 3 3 2 5 3" xfId="9768"/>
    <cellStyle name="Normal 15 3 3 2 6" xfId="9769"/>
    <cellStyle name="Normal 15 3 3 2 6 2" xfId="9770"/>
    <cellStyle name="Normal 15 3 3 2 7" xfId="9771"/>
    <cellStyle name="Normal 15 3 3 3" xfId="9772"/>
    <cellStyle name="Normal 15 3 3 3 2" xfId="9773"/>
    <cellStyle name="Normal 15 3 3 3 2 2" xfId="9774"/>
    <cellStyle name="Normal 15 3 3 3 2 2 2" xfId="9775"/>
    <cellStyle name="Normal 15 3 3 3 2 2 2 2" xfId="9776"/>
    <cellStyle name="Normal 15 3 3 3 2 2 3" xfId="9777"/>
    <cellStyle name="Normal 15 3 3 3 2 3" xfId="9778"/>
    <cellStyle name="Normal 15 3 3 3 2 3 2" xfId="9779"/>
    <cellStyle name="Normal 15 3 3 3 2 4" xfId="9780"/>
    <cellStyle name="Normal 15 3 3 3 3" xfId="9781"/>
    <cellStyle name="Normal 15 3 3 3 3 2" xfId="9782"/>
    <cellStyle name="Normal 15 3 3 3 3 2 2" xfId="9783"/>
    <cellStyle name="Normal 15 3 3 3 3 2 2 2" xfId="9784"/>
    <cellStyle name="Normal 15 3 3 3 3 2 3" xfId="9785"/>
    <cellStyle name="Normal 15 3 3 3 3 3" xfId="9786"/>
    <cellStyle name="Normal 15 3 3 3 3 3 2" xfId="9787"/>
    <cellStyle name="Normal 15 3 3 3 3 4" xfId="9788"/>
    <cellStyle name="Normal 15 3 3 3 4" xfId="9789"/>
    <cellStyle name="Normal 15 3 3 3 4 2" xfId="9790"/>
    <cellStyle name="Normal 15 3 3 3 4 2 2" xfId="9791"/>
    <cellStyle name="Normal 15 3 3 3 4 3" xfId="9792"/>
    <cellStyle name="Normal 15 3 3 3 5" xfId="9793"/>
    <cellStyle name="Normal 15 3 3 3 5 2" xfId="9794"/>
    <cellStyle name="Normal 15 3 3 3 6" xfId="9795"/>
    <cellStyle name="Normal 15 3 3 4" xfId="9796"/>
    <cellStyle name="Normal 15 3 3 4 2" xfId="9797"/>
    <cellStyle name="Normal 15 3 3 4 2 2" xfId="9798"/>
    <cellStyle name="Normal 15 3 3 4 2 2 2" xfId="9799"/>
    <cellStyle name="Normal 15 3 3 4 2 3" xfId="9800"/>
    <cellStyle name="Normal 15 3 3 4 3" xfId="9801"/>
    <cellStyle name="Normal 15 3 3 4 3 2" xfId="9802"/>
    <cellStyle name="Normal 15 3 3 4 4" xfId="9803"/>
    <cellStyle name="Normal 15 3 3 5" xfId="9804"/>
    <cellStyle name="Normal 15 3 3 5 2" xfId="9805"/>
    <cellStyle name="Normal 15 3 3 5 2 2" xfId="9806"/>
    <cellStyle name="Normal 15 3 3 5 2 2 2" xfId="9807"/>
    <cellStyle name="Normal 15 3 3 5 2 3" xfId="9808"/>
    <cellStyle name="Normal 15 3 3 5 3" xfId="9809"/>
    <cellStyle name="Normal 15 3 3 5 3 2" xfId="9810"/>
    <cellStyle name="Normal 15 3 3 5 4" xfId="9811"/>
    <cellStyle name="Normal 15 3 3 6" xfId="9812"/>
    <cellStyle name="Normal 15 3 3 6 2" xfId="9813"/>
    <cellStyle name="Normal 15 3 3 6 2 2" xfId="9814"/>
    <cellStyle name="Normal 15 3 3 6 2 2 2" xfId="9815"/>
    <cellStyle name="Normal 15 3 3 6 2 3" xfId="9816"/>
    <cellStyle name="Normal 15 3 3 6 3" xfId="9817"/>
    <cellStyle name="Normal 15 3 3 6 3 2" xfId="9818"/>
    <cellStyle name="Normal 15 3 3 6 4" xfId="9819"/>
    <cellStyle name="Normal 15 3 3 7" xfId="9820"/>
    <cellStyle name="Normal 15 3 3 7 2" xfId="9821"/>
    <cellStyle name="Normal 15 3 3 7 2 2" xfId="9822"/>
    <cellStyle name="Normal 15 3 3 7 3" xfId="9823"/>
    <cellStyle name="Normal 15 3 3 8" xfId="9824"/>
    <cellStyle name="Normal 15 3 3 8 2" xfId="9825"/>
    <cellStyle name="Normal 15 3 3 9" xfId="9826"/>
    <cellStyle name="Normal 15 3 4" xfId="9827"/>
    <cellStyle name="Normal 15 3 4 2" xfId="9828"/>
    <cellStyle name="Normal 15 3 4 2 2" xfId="9829"/>
    <cellStyle name="Normal 15 3 4 2 2 2" xfId="9830"/>
    <cellStyle name="Normal 15 3 4 2 2 2 2" xfId="9831"/>
    <cellStyle name="Normal 15 3 4 2 2 2 2 2" xfId="9832"/>
    <cellStyle name="Normal 15 3 4 2 2 2 3" xfId="9833"/>
    <cellStyle name="Normal 15 3 4 2 2 3" xfId="9834"/>
    <cellStyle name="Normal 15 3 4 2 2 3 2" xfId="9835"/>
    <cellStyle name="Normal 15 3 4 2 2 4" xfId="9836"/>
    <cellStyle name="Normal 15 3 4 2 3" xfId="9837"/>
    <cellStyle name="Normal 15 3 4 2 3 2" xfId="9838"/>
    <cellStyle name="Normal 15 3 4 2 3 2 2" xfId="9839"/>
    <cellStyle name="Normal 15 3 4 2 3 2 2 2" xfId="9840"/>
    <cellStyle name="Normal 15 3 4 2 3 2 3" xfId="9841"/>
    <cellStyle name="Normal 15 3 4 2 3 3" xfId="9842"/>
    <cellStyle name="Normal 15 3 4 2 3 3 2" xfId="9843"/>
    <cellStyle name="Normal 15 3 4 2 3 4" xfId="9844"/>
    <cellStyle name="Normal 15 3 4 2 4" xfId="9845"/>
    <cellStyle name="Normal 15 3 4 2 4 2" xfId="9846"/>
    <cellStyle name="Normal 15 3 4 2 4 2 2" xfId="9847"/>
    <cellStyle name="Normal 15 3 4 2 4 3" xfId="9848"/>
    <cellStyle name="Normal 15 3 4 2 5" xfId="9849"/>
    <cellStyle name="Normal 15 3 4 2 5 2" xfId="9850"/>
    <cellStyle name="Normal 15 3 4 2 6" xfId="9851"/>
    <cellStyle name="Normal 15 3 4 3" xfId="9852"/>
    <cellStyle name="Normal 15 3 4 3 2" xfId="9853"/>
    <cellStyle name="Normal 15 3 4 3 2 2" xfId="9854"/>
    <cellStyle name="Normal 15 3 4 3 2 2 2" xfId="9855"/>
    <cellStyle name="Normal 15 3 4 3 2 3" xfId="9856"/>
    <cellStyle name="Normal 15 3 4 3 3" xfId="9857"/>
    <cellStyle name="Normal 15 3 4 3 3 2" xfId="9858"/>
    <cellStyle name="Normal 15 3 4 3 4" xfId="9859"/>
    <cellStyle name="Normal 15 3 4 4" xfId="9860"/>
    <cellStyle name="Normal 15 3 4 4 2" xfId="9861"/>
    <cellStyle name="Normal 15 3 4 4 2 2" xfId="9862"/>
    <cellStyle name="Normal 15 3 4 4 2 2 2" xfId="9863"/>
    <cellStyle name="Normal 15 3 4 4 2 3" xfId="9864"/>
    <cellStyle name="Normal 15 3 4 4 3" xfId="9865"/>
    <cellStyle name="Normal 15 3 4 4 3 2" xfId="9866"/>
    <cellStyle name="Normal 15 3 4 4 4" xfId="9867"/>
    <cellStyle name="Normal 15 3 4 5" xfId="9868"/>
    <cellStyle name="Normal 15 3 4 5 2" xfId="9869"/>
    <cellStyle name="Normal 15 3 4 5 2 2" xfId="9870"/>
    <cellStyle name="Normal 15 3 4 5 3" xfId="9871"/>
    <cellStyle name="Normal 15 3 4 6" xfId="9872"/>
    <cellStyle name="Normal 15 3 4 6 2" xfId="9873"/>
    <cellStyle name="Normal 15 3 4 7" xfId="9874"/>
    <cellStyle name="Normal 15 3 5" xfId="9875"/>
    <cellStyle name="Normal 15 3 5 2" xfId="9876"/>
    <cellStyle name="Normal 15 3 5 2 2" xfId="9877"/>
    <cellStyle name="Normal 15 3 5 2 2 2" xfId="9878"/>
    <cellStyle name="Normal 15 3 5 2 2 2 2" xfId="9879"/>
    <cellStyle name="Normal 15 3 5 2 2 3" xfId="9880"/>
    <cellStyle name="Normal 15 3 5 2 3" xfId="9881"/>
    <cellStyle name="Normal 15 3 5 2 3 2" xfId="9882"/>
    <cellStyle name="Normal 15 3 5 2 4" xfId="9883"/>
    <cellStyle name="Normal 15 3 5 3" xfId="9884"/>
    <cellStyle name="Normal 15 3 5 3 2" xfId="9885"/>
    <cellStyle name="Normal 15 3 5 3 2 2" xfId="9886"/>
    <cellStyle name="Normal 15 3 5 3 2 2 2" xfId="9887"/>
    <cellStyle name="Normal 15 3 5 3 2 3" xfId="9888"/>
    <cellStyle name="Normal 15 3 5 3 3" xfId="9889"/>
    <cellStyle name="Normal 15 3 5 3 3 2" xfId="9890"/>
    <cellStyle name="Normal 15 3 5 3 4" xfId="9891"/>
    <cellStyle name="Normal 15 3 5 4" xfId="9892"/>
    <cellStyle name="Normal 15 3 5 4 2" xfId="9893"/>
    <cellStyle name="Normal 15 3 5 4 2 2" xfId="9894"/>
    <cellStyle name="Normal 15 3 5 4 3" xfId="9895"/>
    <cellStyle name="Normal 15 3 5 5" xfId="9896"/>
    <cellStyle name="Normal 15 3 5 5 2" xfId="9897"/>
    <cellStyle name="Normal 15 3 5 6" xfId="9898"/>
    <cellStyle name="Normal 15 3 6" xfId="9899"/>
    <cellStyle name="Normal 15 3 6 2" xfId="9900"/>
    <cellStyle name="Normal 15 3 6 2 2" xfId="9901"/>
    <cellStyle name="Normal 15 3 6 2 2 2" xfId="9902"/>
    <cellStyle name="Normal 15 3 6 2 3" xfId="9903"/>
    <cellStyle name="Normal 15 3 6 3" xfId="9904"/>
    <cellStyle name="Normal 15 3 6 3 2" xfId="9905"/>
    <cellStyle name="Normal 15 3 6 4" xfId="9906"/>
    <cellStyle name="Normal 15 3 7" xfId="9907"/>
    <cellStyle name="Normal 15 3 7 2" xfId="9908"/>
    <cellStyle name="Normal 15 3 7 2 2" xfId="9909"/>
    <cellStyle name="Normal 15 3 7 2 2 2" xfId="9910"/>
    <cellStyle name="Normal 15 3 7 2 3" xfId="9911"/>
    <cellStyle name="Normal 15 3 7 3" xfId="9912"/>
    <cellStyle name="Normal 15 3 7 3 2" xfId="9913"/>
    <cellStyle name="Normal 15 3 7 4" xfId="9914"/>
    <cellStyle name="Normal 15 3 8" xfId="9915"/>
    <cellStyle name="Normal 15 3 8 2" xfId="9916"/>
    <cellStyle name="Normal 15 3 8 2 2" xfId="9917"/>
    <cellStyle name="Normal 15 3 8 2 2 2" xfId="9918"/>
    <cellStyle name="Normal 15 3 8 2 3" xfId="9919"/>
    <cellStyle name="Normal 15 3 8 3" xfId="9920"/>
    <cellStyle name="Normal 15 3 8 3 2" xfId="9921"/>
    <cellStyle name="Normal 15 3 8 4" xfId="9922"/>
    <cellStyle name="Normal 15 3 9" xfId="9923"/>
    <cellStyle name="Normal 15 3 9 2" xfId="9924"/>
    <cellStyle name="Normal 15 3 9 2 2" xfId="9925"/>
    <cellStyle name="Normal 15 3 9 3" xfId="9926"/>
    <cellStyle name="Normal 15 4" xfId="9927"/>
    <cellStyle name="Normal 15 4 10" xfId="9928"/>
    <cellStyle name="Normal 15 4 2" xfId="9929"/>
    <cellStyle name="Normal 15 4 2 2" xfId="9930"/>
    <cellStyle name="Normal 15 4 2 2 2" xfId="9931"/>
    <cellStyle name="Normal 15 4 2 2 2 2" xfId="9932"/>
    <cellStyle name="Normal 15 4 2 2 2 2 2" xfId="9933"/>
    <cellStyle name="Normal 15 4 2 2 2 2 2 2" xfId="9934"/>
    <cellStyle name="Normal 15 4 2 2 2 2 2 2 2" xfId="9935"/>
    <cellStyle name="Normal 15 4 2 2 2 2 2 3" xfId="9936"/>
    <cellStyle name="Normal 15 4 2 2 2 2 3" xfId="9937"/>
    <cellStyle name="Normal 15 4 2 2 2 2 3 2" xfId="9938"/>
    <cellStyle name="Normal 15 4 2 2 2 2 4" xfId="9939"/>
    <cellStyle name="Normal 15 4 2 2 2 3" xfId="9940"/>
    <cellStyle name="Normal 15 4 2 2 2 3 2" xfId="9941"/>
    <cellStyle name="Normal 15 4 2 2 2 3 2 2" xfId="9942"/>
    <cellStyle name="Normal 15 4 2 2 2 3 2 2 2" xfId="9943"/>
    <cellStyle name="Normal 15 4 2 2 2 3 2 3" xfId="9944"/>
    <cellStyle name="Normal 15 4 2 2 2 3 3" xfId="9945"/>
    <cellStyle name="Normal 15 4 2 2 2 3 3 2" xfId="9946"/>
    <cellStyle name="Normal 15 4 2 2 2 3 4" xfId="9947"/>
    <cellStyle name="Normal 15 4 2 2 2 4" xfId="9948"/>
    <cellStyle name="Normal 15 4 2 2 2 4 2" xfId="9949"/>
    <cellStyle name="Normal 15 4 2 2 2 4 2 2" xfId="9950"/>
    <cellStyle name="Normal 15 4 2 2 2 4 3" xfId="9951"/>
    <cellStyle name="Normal 15 4 2 2 2 5" xfId="9952"/>
    <cellStyle name="Normal 15 4 2 2 2 5 2" xfId="9953"/>
    <cellStyle name="Normal 15 4 2 2 2 6" xfId="9954"/>
    <cellStyle name="Normal 15 4 2 2 3" xfId="9955"/>
    <cellStyle name="Normal 15 4 2 2 3 2" xfId="9956"/>
    <cellStyle name="Normal 15 4 2 2 3 2 2" xfId="9957"/>
    <cellStyle name="Normal 15 4 2 2 3 2 2 2" xfId="9958"/>
    <cellStyle name="Normal 15 4 2 2 3 2 3" xfId="9959"/>
    <cellStyle name="Normal 15 4 2 2 3 3" xfId="9960"/>
    <cellStyle name="Normal 15 4 2 2 3 3 2" xfId="9961"/>
    <cellStyle name="Normal 15 4 2 2 3 4" xfId="9962"/>
    <cellStyle name="Normal 15 4 2 2 4" xfId="9963"/>
    <cellStyle name="Normal 15 4 2 2 4 2" xfId="9964"/>
    <cellStyle name="Normal 15 4 2 2 4 2 2" xfId="9965"/>
    <cellStyle name="Normal 15 4 2 2 4 2 2 2" xfId="9966"/>
    <cellStyle name="Normal 15 4 2 2 4 2 3" xfId="9967"/>
    <cellStyle name="Normal 15 4 2 2 4 3" xfId="9968"/>
    <cellStyle name="Normal 15 4 2 2 4 3 2" xfId="9969"/>
    <cellStyle name="Normal 15 4 2 2 4 4" xfId="9970"/>
    <cellStyle name="Normal 15 4 2 2 5" xfId="9971"/>
    <cellStyle name="Normal 15 4 2 2 5 2" xfId="9972"/>
    <cellStyle name="Normal 15 4 2 2 5 2 2" xfId="9973"/>
    <cellStyle name="Normal 15 4 2 2 5 3" xfId="9974"/>
    <cellStyle name="Normal 15 4 2 2 6" xfId="9975"/>
    <cellStyle name="Normal 15 4 2 2 6 2" xfId="9976"/>
    <cellStyle name="Normal 15 4 2 2 7" xfId="9977"/>
    <cellStyle name="Normal 15 4 2 3" xfId="9978"/>
    <cellStyle name="Normal 15 4 2 3 2" xfId="9979"/>
    <cellStyle name="Normal 15 4 2 3 2 2" xfId="9980"/>
    <cellStyle name="Normal 15 4 2 3 2 2 2" xfId="9981"/>
    <cellStyle name="Normal 15 4 2 3 2 2 2 2" xfId="9982"/>
    <cellStyle name="Normal 15 4 2 3 2 2 3" xfId="9983"/>
    <cellStyle name="Normal 15 4 2 3 2 3" xfId="9984"/>
    <cellStyle name="Normal 15 4 2 3 2 3 2" xfId="9985"/>
    <cellStyle name="Normal 15 4 2 3 2 4" xfId="9986"/>
    <cellStyle name="Normal 15 4 2 3 3" xfId="9987"/>
    <cellStyle name="Normal 15 4 2 3 3 2" xfId="9988"/>
    <cellStyle name="Normal 15 4 2 3 3 2 2" xfId="9989"/>
    <cellStyle name="Normal 15 4 2 3 3 2 2 2" xfId="9990"/>
    <cellStyle name="Normal 15 4 2 3 3 2 3" xfId="9991"/>
    <cellStyle name="Normal 15 4 2 3 3 3" xfId="9992"/>
    <cellStyle name="Normal 15 4 2 3 3 3 2" xfId="9993"/>
    <cellStyle name="Normal 15 4 2 3 3 4" xfId="9994"/>
    <cellStyle name="Normal 15 4 2 3 4" xfId="9995"/>
    <cellStyle name="Normal 15 4 2 3 4 2" xfId="9996"/>
    <cellStyle name="Normal 15 4 2 3 4 2 2" xfId="9997"/>
    <cellStyle name="Normal 15 4 2 3 4 3" xfId="9998"/>
    <cellStyle name="Normal 15 4 2 3 5" xfId="9999"/>
    <cellStyle name="Normal 15 4 2 3 5 2" xfId="10000"/>
    <cellStyle name="Normal 15 4 2 3 6" xfId="10001"/>
    <cellStyle name="Normal 15 4 2 4" xfId="10002"/>
    <cellStyle name="Normal 15 4 2 4 2" xfId="10003"/>
    <cellStyle name="Normal 15 4 2 4 2 2" xfId="10004"/>
    <cellStyle name="Normal 15 4 2 4 2 2 2" xfId="10005"/>
    <cellStyle name="Normal 15 4 2 4 2 3" xfId="10006"/>
    <cellStyle name="Normal 15 4 2 4 3" xfId="10007"/>
    <cellStyle name="Normal 15 4 2 4 3 2" xfId="10008"/>
    <cellStyle name="Normal 15 4 2 4 4" xfId="10009"/>
    <cellStyle name="Normal 15 4 2 5" xfId="10010"/>
    <cellStyle name="Normal 15 4 2 5 2" xfId="10011"/>
    <cellStyle name="Normal 15 4 2 5 2 2" xfId="10012"/>
    <cellStyle name="Normal 15 4 2 5 2 2 2" xfId="10013"/>
    <cellStyle name="Normal 15 4 2 5 2 3" xfId="10014"/>
    <cellStyle name="Normal 15 4 2 5 3" xfId="10015"/>
    <cellStyle name="Normal 15 4 2 5 3 2" xfId="10016"/>
    <cellStyle name="Normal 15 4 2 5 4" xfId="10017"/>
    <cellStyle name="Normal 15 4 2 6" xfId="10018"/>
    <cellStyle name="Normal 15 4 2 6 2" xfId="10019"/>
    <cellStyle name="Normal 15 4 2 6 2 2" xfId="10020"/>
    <cellStyle name="Normal 15 4 2 6 2 2 2" xfId="10021"/>
    <cellStyle name="Normal 15 4 2 6 2 3" xfId="10022"/>
    <cellStyle name="Normal 15 4 2 6 3" xfId="10023"/>
    <cellStyle name="Normal 15 4 2 6 3 2" xfId="10024"/>
    <cellStyle name="Normal 15 4 2 6 4" xfId="10025"/>
    <cellStyle name="Normal 15 4 2 7" xfId="10026"/>
    <cellStyle name="Normal 15 4 2 7 2" xfId="10027"/>
    <cellStyle name="Normal 15 4 2 7 2 2" xfId="10028"/>
    <cellStyle name="Normal 15 4 2 7 3" xfId="10029"/>
    <cellStyle name="Normal 15 4 2 8" xfId="10030"/>
    <cellStyle name="Normal 15 4 2 8 2" xfId="10031"/>
    <cellStyle name="Normal 15 4 2 9" xfId="10032"/>
    <cellStyle name="Normal 15 4 3" xfId="10033"/>
    <cellStyle name="Normal 15 4 3 2" xfId="10034"/>
    <cellStyle name="Normal 15 4 3 2 2" xfId="10035"/>
    <cellStyle name="Normal 15 4 3 2 2 2" xfId="10036"/>
    <cellStyle name="Normal 15 4 3 2 2 2 2" xfId="10037"/>
    <cellStyle name="Normal 15 4 3 2 2 2 2 2" xfId="10038"/>
    <cellStyle name="Normal 15 4 3 2 2 2 3" xfId="10039"/>
    <cellStyle name="Normal 15 4 3 2 2 3" xfId="10040"/>
    <cellStyle name="Normal 15 4 3 2 2 3 2" xfId="10041"/>
    <cellStyle name="Normal 15 4 3 2 2 4" xfId="10042"/>
    <cellStyle name="Normal 15 4 3 2 3" xfId="10043"/>
    <cellStyle name="Normal 15 4 3 2 3 2" xfId="10044"/>
    <cellStyle name="Normal 15 4 3 2 3 2 2" xfId="10045"/>
    <cellStyle name="Normal 15 4 3 2 3 2 2 2" xfId="10046"/>
    <cellStyle name="Normal 15 4 3 2 3 2 3" xfId="10047"/>
    <cellStyle name="Normal 15 4 3 2 3 3" xfId="10048"/>
    <cellStyle name="Normal 15 4 3 2 3 3 2" xfId="10049"/>
    <cellStyle name="Normal 15 4 3 2 3 4" xfId="10050"/>
    <cellStyle name="Normal 15 4 3 2 4" xfId="10051"/>
    <cellStyle name="Normal 15 4 3 2 4 2" xfId="10052"/>
    <cellStyle name="Normal 15 4 3 2 4 2 2" xfId="10053"/>
    <cellStyle name="Normal 15 4 3 2 4 3" xfId="10054"/>
    <cellStyle name="Normal 15 4 3 2 5" xfId="10055"/>
    <cellStyle name="Normal 15 4 3 2 5 2" xfId="10056"/>
    <cellStyle name="Normal 15 4 3 2 6" xfId="10057"/>
    <cellStyle name="Normal 15 4 3 3" xfId="10058"/>
    <cellStyle name="Normal 15 4 3 3 2" xfId="10059"/>
    <cellStyle name="Normal 15 4 3 3 2 2" xfId="10060"/>
    <cellStyle name="Normal 15 4 3 3 2 2 2" xfId="10061"/>
    <cellStyle name="Normal 15 4 3 3 2 3" xfId="10062"/>
    <cellStyle name="Normal 15 4 3 3 3" xfId="10063"/>
    <cellStyle name="Normal 15 4 3 3 3 2" xfId="10064"/>
    <cellStyle name="Normal 15 4 3 3 4" xfId="10065"/>
    <cellStyle name="Normal 15 4 3 4" xfId="10066"/>
    <cellStyle name="Normal 15 4 3 4 2" xfId="10067"/>
    <cellStyle name="Normal 15 4 3 4 2 2" xfId="10068"/>
    <cellStyle name="Normal 15 4 3 4 2 2 2" xfId="10069"/>
    <cellStyle name="Normal 15 4 3 4 2 3" xfId="10070"/>
    <cellStyle name="Normal 15 4 3 4 3" xfId="10071"/>
    <cellStyle name="Normal 15 4 3 4 3 2" xfId="10072"/>
    <cellStyle name="Normal 15 4 3 4 4" xfId="10073"/>
    <cellStyle name="Normal 15 4 3 5" xfId="10074"/>
    <cellStyle name="Normal 15 4 3 5 2" xfId="10075"/>
    <cellStyle name="Normal 15 4 3 5 2 2" xfId="10076"/>
    <cellStyle name="Normal 15 4 3 5 3" xfId="10077"/>
    <cellStyle name="Normal 15 4 3 6" xfId="10078"/>
    <cellStyle name="Normal 15 4 3 6 2" xfId="10079"/>
    <cellStyle name="Normal 15 4 3 7" xfId="10080"/>
    <cellStyle name="Normal 15 4 4" xfId="10081"/>
    <cellStyle name="Normal 15 4 4 2" xfId="10082"/>
    <cellStyle name="Normal 15 4 4 2 2" xfId="10083"/>
    <cellStyle name="Normal 15 4 4 2 2 2" xfId="10084"/>
    <cellStyle name="Normal 15 4 4 2 2 2 2" xfId="10085"/>
    <cellStyle name="Normal 15 4 4 2 2 3" xfId="10086"/>
    <cellStyle name="Normal 15 4 4 2 3" xfId="10087"/>
    <cellStyle name="Normal 15 4 4 2 3 2" xfId="10088"/>
    <cellStyle name="Normal 15 4 4 2 4" xfId="10089"/>
    <cellStyle name="Normal 15 4 4 3" xfId="10090"/>
    <cellStyle name="Normal 15 4 4 3 2" xfId="10091"/>
    <cellStyle name="Normal 15 4 4 3 2 2" xfId="10092"/>
    <cellStyle name="Normal 15 4 4 3 2 2 2" xfId="10093"/>
    <cellStyle name="Normal 15 4 4 3 2 3" xfId="10094"/>
    <cellStyle name="Normal 15 4 4 3 3" xfId="10095"/>
    <cellStyle name="Normal 15 4 4 3 3 2" xfId="10096"/>
    <cellStyle name="Normal 15 4 4 3 4" xfId="10097"/>
    <cellStyle name="Normal 15 4 4 4" xfId="10098"/>
    <cellStyle name="Normal 15 4 4 4 2" xfId="10099"/>
    <cellStyle name="Normal 15 4 4 4 2 2" xfId="10100"/>
    <cellStyle name="Normal 15 4 4 4 3" xfId="10101"/>
    <cellStyle name="Normal 15 4 4 5" xfId="10102"/>
    <cellStyle name="Normal 15 4 4 5 2" xfId="10103"/>
    <cellStyle name="Normal 15 4 4 6" xfId="10104"/>
    <cellStyle name="Normal 15 4 5" xfId="10105"/>
    <cellStyle name="Normal 15 4 5 2" xfId="10106"/>
    <cellStyle name="Normal 15 4 5 2 2" xfId="10107"/>
    <cellStyle name="Normal 15 4 5 2 2 2" xfId="10108"/>
    <cellStyle name="Normal 15 4 5 2 3" xfId="10109"/>
    <cellStyle name="Normal 15 4 5 3" xfId="10110"/>
    <cellStyle name="Normal 15 4 5 3 2" xfId="10111"/>
    <cellStyle name="Normal 15 4 5 4" xfId="10112"/>
    <cellStyle name="Normal 15 4 6" xfId="10113"/>
    <cellStyle name="Normal 15 4 6 2" xfId="10114"/>
    <cellStyle name="Normal 15 4 6 2 2" xfId="10115"/>
    <cellStyle name="Normal 15 4 6 2 2 2" xfId="10116"/>
    <cellStyle name="Normal 15 4 6 2 3" xfId="10117"/>
    <cellStyle name="Normal 15 4 6 3" xfId="10118"/>
    <cellStyle name="Normal 15 4 6 3 2" xfId="10119"/>
    <cellStyle name="Normal 15 4 6 4" xfId="10120"/>
    <cellStyle name="Normal 15 4 7" xfId="10121"/>
    <cellStyle name="Normal 15 4 7 2" xfId="10122"/>
    <cellStyle name="Normal 15 4 7 2 2" xfId="10123"/>
    <cellStyle name="Normal 15 4 7 2 2 2" xfId="10124"/>
    <cellStyle name="Normal 15 4 7 2 3" xfId="10125"/>
    <cellStyle name="Normal 15 4 7 3" xfId="10126"/>
    <cellStyle name="Normal 15 4 7 3 2" xfId="10127"/>
    <cellStyle name="Normal 15 4 7 4" xfId="10128"/>
    <cellStyle name="Normal 15 4 8" xfId="10129"/>
    <cellStyle name="Normal 15 4 8 2" xfId="10130"/>
    <cellStyle name="Normal 15 4 8 2 2" xfId="10131"/>
    <cellStyle name="Normal 15 4 8 3" xfId="10132"/>
    <cellStyle name="Normal 15 4 9" xfId="10133"/>
    <cellStyle name="Normal 15 4 9 2" xfId="10134"/>
    <cellStyle name="Normal 15 5" xfId="10135"/>
    <cellStyle name="Normal 15 5 10" xfId="10136"/>
    <cellStyle name="Normal 15 5 2" xfId="10137"/>
    <cellStyle name="Normal 15 5 2 2" xfId="10138"/>
    <cellStyle name="Normal 15 5 2 2 2" xfId="10139"/>
    <cellStyle name="Normal 15 5 2 2 2 2" xfId="10140"/>
    <cellStyle name="Normal 15 5 2 2 2 2 2" xfId="10141"/>
    <cellStyle name="Normal 15 5 2 2 2 2 2 2" xfId="10142"/>
    <cellStyle name="Normal 15 5 2 2 2 2 2 2 2" xfId="10143"/>
    <cellStyle name="Normal 15 5 2 2 2 2 2 3" xfId="10144"/>
    <cellStyle name="Normal 15 5 2 2 2 2 3" xfId="10145"/>
    <cellStyle name="Normal 15 5 2 2 2 2 3 2" xfId="10146"/>
    <cellStyle name="Normal 15 5 2 2 2 2 4" xfId="10147"/>
    <cellStyle name="Normal 15 5 2 2 2 3" xfId="10148"/>
    <cellStyle name="Normal 15 5 2 2 2 3 2" xfId="10149"/>
    <cellStyle name="Normal 15 5 2 2 2 3 2 2" xfId="10150"/>
    <cellStyle name="Normal 15 5 2 2 2 3 2 2 2" xfId="10151"/>
    <cellStyle name="Normal 15 5 2 2 2 3 2 3" xfId="10152"/>
    <cellStyle name="Normal 15 5 2 2 2 3 3" xfId="10153"/>
    <cellStyle name="Normal 15 5 2 2 2 3 3 2" xfId="10154"/>
    <cellStyle name="Normal 15 5 2 2 2 3 4" xfId="10155"/>
    <cellStyle name="Normal 15 5 2 2 2 4" xfId="10156"/>
    <cellStyle name="Normal 15 5 2 2 2 4 2" xfId="10157"/>
    <cellStyle name="Normal 15 5 2 2 2 4 2 2" xfId="10158"/>
    <cellStyle name="Normal 15 5 2 2 2 4 3" xfId="10159"/>
    <cellStyle name="Normal 15 5 2 2 2 5" xfId="10160"/>
    <cellStyle name="Normal 15 5 2 2 2 5 2" xfId="10161"/>
    <cellStyle name="Normal 15 5 2 2 2 6" xfId="10162"/>
    <cellStyle name="Normal 15 5 2 2 3" xfId="10163"/>
    <cellStyle name="Normal 15 5 2 2 3 2" xfId="10164"/>
    <cellStyle name="Normal 15 5 2 2 3 2 2" xfId="10165"/>
    <cellStyle name="Normal 15 5 2 2 3 2 2 2" xfId="10166"/>
    <cellStyle name="Normal 15 5 2 2 3 2 3" xfId="10167"/>
    <cellStyle name="Normal 15 5 2 2 3 3" xfId="10168"/>
    <cellStyle name="Normal 15 5 2 2 3 3 2" xfId="10169"/>
    <cellStyle name="Normal 15 5 2 2 3 4" xfId="10170"/>
    <cellStyle name="Normal 15 5 2 2 4" xfId="10171"/>
    <cellStyle name="Normal 15 5 2 2 4 2" xfId="10172"/>
    <cellStyle name="Normal 15 5 2 2 4 2 2" xfId="10173"/>
    <cellStyle name="Normal 15 5 2 2 4 2 2 2" xfId="10174"/>
    <cellStyle name="Normal 15 5 2 2 4 2 3" xfId="10175"/>
    <cellStyle name="Normal 15 5 2 2 4 3" xfId="10176"/>
    <cellStyle name="Normal 15 5 2 2 4 3 2" xfId="10177"/>
    <cellStyle name="Normal 15 5 2 2 4 4" xfId="10178"/>
    <cellStyle name="Normal 15 5 2 2 5" xfId="10179"/>
    <cellStyle name="Normal 15 5 2 2 5 2" xfId="10180"/>
    <cellStyle name="Normal 15 5 2 2 5 2 2" xfId="10181"/>
    <cellStyle name="Normal 15 5 2 2 5 3" xfId="10182"/>
    <cellStyle name="Normal 15 5 2 2 6" xfId="10183"/>
    <cellStyle name="Normal 15 5 2 2 6 2" xfId="10184"/>
    <cellStyle name="Normal 15 5 2 2 7" xfId="10185"/>
    <cellStyle name="Normal 15 5 2 3" xfId="10186"/>
    <cellStyle name="Normal 15 5 2 3 2" xfId="10187"/>
    <cellStyle name="Normal 15 5 2 3 2 2" xfId="10188"/>
    <cellStyle name="Normal 15 5 2 3 2 2 2" xfId="10189"/>
    <cellStyle name="Normal 15 5 2 3 2 2 2 2" xfId="10190"/>
    <cellStyle name="Normal 15 5 2 3 2 2 3" xfId="10191"/>
    <cellStyle name="Normal 15 5 2 3 2 3" xfId="10192"/>
    <cellStyle name="Normal 15 5 2 3 2 3 2" xfId="10193"/>
    <cellStyle name="Normal 15 5 2 3 2 4" xfId="10194"/>
    <cellStyle name="Normal 15 5 2 3 3" xfId="10195"/>
    <cellStyle name="Normal 15 5 2 3 3 2" xfId="10196"/>
    <cellStyle name="Normal 15 5 2 3 3 2 2" xfId="10197"/>
    <cellStyle name="Normal 15 5 2 3 3 2 2 2" xfId="10198"/>
    <cellStyle name="Normal 15 5 2 3 3 2 3" xfId="10199"/>
    <cellStyle name="Normal 15 5 2 3 3 3" xfId="10200"/>
    <cellStyle name="Normal 15 5 2 3 3 3 2" xfId="10201"/>
    <cellStyle name="Normal 15 5 2 3 3 4" xfId="10202"/>
    <cellStyle name="Normal 15 5 2 3 4" xfId="10203"/>
    <cellStyle name="Normal 15 5 2 3 4 2" xfId="10204"/>
    <cellStyle name="Normal 15 5 2 3 4 2 2" xfId="10205"/>
    <cellStyle name="Normal 15 5 2 3 4 3" xfId="10206"/>
    <cellStyle name="Normal 15 5 2 3 5" xfId="10207"/>
    <cellStyle name="Normal 15 5 2 3 5 2" xfId="10208"/>
    <cellStyle name="Normal 15 5 2 3 6" xfId="10209"/>
    <cellStyle name="Normal 15 5 2 4" xfId="10210"/>
    <cellStyle name="Normal 15 5 2 4 2" xfId="10211"/>
    <cellStyle name="Normal 15 5 2 4 2 2" xfId="10212"/>
    <cellStyle name="Normal 15 5 2 4 2 2 2" xfId="10213"/>
    <cellStyle name="Normal 15 5 2 4 2 3" xfId="10214"/>
    <cellStyle name="Normal 15 5 2 4 3" xfId="10215"/>
    <cellStyle name="Normal 15 5 2 4 3 2" xfId="10216"/>
    <cellStyle name="Normal 15 5 2 4 4" xfId="10217"/>
    <cellStyle name="Normal 15 5 2 5" xfId="10218"/>
    <cellStyle name="Normal 15 5 2 5 2" xfId="10219"/>
    <cellStyle name="Normal 15 5 2 5 2 2" xfId="10220"/>
    <cellStyle name="Normal 15 5 2 5 2 2 2" xfId="10221"/>
    <cellStyle name="Normal 15 5 2 5 2 3" xfId="10222"/>
    <cellStyle name="Normal 15 5 2 5 3" xfId="10223"/>
    <cellStyle name="Normal 15 5 2 5 3 2" xfId="10224"/>
    <cellStyle name="Normal 15 5 2 5 4" xfId="10225"/>
    <cellStyle name="Normal 15 5 2 6" xfId="10226"/>
    <cellStyle name="Normal 15 5 2 6 2" xfId="10227"/>
    <cellStyle name="Normal 15 5 2 6 2 2" xfId="10228"/>
    <cellStyle name="Normal 15 5 2 6 2 2 2" xfId="10229"/>
    <cellStyle name="Normal 15 5 2 6 2 3" xfId="10230"/>
    <cellStyle name="Normal 15 5 2 6 3" xfId="10231"/>
    <cellStyle name="Normal 15 5 2 6 3 2" xfId="10232"/>
    <cellStyle name="Normal 15 5 2 6 4" xfId="10233"/>
    <cellStyle name="Normal 15 5 2 7" xfId="10234"/>
    <cellStyle name="Normal 15 5 2 7 2" xfId="10235"/>
    <cellStyle name="Normal 15 5 2 7 2 2" xfId="10236"/>
    <cellStyle name="Normal 15 5 2 7 3" xfId="10237"/>
    <cellStyle name="Normal 15 5 2 8" xfId="10238"/>
    <cellStyle name="Normal 15 5 2 8 2" xfId="10239"/>
    <cellStyle name="Normal 15 5 2 9" xfId="10240"/>
    <cellStyle name="Normal 15 5 3" xfId="10241"/>
    <cellStyle name="Normal 15 5 3 2" xfId="10242"/>
    <cellStyle name="Normal 15 5 3 2 2" xfId="10243"/>
    <cellStyle name="Normal 15 5 3 2 2 2" xfId="10244"/>
    <cellStyle name="Normal 15 5 3 2 2 2 2" xfId="10245"/>
    <cellStyle name="Normal 15 5 3 2 2 2 2 2" xfId="10246"/>
    <cellStyle name="Normal 15 5 3 2 2 2 3" xfId="10247"/>
    <cellStyle name="Normal 15 5 3 2 2 3" xfId="10248"/>
    <cellStyle name="Normal 15 5 3 2 2 3 2" xfId="10249"/>
    <cellStyle name="Normal 15 5 3 2 2 4" xfId="10250"/>
    <cellStyle name="Normal 15 5 3 2 3" xfId="10251"/>
    <cellStyle name="Normal 15 5 3 2 3 2" xfId="10252"/>
    <cellStyle name="Normal 15 5 3 2 3 2 2" xfId="10253"/>
    <cellStyle name="Normal 15 5 3 2 3 2 2 2" xfId="10254"/>
    <cellStyle name="Normal 15 5 3 2 3 2 3" xfId="10255"/>
    <cellStyle name="Normal 15 5 3 2 3 3" xfId="10256"/>
    <cellStyle name="Normal 15 5 3 2 3 3 2" xfId="10257"/>
    <cellStyle name="Normal 15 5 3 2 3 4" xfId="10258"/>
    <cellStyle name="Normal 15 5 3 2 4" xfId="10259"/>
    <cellStyle name="Normal 15 5 3 2 4 2" xfId="10260"/>
    <cellStyle name="Normal 15 5 3 2 4 2 2" xfId="10261"/>
    <cellStyle name="Normal 15 5 3 2 4 3" xfId="10262"/>
    <cellStyle name="Normal 15 5 3 2 5" xfId="10263"/>
    <cellStyle name="Normal 15 5 3 2 5 2" xfId="10264"/>
    <cellStyle name="Normal 15 5 3 2 6" xfId="10265"/>
    <cellStyle name="Normal 15 5 3 3" xfId="10266"/>
    <cellStyle name="Normal 15 5 3 3 2" xfId="10267"/>
    <cellStyle name="Normal 15 5 3 3 2 2" xfId="10268"/>
    <cellStyle name="Normal 15 5 3 3 2 2 2" xfId="10269"/>
    <cellStyle name="Normal 15 5 3 3 2 3" xfId="10270"/>
    <cellStyle name="Normal 15 5 3 3 3" xfId="10271"/>
    <cellStyle name="Normal 15 5 3 3 3 2" xfId="10272"/>
    <cellStyle name="Normal 15 5 3 3 4" xfId="10273"/>
    <cellStyle name="Normal 15 5 3 4" xfId="10274"/>
    <cellStyle name="Normal 15 5 3 4 2" xfId="10275"/>
    <cellStyle name="Normal 15 5 3 4 2 2" xfId="10276"/>
    <cellStyle name="Normal 15 5 3 4 2 2 2" xfId="10277"/>
    <cellStyle name="Normal 15 5 3 4 2 3" xfId="10278"/>
    <cellStyle name="Normal 15 5 3 4 3" xfId="10279"/>
    <cellStyle name="Normal 15 5 3 4 3 2" xfId="10280"/>
    <cellStyle name="Normal 15 5 3 4 4" xfId="10281"/>
    <cellStyle name="Normal 15 5 3 5" xfId="10282"/>
    <cellStyle name="Normal 15 5 3 5 2" xfId="10283"/>
    <cellStyle name="Normal 15 5 3 5 2 2" xfId="10284"/>
    <cellStyle name="Normal 15 5 3 5 3" xfId="10285"/>
    <cellStyle name="Normal 15 5 3 6" xfId="10286"/>
    <cellStyle name="Normal 15 5 3 6 2" xfId="10287"/>
    <cellStyle name="Normal 15 5 3 7" xfId="10288"/>
    <cellStyle name="Normal 15 5 4" xfId="10289"/>
    <cellStyle name="Normal 15 5 4 2" xfId="10290"/>
    <cellStyle name="Normal 15 5 4 2 2" xfId="10291"/>
    <cellStyle name="Normal 15 5 4 2 2 2" xfId="10292"/>
    <cellStyle name="Normal 15 5 4 2 2 2 2" xfId="10293"/>
    <cellStyle name="Normal 15 5 4 2 2 3" xfId="10294"/>
    <cellStyle name="Normal 15 5 4 2 3" xfId="10295"/>
    <cellStyle name="Normal 15 5 4 2 3 2" xfId="10296"/>
    <cellStyle name="Normal 15 5 4 2 4" xfId="10297"/>
    <cellStyle name="Normal 15 5 4 3" xfId="10298"/>
    <cellStyle name="Normal 15 5 4 3 2" xfId="10299"/>
    <cellStyle name="Normal 15 5 4 3 2 2" xfId="10300"/>
    <cellStyle name="Normal 15 5 4 3 2 2 2" xfId="10301"/>
    <cellStyle name="Normal 15 5 4 3 2 3" xfId="10302"/>
    <cellStyle name="Normal 15 5 4 3 3" xfId="10303"/>
    <cellStyle name="Normal 15 5 4 3 3 2" xfId="10304"/>
    <cellStyle name="Normal 15 5 4 3 4" xfId="10305"/>
    <cellStyle name="Normal 15 5 4 4" xfId="10306"/>
    <cellStyle name="Normal 15 5 4 4 2" xfId="10307"/>
    <cellStyle name="Normal 15 5 4 4 2 2" xfId="10308"/>
    <cellStyle name="Normal 15 5 4 4 3" xfId="10309"/>
    <cellStyle name="Normal 15 5 4 5" xfId="10310"/>
    <cellStyle name="Normal 15 5 4 5 2" xfId="10311"/>
    <cellStyle name="Normal 15 5 4 6" xfId="10312"/>
    <cellStyle name="Normal 15 5 5" xfId="10313"/>
    <cellStyle name="Normal 15 5 5 2" xfId="10314"/>
    <cellStyle name="Normal 15 5 5 2 2" xfId="10315"/>
    <cellStyle name="Normal 15 5 5 2 2 2" xfId="10316"/>
    <cellStyle name="Normal 15 5 5 2 3" xfId="10317"/>
    <cellStyle name="Normal 15 5 5 3" xfId="10318"/>
    <cellStyle name="Normal 15 5 5 3 2" xfId="10319"/>
    <cellStyle name="Normal 15 5 5 4" xfId="10320"/>
    <cellStyle name="Normal 15 5 6" xfId="10321"/>
    <cellStyle name="Normal 15 5 6 2" xfId="10322"/>
    <cellStyle name="Normal 15 5 6 2 2" xfId="10323"/>
    <cellStyle name="Normal 15 5 6 2 2 2" xfId="10324"/>
    <cellStyle name="Normal 15 5 6 2 3" xfId="10325"/>
    <cellStyle name="Normal 15 5 6 3" xfId="10326"/>
    <cellStyle name="Normal 15 5 6 3 2" xfId="10327"/>
    <cellStyle name="Normal 15 5 6 4" xfId="10328"/>
    <cellStyle name="Normal 15 5 7" xfId="10329"/>
    <cellStyle name="Normal 15 5 7 2" xfId="10330"/>
    <cellStyle name="Normal 15 5 7 2 2" xfId="10331"/>
    <cellStyle name="Normal 15 5 7 2 2 2" xfId="10332"/>
    <cellStyle name="Normal 15 5 7 2 3" xfId="10333"/>
    <cellStyle name="Normal 15 5 7 3" xfId="10334"/>
    <cellStyle name="Normal 15 5 7 3 2" xfId="10335"/>
    <cellStyle name="Normal 15 5 7 4" xfId="10336"/>
    <cellStyle name="Normal 15 5 8" xfId="10337"/>
    <cellStyle name="Normal 15 5 8 2" xfId="10338"/>
    <cellStyle name="Normal 15 5 8 2 2" xfId="10339"/>
    <cellStyle name="Normal 15 5 8 3" xfId="10340"/>
    <cellStyle name="Normal 15 5 9" xfId="10341"/>
    <cellStyle name="Normal 15 5 9 2" xfId="10342"/>
    <cellStyle name="Normal 15 6" xfId="10343"/>
    <cellStyle name="Normal 15 6 2" xfId="10344"/>
    <cellStyle name="Normal 15 6 2 2" xfId="10345"/>
    <cellStyle name="Normal 15 6 2 2 2" xfId="10346"/>
    <cellStyle name="Normal 15 6 2 2 2 2" xfId="10347"/>
    <cellStyle name="Normal 15 6 2 2 2 2 2" xfId="10348"/>
    <cellStyle name="Normal 15 6 2 2 2 2 2 2" xfId="10349"/>
    <cellStyle name="Normal 15 6 2 2 2 2 3" xfId="10350"/>
    <cellStyle name="Normal 15 6 2 2 2 3" xfId="10351"/>
    <cellStyle name="Normal 15 6 2 2 2 3 2" xfId="10352"/>
    <cellStyle name="Normal 15 6 2 2 2 4" xfId="10353"/>
    <cellStyle name="Normal 15 6 2 2 3" xfId="10354"/>
    <cellStyle name="Normal 15 6 2 2 3 2" xfId="10355"/>
    <cellStyle name="Normal 15 6 2 2 3 2 2" xfId="10356"/>
    <cellStyle name="Normal 15 6 2 2 3 2 2 2" xfId="10357"/>
    <cellStyle name="Normal 15 6 2 2 3 2 3" xfId="10358"/>
    <cellStyle name="Normal 15 6 2 2 3 3" xfId="10359"/>
    <cellStyle name="Normal 15 6 2 2 3 3 2" xfId="10360"/>
    <cellStyle name="Normal 15 6 2 2 3 4" xfId="10361"/>
    <cellStyle name="Normal 15 6 2 2 4" xfId="10362"/>
    <cellStyle name="Normal 15 6 2 2 4 2" xfId="10363"/>
    <cellStyle name="Normal 15 6 2 2 4 2 2" xfId="10364"/>
    <cellStyle name="Normal 15 6 2 2 4 3" xfId="10365"/>
    <cellStyle name="Normal 15 6 2 2 5" xfId="10366"/>
    <cellStyle name="Normal 15 6 2 2 5 2" xfId="10367"/>
    <cellStyle name="Normal 15 6 2 2 6" xfId="10368"/>
    <cellStyle name="Normal 15 6 2 3" xfId="10369"/>
    <cellStyle name="Normal 15 6 2 3 2" xfId="10370"/>
    <cellStyle name="Normal 15 6 2 3 2 2" xfId="10371"/>
    <cellStyle name="Normal 15 6 2 3 2 2 2" xfId="10372"/>
    <cellStyle name="Normal 15 6 2 3 2 3" xfId="10373"/>
    <cellStyle name="Normal 15 6 2 3 3" xfId="10374"/>
    <cellStyle name="Normal 15 6 2 3 3 2" xfId="10375"/>
    <cellStyle name="Normal 15 6 2 3 4" xfId="10376"/>
    <cellStyle name="Normal 15 6 2 4" xfId="10377"/>
    <cellStyle name="Normal 15 6 2 4 2" xfId="10378"/>
    <cellStyle name="Normal 15 6 2 4 2 2" xfId="10379"/>
    <cellStyle name="Normal 15 6 2 4 2 2 2" xfId="10380"/>
    <cellStyle name="Normal 15 6 2 4 2 3" xfId="10381"/>
    <cellStyle name="Normal 15 6 2 4 3" xfId="10382"/>
    <cellStyle name="Normal 15 6 2 4 3 2" xfId="10383"/>
    <cellStyle name="Normal 15 6 2 4 4" xfId="10384"/>
    <cellStyle name="Normal 15 6 2 5" xfId="10385"/>
    <cellStyle name="Normal 15 6 2 5 2" xfId="10386"/>
    <cellStyle name="Normal 15 6 2 5 2 2" xfId="10387"/>
    <cellStyle name="Normal 15 6 2 5 3" xfId="10388"/>
    <cellStyle name="Normal 15 6 2 6" xfId="10389"/>
    <cellStyle name="Normal 15 6 2 6 2" xfId="10390"/>
    <cellStyle name="Normal 15 6 2 7" xfId="10391"/>
    <cellStyle name="Normal 15 6 3" xfId="10392"/>
    <cellStyle name="Normal 15 6 3 2" xfId="10393"/>
    <cellStyle name="Normal 15 6 3 2 2" xfId="10394"/>
    <cellStyle name="Normal 15 6 3 2 2 2" xfId="10395"/>
    <cellStyle name="Normal 15 6 3 2 2 2 2" xfId="10396"/>
    <cellStyle name="Normal 15 6 3 2 2 3" xfId="10397"/>
    <cellStyle name="Normal 15 6 3 2 3" xfId="10398"/>
    <cellStyle name="Normal 15 6 3 2 3 2" xfId="10399"/>
    <cellStyle name="Normal 15 6 3 2 4" xfId="10400"/>
    <cellStyle name="Normal 15 6 3 3" xfId="10401"/>
    <cellStyle name="Normal 15 6 3 3 2" xfId="10402"/>
    <cellStyle name="Normal 15 6 3 3 2 2" xfId="10403"/>
    <cellStyle name="Normal 15 6 3 3 2 2 2" xfId="10404"/>
    <cellStyle name="Normal 15 6 3 3 2 3" xfId="10405"/>
    <cellStyle name="Normal 15 6 3 3 3" xfId="10406"/>
    <cellStyle name="Normal 15 6 3 3 3 2" xfId="10407"/>
    <cellStyle name="Normal 15 6 3 3 4" xfId="10408"/>
    <cellStyle name="Normal 15 6 3 4" xfId="10409"/>
    <cellStyle name="Normal 15 6 3 4 2" xfId="10410"/>
    <cellStyle name="Normal 15 6 3 4 2 2" xfId="10411"/>
    <cellStyle name="Normal 15 6 3 4 3" xfId="10412"/>
    <cellStyle name="Normal 15 6 3 5" xfId="10413"/>
    <cellStyle name="Normal 15 6 3 5 2" xfId="10414"/>
    <cellStyle name="Normal 15 6 3 6" xfId="10415"/>
    <cellStyle name="Normal 15 6 4" xfId="10416"/>
    <cellStyle name="Normal 15 6 4 2" xfId="10417"/>
    <cellStyle name="Normal 15 6 4 2 2" xfId="10418"/>
    <cellStyle name="Normal 15 6 4 2 2 2" xfId="10419"/>
    <cellStyle name="Normal 15 6 4 2 3" xfId="10420"/>
    <cellStyle name="Normal 15 6 4 3" xfId="10421"/>
    <cellStyle name="Normal 15 6 4 3 2" xfId="10422"/>
    <cellStyle name="Normal 15 6 4 4" xfId="10423"/>
    <cellStyle name="Normal 15 6 5" xfId="10424"/>
    <cellStyle name="Normal 15 6 5 2" xfId="10425"/>
    <cellStyle name="Normal 15 6 5 2 2" xfId="10426"/>
    <cellStyle name="Normal 15 6 5 2 2 2" xfId="10427"/>
    <cellStyle name="Normal 15 6 5 2 3" xfId="10428"/>
    <cellStyle name="Normal 15 6 5 3" xfId="10429"/>
    <cellStyle name="Normal 15 6 5 3 2" xfId="10430"/>
    <cellStyle name="Normal 15 6 5 4" xfId="10431"/>
    <cellStyle name="Normal 15 6 6" xfId="10432"/>
    <cellStyle name="Normal 15 6 6 2" xfId="10433"/>
    <cellStyle name="Normal 15 6 6 2 2" xfId="10434"/>
    <cellStyle name="Normal 15 6 6 2 2 2" xfId="10435"/>
    <cellStyle name="Normal 15 6 6 2 3" xfId="10436"/>
    <cellStyle name="Normal 15 6 6 3" xfId="10437"/>
    <cellStyle name="Normal 15 6 6 3 2" xfId="10438"/>
    <cellStyle name="Normal 15 6 6 4" xfId="10439"/>
    <cellStyle name="Normal 15 6 7" xfId="10440"/>
    <cellStyle name="Normal 15 6 7 2" xfId="10441"/>
    <cellStyle name="Normal 15 6 7 2 2" xfId="10442"/>
    <cellStyle name="Normal 15 6 7 3" xfId="10443"/>
    <cellStyle name="Normal 15 6 8" xfId="10444"/>
    <cellStyle name="Normal 15 6 8 2" xfId="10445"/>
    <cellStyle name="Normal 15 6 9" xfId="10446"/>
    <cellStyle name="Normal 15 7" xfId="10447"/>
    <cellStyle name="Normal 15 7 2" xfId="10448"/>
    <cellStyle name="Normal 15 7 2 2" xfId="10449"/>
    <cellStyle name="Normal 15 7 2 2 2" xfId="10450"/>
    <cellStyle name="Normal 15 7 2 2 2 2" xfId="10451"/>
    <cellStyle name="Normal 15 7 2 2 2 2 2" xfId="10452"/>
    <cellStyle name="Normal 15 7 2 2 2 3" xfId="10453"/>
    <cellStyle name="Normal 15 7 2 2 3" xfId="10454"/>
    <cellStyle name="Normal 15 7 2 2 3 2" xfId="10455"/>
    <cellStyle name="Normal 15 7 2 2 4" xfId="10456"/>
    <cellStyle name="Normal 15 7 2 3" xfId="10457"/>
    <cellStyle name="Normal 15 7 2 3 2" xfId="10458"/>
    <cellStyle name="Normal 15 7 2 3 2 2" xfId="10459"/>
    <cellStyle name="Normal 15 7 2 3 2 2 2" xfId="10460"/>
    <cellStyle name="Normal 15 7 2 3 2 3" xfId="10461"/>
    <cellStyle name="Normal 15 7 2 3 3" xfId="10462"/>
    <cellStyle name="Normal 15 7 2 3 3 2" xfId="10463"/>
    <cellStyle name="Normal 15 7 2 3 4" xfId="10464"/>
    <cellStyle name="Normal 15 7 2 4" xfId="10465"/>
    <cellStyle name="Normal 15 7 2 4 2" xfId="10466"/>
    <cellStyle name="Normal 15 7 2 4 2 2" xfId="10467"/>
    <cellStyle name="Normal 15 7 2 4 3" xfId="10468"/>
    <cellStyle name="Normal 15 7 2 5" xfId="10469"/>
    <cellStyle name="Normal 15 7 2 5 2" xfId="10470"/>
    <cellStyle name="Normal 15 7 2 6" xfId="10471"/>
    <cellStyle name="Normal 15 7 3" xfId="10472"/>
    <cellStyle name="Normal 15 7 3 2" xfId="10473"/>
    <cellStyle name="Normal 15 7 3 2 2" xfId="10474"/>
    <cellStyle name="Normal 15 7 3 2 2 2" xfId="10475"/>
    <cellStyle name="Normal 15 7 3 2 3" xfId="10476"/>
    <cellStyle name="Normal 15 7 3 3" xfId="10477"/>
    <cellStyle name="Normal 15 7 3 3 2" xfId="10478"/>
    <cellStyle name="Normal 15 7 3 4" xfId="10479"/>
    <cellStyle name="Normal 15 7 4" xfId="10480"/>
    <cellStyle name="Normal 15 7 4 2" xfId="10481"/>
    <cellStyle name="Normal 15 7 4 2 2" xfId="10482"/>
    <cellStyle name="Normal 15 7 4 2 2 2" xfId="10483"/>
    <cellStyle name="Normal 15 7 4 2 3" xfId="10484"/>
    <cellStyle name="Normal 15 7 4 3" xfId="10485"/>
    <cellStyle name="Normal 15 7 4 3 2" xfId="10486"/>
    <cellStyle name="Normal 15 7 4 4" xfId="10487"/>
    <cellStyle name="Normal 15 7 5" xfId="10488"/>
    <cellStyle name="Normal 15 7 5 2" xfId="10489"/>
    <cellStyle name="Normal 15 7 5 2 2" xfId="10490"/>
    <cellStyle name="Normal 15 7 5 3" xfId="10491"/>
    <cellStyle name="Normal 15 7 6" xfId="10492"/>
    <cellStyle name="Normal 15 7 6 2" xfId="10493"/>
    <cellStyle name="Normal 15 7 7" xfId="10494"/>
    <cellStyle name="Normal 15 8" xfId="10495"/>
    <cellStyle name="Normal 15 8 2" xfId="10496"/>
    <cellStyle name="Normal 15 8 2 2" xfId="10497"/>
    <cellStyle name="Normal 15 8 2 2 2" xfId="10498"/>
    <cellStyle name="Normal 15 8 2 2 2 2" xfId="10499"/>
    <cellStyle name="Normal 15 8 2 2 3" xfId="10500"/>
    <cellStyle name="Normal 15 8 2 3" xfId="10501"/>
    <cellStyle name="Normal 15 8 2 3 2" xfId="10502"/>
    <cellStyle name="Normal 15 8 2 4" xfId="10503"/>
    <cellStyle name="Normal 15 8 3" xfId="10504"/>
    <cellStyle name="Normal 15 8 3 2" xfId="10505"/>
    <cellStyle name="Normal 15 8 3 2 2" xfId="10506"/>
    <cellStyle name="Normal 15 8 3 2 2 2" xfId="10507"/>
    <cellStyle name="Normal 15 8 3 2 3" xfId="10508"/>
    <cellStyle name="Normal 15 8 3 3" xfId="10509"/>
    <cellStyle name="Normal 15 8 3 3 2" xfId="10510"/>
    <cellStyle name="Normal 15 8 3 4" xfId="10511"/>
    <cellStyle name="Normal 15 8 4" xfId="10512"/>
    <cellStyle name="Normal 15 8 4 2" xfId="10513"/>
    <cellStyle name="Normal 15 8 4 2 2" xfId="10514"/>
    <cellStyle name="Normal 15 8 4 3" xfId="10515"/>
    <cellStyle name="Normal 15 8 5" xfId="10516"/>
    <cellStyle name="Normal 15 8 5 2" xfId="10517"/>
    <cellStyle name="Normal 15 8 6" xfId="10518"/>
    <cellStyle name="Normal 15 9" xfId="10519"/>
    <cellStyle name="Normal 15 9 2" xfId="10520"/>
    <cellStyle name="Normal 15 9 2 2" xfId="10521"/>
    <cellStyle name="Normal 15 9 2 2 2" xfId="10522"/>
    <cellStyle name="Normal 15 9 2 3" xfId="10523"/>
    <cellStyle name="Normal 15 9 3" xfId="10524"/>
    <cellStyle name="Normal 15 9 3 2" xfId="10525"/>
    <cellStyle name="Normal 15 9 4" xfId="10526"/>
    <cellStyle name="Normal 16" xfId="10527"/>
    <cellStyle name="Normal 16 10" xfId="10528"/>
    <cellStyle name="Normal 16 10 2" xfId="10529"/>
    <cellStyle name="Normal 16 10 2 2" xfId="10530"/>
    <cellStyle name="Normal 16 10 2 2 2" xfId="10531"/>
    <cellStyle name="Normal 16 10 2 3" xfId="10532"/>
    <cellStyle name="Normal 16 10 3" xfId="10533"/>
    <cellStyle name="Normal 16 10 3 2" xfId="10534"/>
    <cellStyle name="Normal 16 10 4" xfId="10535"/>
    <cellStyle name="Normal 16 11" xfId="10536"/>
    <cellStyle name="Normal 16 11 2" xfId="10537"/>
    <cellStyle name="Normal 16 11 2 2" xfId="10538"/>
    <cellStyle name="Normal 16 11 2 2 2" xfId="10539"/>
    <cellStyle name="Normal 16 11 2 3" xfId="10540"/>
    <cellStyle name="Normal 16 11 3" xfId="10541"/>
    <cellStyle name="Normal 16 11 3 2" xfId="10542"/>
    <cellStyle name="Normal 16 11 4" xfId="10543"/>
    <cellStyle name="Normal 16 12" xfId="10544"/>
    <cellStyle name="Normal 16 12 2" xfId="10545"/>
    <cellStyle name="Normal 16 12 2 2" xfId="10546"/>
    <cellStyle name="Normal 16 12 3" xfId="10547"/>
    <cellStyle name="Normal 16 13" xfId="10548"/>
    <cellStyle name="Normal 16 13 2" xfId="10549"/>
    <cellStyle name="Normal 16 14" xfId="10550"/>
    <cellStyle name="Normal 16 2" xfId="10551"/>
    <cellStyle name="Normal 16 2 10" xfId="10552"/>
    <cellStyle name="Normal 16 2 10 2" xfId="10553"/>
    <cellStyle name="Normal 16 2 10 2 2" xfId="10554"/>
    <cellStyle name="Normal 16 2 10 2 2 2" xfId="10555"/>
    <cellStyle name="Normal 16 2 10 2 3" xfId="10556"/>
    <cellStyle name="Normal 16 2 10 3" xfId="10557"/>
    <cellStyle name="Normal 16 2 10 3 2" xfId="10558"/>
    <cellStyle name="Normal 16 2 10 4" xfId="10559"/>
    <cellStyle name="Normal 16 2 11" xfId="10560"/>
    <cellStyle name="Normal 16 2 11 2" xfId="10561"/>
    <cellStyle name="Normal 16 2 11 2 2" xfId="10562"/>
    <cellStyle name="Normal 16 2 11 3" xfId="10563"/>
    <cellStyle name="Normal 16 2 12" xfId="10564"/>
    <cellStyle name="Normal 16 2 12 2" xfId="10565"/>
    <cellStyle name="Normal 16 2 13" xfId="10566"/>
    <cellStyle name="Normal 16 2 2" xfId="10567"/>
    <cellStyle name="Normal 16 2 2 10" xfId="10568"/>
    <cellStyle name="Normal 16 2 2 10 2" xfId="10569"/>
    <cellStyle name="Normal 16 2 2 11" xfId="10570"/>
    <cellStyle name="Normal 16 2 2 2" xfId="10571"/>
    <cellStyle name="Normal 16 2 2 2 10" xfId="10572"/>
    <cellStyle name="Normal 16 2 2 2 2" xfId="10573"/>
    <cellStyle name="Normal 16 2 2 2 2 2" xfId="10574"/>
    <cellStyle name="Normal 16 2 2 2 2 2 2" xfId="10575"/>
    <cellStyle name="Normal 16 2 2 2 2 2 2 2" xfId="10576"/>
    <cellStyle name="Normal 16 2 2 2 2 2 2 2 2" xfId="10577"/>
    <cellStyle name="Normal 16 2 2 2 2 2 2 2 2 2" xfId="10578"/>
    <cellStyle name="Normal 16 2 2 2 2 2 2 2 2 2 2" xfId="10579"/>
    <cellStyle name="Normal 16 2 2 2 2 2 2 2 2 3" xfId="10580"/>
    <cellStyle name="Normal 16 2 2 2 2 2 2 2 3" xfId="10581"/>
    <cellStyle name="Normal 16 2 2 2 2 2 2 2 3 2" xfId="10582"/>
    <cellStyle name="Normal 16 2 2 2 2 2 2 2 4" xfId="10583"/>
    <cellStyle name="Normal 16 2 2 2 2 2 2 3" xfId="10584"/>
    <cellStyle name="Normal 16 2 2 2 2 2 2 3 2" xfId="10585"/>
    <cellStyle name="Normal 16 2 2 2 2 2 2 3 2 2" xfId="10586"/>
    <cellStyle name="Normal 16 2 2 2 2 2 2 3 2 2 2" xfId="10587"/>
    <cellStyle name="Normal 16 2 2 2 2 2 2 3 2 3" xfId="10588"/>
    <cellStyle name="Normal 16 2 2 2 2 2 2 3 3" xfId="10589"/>
    <cellStyle name="Normal 16 2 2 2 2 2 2 3 3 2" xfId="10590"/>
    <cellStyle name="Normal 16 2 2 2 2 2 2 3 4" xfId="10591"/>
    <cellStyle name="Normal 16 2 2 2 2 2 2 4" xfId="10592"/>
    <cellStyle name="Normal 16 2 2 2 2 2 2 4 2" xfId="10593"/>
    <cellStyle name="Normal 16 2 2 2 2 2 2 4 2 2" xfId="10594"/>
    <cellStyle name="Normal 16 2 2 2 2 2 2 4 3" xfId="10595"/>
    <cellStyle name="Normal 16 2 2 2 2 2 2 5" xfId="10596"/>
    <cellStyle name="Normal 16 2 2 2 2 2 2 5 2" xfId="10597"/>
    <cellStyle name="Normal 16 2 2 2 2 2 2 6" xfId="10598"/>
    <cellStyle name="Normal 16 2 2 2 2 2 3" xfId="10599"/>
    <cellStyle name="Normal 16 2 2 2 2 2 3 2" xfId="10600"/>
    <cellStyle name="Normal 16 2 2 2 2 2 3 2 2" xfId="10601"/>
    <cellStyle name="Normal 16 2 2 2 2 2 3 2 2 2" xfId="10602"/>
    <cellStyle name="Normal 16 2 2 2 2 2 3 2 3" xfId="10603"/>
    <cellStyle name="Normal 16 2 2 2 2 2 3 3" xfId="10604"/>
    <cellStyle name="Normal 16 2 2 2 2 2 3 3 2" xfId="10605"/>
    <cellStyle name="Normal 16 2 2 2 2 2 3 4" xfId="10606"/>
    <cellStyle name="Normal 16 2 2 2 2 2 4" xfId="10607"/>
    <cellStyle name="Normal 16 2 2 2 2 2 4 2" xfId="10608"/>
    <cellStyle name="Normal 16 2 2 2 2 2 4 2 2" xfId="10609"/>
    <cellStyle name="Normal 16 2 2 2 2 2 4 2 2 2" xfId="10610"/>
    <cellStyle name="Normal 16 2 2 2 2 2 4 2 3" xfId="10611"/>
    <cellStyle name="Normal 16 2 2 2 2 2 4 3" xfId="10612"/>
    <cellStyle name="Normal 16 2 2 2 2 2 4 3 2" xfId="10613"/>
    <cellStyle name="Normal 16 2 2 2 2 2 4 4" xfId="10614"/>
    <cellStyle name="Normal 16 2 2 2 2 2 5" xfId="10615"/>
    <cellStyle name="Normal 16 2 2 2 2 2 5 2" xfId="10616"/>
    <cellStyle name="Normal 16 2 2 2 2 2 5 2 2" xfId="10617"/>
    <cellStyle name="Normal 16 2 2 2 2 2 5 3" xfId="10618"/>
    <cellStyle name="Normal 16 2 2 2 2 2 6" xfId="10619"/>
    <cellStyle name="Normal 16 2 2 2 2 2 6 2" xfId="10620"/>
    <cellStyle name="Normal 16 2 2 2 2 2 7" xfId="10621"/>
    <cellStyle name="Normal 16 2 2 2 2 3" xfId="10622"/>
    <cellStyle name="Normal 16 2 2 2 2 3 2" xfId="10623"/>
    <cellStyle name="Normal 16 2 2 2 2 3 2 2" xfId="10624"/>
    <cellStyle name="Normal 16 2 2 2 2 3 2 2 2" xfId="10625"/>
    <cellStyle name="Normal 16 2 2 2 2 3 2 2 2 2" xfId="10626"/>
    <cellStyle name="Normal 16 2 2 2 2 3 2 2 3" xfId="10627"/>
    <cellStyle name="Normal 16 2 2 2 2 3 2 3" xfId="10628"/>
    <cellStyle name="Normal 16 2 2 2 2 3 2 3 2" xfId="10629"/>
    <cellStyle name="Normal 16 2 2 2 2 3 2 4" xfId="10630"/>
    <cellStyle name="Normal 16 2 2 2 2 3 3" xfId="10631"/>
    <cellStyle name="Normal 16 2 2 2 2 3 3 2" xfId="10632"/>
    <cellStyle name="Normal 16 2 2 2 2 3 3 2 2" xfId="10633"/>
    <cellStyle name="Normal 16 2 2 2 2 3 3 2 2 2" xfId="10634"/>
    <cellStyle name="Normal 16 2 2 2 2 3 3 2 3" xfId="10635"/>
    <cellStyle name="Normal 16 2 2 2 2 3 3 3" xfId="10636"/>
    <cellStyle name="Normal 16 2 2 2 2 3 3 3 2" xfId="10637"/>
    <cellStyle name="Normal 16 2 2 2 2 3 3 4" xfId="10638"/>
    <cellStyle name="Normal 16 2 2 2 2 3 4" xfId="10639"/>
    <cellStyle name="Normal 16 2 2 2 2 3 4 2" xfId="10640"/>
    <cellStyle name="Normal 16 2 2 2 2 3 4 2 2" xfId="10641"/>
    <cellStyle name="Normal 16 2 2 2 2 3 4 3" xfId="10642"/>
    <cellStyle name="Normal 16 2 2 2 2 3 5" xfId="10643"/>
    <cellStyle name="Normal 16 2 2 2 2 3 5 2" xfId="10644"/>
    <cellStyle name="Normal 16 2 2 2 2 3 6" xfId="10645"/>
    <cellStyle name="Normal 16 2 2 2 2 4" xfId="10646"/>
    <cellStyle name="Normal 16 2 2 2 2 4 2" xfId="10647"/>
    <cellStyle name="Normal 16 2 2 2 2 4 2 2" xfId="10648"/>
    <cellStyle name="Normal 16 2 2 2 2 4 2 2 2" xfId="10649"/>
    <cellStyle name="Normal 16 2 2 2 2 4 2 3" xfId="10650"/>
    <cellStyle name="Normal 16 2 2 2 2 4 3" xfId="10651"/>
    <cellStyle name="Normal 16 2 2 2 2 4 3 2" xfId="10652"/>
    <cellStyle name="Normal 16 2 2 2 2 4 4" xfId="10653"/>
    <cellStyle name="Normal 16 2 2 2 2 5" xfId="10654"/>
    <cellStyle name="Normal 16 2 2 2 2 5 2" xfId="10655"/>
    <cellStyle name="Normal 16 2 2 2 2 5 2 2" xfId="10656"/>
    <cellStyle name="Normal 16 2 2 2 2 5 2 2 2" xfId="10657"/>
    <cellStyle name="Normal 16 2 2 2 2 5 2 3" xfId="10658"/>
    <cellStyle name="Normal 16 2 2 2 2 5 3" xfId="10659"/>
    <cellStyle name="Normal 16 2 2 2 2 5 3 2" xfId="10660"/>
    <cellStyle name="Normal 16 2 2 2 2 5 4" xfId="10661"/>
    <cellStyle name="Normal 16 2 2 2 2 6" xfId="10662"/>
    <cellStyle name="Normal 16 2 2 2 2 6 2" xfId="10663"/>
    <cellStyle name="Normal 16 2 2 2 2 6 2 2" xfId="10664"/>
    <cellStyle name="Normal 16 2 2 2 2 6 2 2 2" xfId="10665"/>
    <cellStyle name="Normal 16 2 2 2 2 6 2 3" xfId="10666"/>
    <cellStyle name="Normal 16 2 2 2 2 6 3" xfId="10667"/>
    <cellStyle name="Normal 16 2 2 2 2 6 3 2" xfId="10668"/>
    <cellStyle name="Normal 16 2 2 2 2 6 4" xfId="10669"/>
    <cellStyle name="Normal 16 2 2 2 2 7" xfId="10670"/>
    <cellStyle name="Normal 16 2 2 2 2 7 2" xfId="10671"/>
    <cellStyle name="Normal 16 2 2 2 2 7 2 2" xfId="10672"/>
    <cellStyle name="Normal 16 2 2 2 2 7 3" xfId="10673"/>
    <cellStyle name="Normal 16 2 2 2 2 8" xfId="10674"/>
    <cellStyle name="Normal 16 2 2 2 2 8 2" xfId="10675"/>
    <cellStyle name="Normal 16 2 2 2 2 9" xfId="10676"/>
    <cellStyle name="Normal 16 2 2 2 3" xfId="10677"/>
    <cellStyle name="Normal 16 2 2 2 3 2" xfId="10678"/>
    <cellStyle name="Normal 16 2 2 2 3 2 2" xfId="10679"/>
    <cellStyle name="Normal 16 2 2 2 3 2 2 2" xfId="10680"/>
    <cellStyle name="Normal 16 2 2 2 3 2 2 2 2" xfId="10681"/>
    <cellStyle name="Normal 16 2 2 2 3 2 2 2 2 2" xfId="10682"/>
    <cellStyle name="Normal 16 2 2 2 3 2 2 2 3" xfId="10683"/>
    <cellStyle name="Normal 16 2 2 2 3 2 2 3" xfId="10684"/>
    <cellStyle name="Normal 16 2 2 2 3 2 2 3 2" xfId="10685"/>
    <cellStyle name="Normal 16 2 2 2 3 2 2 4" xfId="10686"/>
    <cellStyle name="Normal 16 2 2 2 3 2 3" xfId="10687"/>
    <cellStyle name="Normal 16 2 2 2 3 2 3 2" xfId="10688"/>
    <cellStyle name="Normal 16 2 2 2 3 2 3 2 2" xfId="10689"/>
    <cellStyle name="Normal 16 2 2 2 3 2 3 2 2 2" xfId="10690"/>
    <cellStyle name="Normal 16 2 2 2 3 2 3 2 3" xfId="10691"/>
    <cellStyle name="Normal 16 2 2 2 3 2 3 3" xfId="10692"/>
    <cellStyle name="Normal 16 2 2 2 3 2 3 3 2" xfId="10693"/>
    <cellStyle name="Normal 16 2 2 2 3 2 3 4" xfId="10694"/>
    <cellStyle name="Normal 16 2 2 2 3 2 4" xfId="10695"/>
    <cellStyle name="Normal 16 2 2 2 3 2 4 2" xfId="10696"/>
    <cellStyle name="Normal 16 2 2 2 3 2 4 2 2" xfId="10697"/>
    <cellStyle name="Normal 16 2 2 2 3 2 4 3" xfId="10698"/>
    <cellStyle name="Normal 16 2 2 2 3 2 5" xfId="10699"/>
    <cellStyle name="Normal 16 2 2 2 3 2 5 2" xfId="10700"/>
    <cellStyle name="Normal 16 2 2 2 3 2 6" xfId="10701"/>
    <cellStyle name="Normal 16 2 2 2 3 3" xfId="10702"/>
    <cellStyle name="Normal 16 2 2 2 3 3 2" xfId="10703"/>
    <cellStyle name="Normal 16 2 2 2 3 3 2 2" xfId="10704"/>
    <cellStyle name="Normal 16 2 2 2 3 3 2 2 2" xfId="10705"/>
    <cellStyle name="Normal 16 2 2 2 3 3 2 3" xfId="10706"/>
    <cellStyle name="Normal 16 2 2 2 3 3 3" xfId="10707"/>
    <cellStyle name="Normal 16 2 2 2 3 3 3 2" xfId="10708"/>
    <cellStyle name="Normal 16 2 2 2 3 3 4" xfId="10709"/>
    <cellStyle name="Normal 16 2 2 2 3 4" xfId="10710"/>
    <cellStyle name="Normal 16 2 2 2 3 4 2" xfId="10711"/>
    <cellStyle name="Normal 16 2 2 2 3 4 2 2" xfId="10712"/>
    <cellStyle name="Normal 16 2 2 2 3 4 2 2 2" xfId="10713"/>
    <cellStyle name="Normal 16 2 2 2 3 4 2 3" xfId="10714"/>
    <cellStyle name="Normal 16 2 2 2 3 4 3" xfId="10715"/>
    <cellStyle name="Normal 16 2 2 2 3 4 3 2" xfId="10716"/>
    <cellStyle name="Normal 16 2 2 2 3 4 4" xfId="10717"/>
    <cellStyle name="Normal 16 2 2 2 3 5" xfId="10718"/>
    <cellStyle name="Normal 16 2 2 2 3 5 2" xfId="10719"/>
    <cellStyle name="Normal 16 2 2 2 3 5 2 2" xfId="10720"/>
    <cellStyle name="Normal 16 2 2 2 3 5 3" xfId="10721"/>
    <cellStyle name="Normal 16 2 2 2 3 6" xfId="10722"/>
    <cellStyle name="Normal 16 2 2 2 3 6 2" xfId="10723"/>
    <cellStyle name="Normal 16 2 2 2 3 7" xfId="10724"/>
    <cellStyle name="Normal 16 2 2 2 4" xfId="10725"/>
    <cellStyle name="Normal 16 2 2 2 4 2" xfId="10726"/>
    <cellStyle name="Normal 16 2 2 2 4 2 2" xfId="10727"/>
    <cellStyle name="Normal 16 2 2 2 4 2 2 2" xfId="10728"/>
    <cellStyle name="Normal 16 2 2 2 4 2 2 2 2" xfId="10729"/>
    <cellStyle name="Normal 16 2 2 2 4 2 2 3" xfId="10730"/>
    <cellStyle name="Normal 16 2 2 2 4 2 3" xfId="10731"/>
    <cellStyle name="Normal 16 2 2 2 4 2 3 2" xfId="10732"/>
    <cellStyle name="Normal 16 2 2 2 4 2 4" xfId="10733"/>
    <cellStyle name="Normal 16 2 2 2 4 3" xfId="10734"/>
    <cellStyle name="Normal 16 2 2 2 4 3 2" xfId="10735"/>
    <cellStyle name="Normal 16 2 2 2 4 3 2 2" xfId="10736"/>
    <cellStyle name="Normal 16 2 2 2 4 3 2 2 2" xfId="10737"/>
    <cellStyle name="Normal 16 2 2 2 4 3 2 3" xfId="10738"/>
    <cellStyle name="Normal 16 2 2 2 4 3 3" xfId="10739"/>
    <cellStyle name="Normal 16 2 2 2 4 3 3 2" xfId="10740"/>
    <cellStyle name="Normal 16 2 2 2 4 3 4" xfId="10741"/>
    <cellStyle name="Normal 16 2 2 2 4 4" xfId="10742"/>
    <cellStyle name="Normal 16 2 2 2 4 4 2" xfId="10743"/>
    <cellStyle name="Normal 16 2 2 2 4 4 2 2" xfId="10744"/>
    <cellStyle name="Normal 16 2 2 2 4 4 3" xfId="10745"/>
    <cellStyle name="Normal 16 2 2 2 4 5" xfId="10746"/>
    <cellStyle name="Normal 16 2 2 2 4 5 2" xfId="10747"/>
    <cellStyle name="Normal 16 2 2 2 4 6" xfId="10748"/>
    <cellStyle name="Normal 16 2 2 2 5" xfId="10749"/>
    <cellStyle name="Normal 16 2 2 2 5 2" xfId="10750"/>
    <cellStyle name="Normal 16 2 2 2 5 2 2" xfId="10751"/>
    <cellStyle name="Normal 16 2 2 2 5 2 2 2" xfId="10752"/>
    <cellStyle name="Normal 16 2 2 2 5 2 3" xfId="10753"/>
    <cellStyle name="Normal 16 2 2 2 5 3" xfId="10754"/>
    <cellStyle name="Normal 16 2 2 2 5 3 2" xfId="10755"/>
    <cellStyle name="Normal 16 2 2 2 5 4" xfId="10756"/>
    <cellStyle name="Normal 16 2 2 2 6" xfId="10757"/>
    <cellStyle name="Normal 16 2 2 2 6 2" xfId="10758"/>
    <cellStyle name="Normal 16 2 2 2 6 2 2" xfId="10759"/>
    <cellStyle name="Normal 16 2 2 2 6 2 2 2" xfId="10760"/>
    <cellStyle name="Normal 16 2 2 2 6 2 3" xfId="10761"/>
    <cellStyle name="Normal 16 2 2 2 6 3" xfId="10762"/>
    <cellStyle name="Normal 16 2 2 2 6 3 2" xfId="10763"/>
    <cellStyle name="Normal 16 2 2 2 6 4" xfId="10764"/>
    <cellStyle name="Normal 16 2 2 2 7" xfId="10765"/>
    <cellStyle name="Normal 16 2 2 2 7 2" xfId="10766"/>
    <cellStyle name="Normal 16 2 2 2 7 2 2" xfId="10767"/>
    <cellStyle name="Normal 16 2 2 2 7 2 2 2" xfId="10768"/>
    <cellStyle name="Normal 16 2 2 2 7 2 3" xfId="10769"/>
    <cellStyle name="Normal 16 2 2 2 7 3" xfId="10770"/>
    <cellStyle name="Normal 16 2 2 2 7 3 2" xfId="10771"/>
    <cellStyle name="Normal 16 2 2 2 7 4" xfId="10772"/>
    <cellStyle name="Normal 16 2 2 2 8" xfId="10773"/>
    <cellStyle name="Normal 16 2 2 2 8 2" xfId="10774"/>
    <cellStyle name="Normal 16 2 2 2 8 2 2" xfId="10775"/>
    <cellStyle name="Normal 16 2 2 2 8 3" xfId="10776"/>
    <cellStyle name="Normal 16 2 2 2 9" xfId="10777"/>
    <cellStyle name="Normal 16 2 2 2 9 2" xfId="10778"/>
    <cellStyle name="Normal 16 2 2 3" xfId="10779"/>
    <cellStyle name="Normal 16 2 2 3 2" xfId="10780"/>
    <cellStyle name="Normal 16 2 2 3 2 2" xfId="10781"/>
    <cellStyle name="Normal 16 2 2 3 2 2 2" xfId="10782"/>
    <cellStyle name="Normal 16 2 2 3 2 2 2 2" xfId="10783"/>
    <cellStyle name="Normal 16 2 2 3 2 2 2 2 2" xfId="10784"/>
    <cellStyle name="Normal 16 2 2 3 2 2 2 2 2 2" xfId="10785"/>
    <cellStyle name="Normal 16 2 2 3 2 2 2 2 3" xfId="10786"/>
    <cellStyle name="Normal 16 2 2 3 2 2 2 3" xfId="10787"/>
    <cellStyle name="Normal 16 2 2 3 2 2 2 3 2" xfId="10788"/>
    <cellStyle name="Normal 16 2 2 3 2 2 2 4" xfId="10789"/>
    <cellStyle name="Normal 16 2 2 3 2 2 3" xfId="10790"/>
    <cellStyle name="Normal 16 2 2 3 2 2 3 2" xfId="10791"/>
    <cellStyle name="Normal 16 2 2 3 2 2 3 2 2" xfId="10792"/>
    <cellStyle name="Normal 16 2 2 3 2 2 3 2 2 2" xfId="10793"/>
    <cellStyle name="Normal 16 2 2 3 2 2 3 2 3" xfId="10794"/>
    <cellStyle name="Normal 16 2 2 3 2 2 3 3" xfId="10795"/>
    <cellStyle name="Normal 16 2 2 3 2 2 3 3 2" xfId="10796"/>
    <cellStyle name="Normal 16 2 2 3 2 2 3 4" xfId="10797"/>
    <cellStyle name="Normal 16 2 2 3 2 2 4" xfId="10798"/>
    <cellStyle name="Normal 16 2 2 3 2 2 4 2" xfId="10799"/>
    <cellStyle name="Normal 16 2 2 3 2 2 4 2 2" xfId="10800"/>
    <cellStyle name="Normal 16 2 2 3 2 2 4 3" xfId="10801"/>
    <cellStyle name="Normal 16 2 2 3 2 2 5" xfId="10802"/>
    <cellStyle name="Normal 16 2 2 3 2 2 5 2" xfId="10803"/>
    <cellStyle name="Normal 16 2 2 3 2 2 6" xfId="10804"/>
    <cellStyle name="Normal 16 2 2 3 2 3" xfId="10805"/>
    <cellStyle name="Normal 16 2 2 3 2 3 2" xfId="10806"/>
    <cellStyle name="Normal 16 2 2 3 2 3 2 2" xfId="10807"/>
    <cellStyle name="Normal 16 2 2 3 2 3 2 2 2" xfId="10808"/>
    <cellStyle name="Normal 16 2 2 3 2 3 2 3" xfId="10809"/>
    <cellStyle name="Normal 16 2 2 3 2 3 3" xfId="10810"/>
    <cellStyle name="Normal 16 2 2 3 2 3 3 2" xfId="10811"/>
    <cellStyle name="Normal 16 2 2 3 2 3 4" xfId="10812"/>
    <cellStyle name="Normal 16 2 2 3 2 4" xfId="10813"/>
    <cellStyle name="Normal 16 2 2 3 2 4 2" xfId="10814"/>
    <cellStyle name="Normal 16 2 2 3 2 4 2 2" xfId="10815"/>
    <cellStyle name="Normal 16 2 2 3 2 4 2 2 2" xfId="10816"/>
    <cellStyle name="Normal 16 2 2 3 2 4 2 3" xfId="10817"/>
    <cellStyle name="Normal 16 2 2 3 2 4 3" xfId="10818"/>
    <cellStyle name="Normal 16 2 2 3 2 4 3 2" xfId="10819"/>
    <cellStyle name="Normal 16 2 2 3 2 4 4" xfId="10820"/>
    <cellStyle name="Normal 16 2 2 3 2 5" xfId="10821"/>
    <cellStyle name="Normal 16 2 2 3 2 5 2" xfId="10822"/>
    <cellStyle name="Normal 16 2 2 3 2 5 2 2" xfId="10823"/>
    <cellStyle name="Normal 16 2 2 3 2 5 3" xfId="10824"/>
    <cellStyle name="Normal 16 2 2 3 2 6" xfId="10825"/>
    <cellStyle name="Normal 16 2 2 3 2 6 2" xfId="10826"/>
    <cellStyle name="Normal 16 2 2 3 2 7" xfId="10827"/>
    <cellStyle name="Normal 16 2 2 3 3" xfId="10828"/>
    <cellStyle name="Normal 16 2 2 3 3 2" xfId="10829"/>
    <cellStyle name="Normal 16 2 2 3 3 2 2" xfId="10830"/>
    <cellStyle name="Normal 16 2 2 3 3 2 2 2" xfId="10831"/>
    <cellStyle name="Normal 16 2 2 3 3 2 2 2 2" xfId="10832"/>
    <cellStyle name="Normal 16 2 2 3 3 2 2 3" xfId="10833"/>
    <cellStyle name="Normal 16 2 2 3 3 2 3" xfId="10834"/>
    <cellStyle name="Normal 16 2 2 3 3 2 3 2" xfId="10835"/>
    <cellStyle name="Normal 16 2 2 3 3 2 4" xfId="10836"/>
    <cellStyle name="Normal 16 2 2 3 3 3" xfId="10837"/>
    <cellStyle name="Normal 16 2 2 3 3 3 2" xfId="10838"/>
    <cellStyle name="Normal 16 2 2 3 3 3 2 2" xfId="10839"/>
    <cellStyle name="Normal 16 2 2 3 3 3 2 2 2" xfId="10840"/>
    <cellStyle name="Normal 16 2 2 3 3 3 2 3" xfId="10841"/>
    <cellStyle name="Normal 16 2 2 3 3 3 3" xfId="10842"/>
    <cellStyle name="Normal 16 2 2 3 3 3 3 2" xfId="10843"/>
    <cellStyle name="Normal 16 2 2 3 3 3 4" xfId="10844"/>
    <cellStyle name="Normal 16 2 2 3 3 4" xfId="10845"/>
    <cellStyle name="Normal 16 2 2 3 3 4 2" xfId="10846"/>
    <cellStyle name="Normal 16 2 2 3 3 4 2 2" xfId="10847"/>
    <cellStyle name="Normal 16 2 2 3 3 4 3" xfId="10848"/>
    <cellStyle name="Normal 16 2 2 3 3 5" xfId="10849"/>
    <cellStyle name="Normal 16 2 2 3 3 5 2" xfId="10850"/>
    <cellStyle name="Normal 16 2 2 3 3 6" xfId="10851"/>
    <cellStyle name="Normal 16 2 2 3 4" xfId="10852"/>
    <cellStyle name="Normal 16 2 2 3 4 2" xfId="10853"/>
    <cellStyle name="Normal 16 2 2 3 4 2 2" xfId="10854"/>
    <cellStyle name="Normal 16 2 2 3 4 2 2 2" xfId="10855"/>
    <cellStyle name="Normal 16 2 2 3 4 2 3" xfId="10856"/>
    <cellStyle name="Normal 16 2 2 3 4 3" xfId="10857"/>
    <cellStyle name="Normal 16 2 2 3 4 3 2" xfId="10858"/>
    <cellStyle name="Normal 16 2 2 3 4 4" xfId="10859"/>
    <cellStyle name="Normal 16 2 2 3 5" xfId="10860"/>
    <cellStyle name="Normal 16 2 2 3 5 2" xfId="10861"/>
    <cellStyle name="Normal 16 2 2 3 5 2 2" xfId="10862"/>
    <cellStyle name="Normal 16 2 2 3 5 2 2 2" xfId="10863"/>
    <cellStyle name="Normal 16 2 2 3 5 2 3" xfId="10864"/>
    <cellStyle name="Normal 16 2 2 3 5 3" xfId="10865"/>
    <cellStyle name="Normal 16 2 2 3 5 3 2" xfId="10866"/>
    <cellStyle name="Normal 16 2 2 3 5 4" xfId="10867"/>
    <cellStyle name="Normal 16 2 2 3 6" xfId="10868"/>
    <cellStyle name="Normal 16 2 2 3 6 2" xfId="10869"/>
    <cellStyle name="Normal 16 2 2 3 6 2 2" xfId="10870"/>
    <cellStyle name="Normal 16 2 2 3 6 2 2 2" xfId="10871"/>
    <cellStyle name="Normal 16 2 2 3 6 2 3" xfId="10872"/>
    <cellStyle name="Normal 16 2 2 3 6 3" xfId="10873"/>
    <cellStyle name="Normal 16 2 2 3 6 3 2" xfId="10874"/>
    <cellStyle name="Normal 16 2 2 3 6 4" xfId="10875"/>
    <cellStyle name="Normal 16 2 2 3 7" xfId="10876"/>
    <cellStyle name="Normal 16 2 2 3 7 2" xfId="10877"/>
    <cellStyle name="Normal 16 2 2 3 7 2 2" xfId="10878"/>
    <cellStyle name="Normal 16 2 2 3 7 3" xfId="10879"/>
    <cellStyle name="Normal 16 2 2 3 8" xfId="10880"/>
    <cellStyle name="Normal 16 2 2 3 8 2" xfId="10881"/>
    <cellStyle name="Normal 16 2 2 3 9" xfId="10882"/>
    <cellStyle name="Normal 16 2 2 4" xfId="10883"/>
    <cellStyle name="Normal 16 2 2 4 2" xfId="10884"/>
    <cellStyle name="Normal 16 2 2 4 2 2" xfId="10885"/>
    <cellStyle name="Normal 16 2 2 4 2 2 2" xfId="10886"/>
    <cellStyle name="Normal 16 2 2 4 2 2 2 2" xfId="10887"/>
    <cellStyle name="Normal 16 2 2 4 2 2 2 2 2" xfId="10888"/>
    <cellStyle name="Normal 16 2 2 4 2 2 2 3" xfId="10889"/>
    <cellStyle name="Normal 16 2 2 4 2 2 3" xfId="10890"/>
    <cellStyle name="Normal 16 2 2 4 2 2 3 2" xfId="10891"/>
    <cellStyle name="Normal 16 2 2 4 2 2 4" xfId="10892"/>
    <cellStyle name="Normal 16 2 2 4 2 3" xfId="10893"/>
    <cellStyle name="Normal 16 2 2 4 2 3 2" xfId="10894"/>
    <cellStyle name="Normal 16 2 2 4 2 3 2 2" xfId="10895"/>
    <cellStyle name="Normal 16 2 2 4 2 3 2 2 2" xfId="10896"/>
    <cellStyle name="Normal 16 2 2 4 2 3 2 3" xfId="10897"/>
    <cellStyle name="Normal 16 2 2 4 2 3 3" xfId="10898"/>
    <cellStyle name="Normal 16 2 2 4 2 3 3 2" xfId="10899"/>
    <cellStyle name="Normal 16 2 2 4 2 3 4" xfId="10900"/>
    <cellStyle name="Normal 16 2 2 4 2 4" xfId="10901"/>
    <cellStyle name="Normal 16 2 2 4 2 4 2" xfId="10902"/>
    <cellStyle name="Normal 16 2 2 4 2 4 2 2" xfId="10903"/>
    <cellStyle name="Normal 16 2 2 4 2 4 3" xfId="10904"/>
    <cellStyle name="Normal 16 2 2 4 2 5" xfId="10905"/>
    <cellStyle name="Normal 16 2 2 4 2 5 2" xfId="10906"/>
    <cellStyle name="Normal 16 2 2 4 2 6" xfId="10907"/>
    <cellStyle name="Normal 16 2 2 4 3" xfId="10908"/>
    <cellStyle name="Normal 16 2 2 4 3 2" xfId="10909"/>
    <cellStyle name="Normal 16 2 2 4 3 2 2" xfId="10910"/>
    <cellStyle name="Normal 16 2 2 4 3 2 2 2" xfId="10911"/>
    <cellStyle name="Normal 16 2 2 4 3 2 3" xfId="10912"/>
    <cellStyle name="Normal 16 2 2 4 3 3" xfId="10913"/>
    <cellStyle name="Normal 16 2 2 4 3 3 2" xfId="10914"/>
    <cellStyle name="Normal 16 2 2 4 3 4" xfId="10915"/>
    <cellStyle name="Normal 16 2 2 4 4" xfId="10916"/>
    <cellStyle name="Normal 16 2 2 4 4 2" xfId="10917"/>
    <cellStyle name="Normal 16 2 2 4 4 2 2" xfId="10918"/>
    <cellStyle name="Normal 16 2 2 4 4 2 2 2" xfId="10919"/>
    <cellStyle name="Normal 16 2 2 4 4 2 3" xfId="10920"/>
    <cellStyle name="Normal 16 2 2 4 4 3" xfId="10921"/>
    <cellStyle name="Normal 16 2 2 4 4 3 2" xfId="10922"/>
    <cellStyle name="Normal 16 2 2 4 4 4" xfId="10923"/>
    <cellStyle name="Normal 16 2 2 4 5" xfId="10924"/>
    <cellStyle name="Normal 16 2 2 4 5 2" xfId="10925"/>
    <cellStyle name="Normal 16 2 2 4 5 2 2" xfId="10926"/>
    <cellStyle name="Normal 16 2 2 4 5 3" xfId="10927"/>
    <cellStyle name="Normal 16 2 2 4 6" xfId="10928"/>
    <cellStyle name="Normal 16 2 2 4 6 2" xfId="10929"/>
    <cellStyle name="Normal 16 2 2 4 7" xfId="10930"/>
    <cellStyle name="Normal 16 2 2 5" xfId="10931"/>
    <cellStyle name="Normal 16 2 2 5 2" xfId="10932"/>
    <cellStyle name="Normal 16 2 2 5 2 2" xfId="10933"/>
    <cellStyle name="Normal 16 2 2 5 2 2 2" xfId="10934"/>
    <cellStyle name="Normal 16 2 2 5 2 2 2 2" xfId="10935"/>
    <cellStyle name="Normal 16 2 2 5 2 2 3" xfId="10936"/>
    <cellStyle name="Normal 16 2 2 5 2 3" xfId="10937"/>
    <cellStyle name="Normal 16 2 2 5 2 3 2" xfId="10938"/>
    <cellStyle name="Normal 16 2 2 5 2 4" xfId="10939"/>
    <cellStyle name="Normal 16 2 2 5 3" xfId="10940"/>
    <cellStyle name="Normal 16 2 2 5 3 2" xfId="10941"/>
    <cellStyle name="Normal 16 2 2 5 3 2 2" xfId="10942"/>
    <cellStyle name="Normal 16 2 2 5 3 2 2 2" xfId="10943"/>
    <cellStyle name="Normal 16 2 2 5 3 2 3" xfId="10944"/>
    <cellStyle name="Normal 16 2 2 5 3 3" xfId="10945"/>
    <cellStyle name="Normal 16 2 2 5 3 3 2" xfId="10946"/>
    <cellStyle name="Normal 16 2 2 5 3 4" xfId="10947"/>
    <cellStyle name="Normal 16 2 2 5 4" xfId="10948"/>
    <cellStyle name="Normal 16 2 2 5 4 2" xfId="10949"/>
    <cellStyle name="Normal 16 2 2 5 4 2 2" xfId="10950"/>
    <cellStyle name="Normal 16 2 2 5 4 3" xfId="10951"/>
    <cellStyle name="Normal 16 2 2 5 5" xfId="10952"/>
    <cellStyle name="Normal 16 2 2 5 5 2" xfId="10953"/>
    <cellStyle name="Normal 16 2 2 5 6" xfId="10954"/>
    <cellStyle name="Normal 16 2 2 6" xfId="10955"/>
    <cellStyle name="Normal 16 2 2 6 2" xfId="10956"/>
    <cellStyle name="Normal 16 2 2 6 2 2" xfId="10957"/>
    <cellStyle name="Normal 16 2 2 6 2 2 2" xfId="10958"/>
    <cellStyle name="Normal 16 2 2 6 2 3" xfId="10959"/>
    <cellStyle name="Normal 16 2 2 6 3" xfId="10960"/>
    <cellStyle name="Normal 16 2 2 6 3 2" xfId="10961"/>
    <cellStyle name="Normal 16 2 2 6 4" xfId="10962"/>
    <cellStyle name="Normal 16 2 2 7" xfId="10963"/>
    <cellStyle name="Normal 16 2 2 7 2" xfId="10964"/>
    <cellStyle name="Normal 16 2 2 7 2 2" xfId="10965"/>
    <cellStyle name="Normal 16 2 2 7 2 2 2" xfId="10966"/>
    <cellStyle name="Normal 16 2 2 7 2 3" xfId="10967"/>
    <cellStyle name="Normal 16 2 2 7 3" xfId="10968"/>
    <cellStyle name="Normal 16 2 2 7 3 2" xfId="10969"/>
    <cellStyle name="Normal 16 2 2 7 4" xfId="10970"/>
    <cellStyle name="Normal 16 2 2 8" xfId="10971"/>
    <cellStyle name="Normal 16 2 2 8 2" xfId="10972"/>
    <cellStyle name="Normal 16 2 2 8 2 2" xfId="10973"/>
    <cellStyle name="Normal 16 2 2 8 2 2 2" xfId="10974"/>
    <cellStyle name="Normal 16 2 2 8 2 3" xfId="10975"/>
    <cellStyle name="Normal 16 2 2 8 3" xfId="10976"/>
    <cellStyle name="Normal 16 2 2 8 3 2" xfId="10977"/>
    <cellStyle name="Normal 16 2 2 8 4" xfId="10978"/>
    <cellStyle name="Normal 16 2 2 9" xfId="10979"/>
    <cellStyle name="Normal 16 2 2 9 2" xfId="10980"/>
    <cellStyle name="Normal 16 2 2 9 2 2" xfId="10981"/>
    <cellStyle name="Normal 16 2 2 9 3" xfId="10982"/>
    <cellStyle name="Normal 16 2 3" xfId="10983"/>
    <cellStyle name="Normal 16 2 3 10" xfId="10984"/>
    <cellStyle name="Normal 16 2 3 2" xfId="10985"/>
    <cellStyle name="Normal 16 2 3 2 2" xfId="10986"/>
    <cellStyle name="Normal 16 2 3 2 2 2" xfId="10987"/>
    <cellStyle name="Normal 16 2 3 2 2 2 2" xfId="10988"/>
    <cellStyle name="Normal 16 2 3 2 2 2 2 2" xfId="10989"/>
    <cellStyle name="Normal 16 2 3 2 2 2 2 2 2" xfId="10990"/>
    <cellStyle name="Normal 16 2 3 2 2 2 2 2 2 2" xfId="10991"/>
    <cellStyle name="Normal 16 2 3 2 2 2 2 2 3" xfId="10992"/>
    <cellStyle name="Normal 16 2 3 2 2 2 2 3" xfId="10993"/>
    <cellStyle name="Normal 16 2 3 2 2 2 2 3 2" xfId="10994"/>
    <cellStyle name="Normal 16 2 3 2 2 2 2 4" xfId="10995"/>
    <cellStyle name="Normal 16 2 3 2 2 2 3" xfId="10996"/>
    <cellStyle name="Normal 16 2 3 2 2 2 3 2" xfId="10997"/>
    <cellStyle name="Normal 16 2 3 2 2 2 3 2 2" xfId="10998"/>
    <cellStyle name="Normal 16 2 3 2 2 2 3 2 2 2" xfId="10999"/>
    <cellStyle name="Normal 16 2 3 2 2 2 3 2 3" xfId="11000"/>
    <cellStyle name="Normal 16 2 3 2 2 2 3 3" xfId="11001"/>
    <cellStyle name="Normal 16 2 3 2 2 2 3 3 2" xfId="11002"/>
    <cellStyle name="Normal 16 2 3 2 2 2 3 4" xfId="11003"/>
    <cellStyle name="Normal 16 2 3 2 2 2 4" xfId="11004"/>
    <cellStyle name="Normal 16 2 3 2 2 2 4 2" xfId="11005"/>
    <cellStyle name="Normal 16 2 3 2 2 2 4 2 2" xfId="11006"/>
    <cellStyle name="Normal 16 2 3 2 2 2 4 3" xfId="11007"/>
    <cellStyle name="Normal 16 2 3 2 2 2 5" xfId="11008"/>
    <cellStyle name="Normal 16 2 3 2 2 2 5 2" xfId="11009"/>
    <cellStyle name="Normal 16 2 3 2 2 2 6" xfId="11010"/>
    <cellStyle name="Normal 16 2 3 2 2 3" xfId="11011"/>
    <cellStyle name="Normal 16 2 3 2 2 3 2" xfId="11012"/>
    <cellStyle name="Normal 16 2 3 2 2 3 2 2" xfId="11013"/>
    <cellStyle name="Normal 16 2 3 2 2 3 2 2 2" xfId="11014"/>
    <cellStyle name="Normal 16 2 3 2 2 3 2 3" xfId="11015"/>
    <cellStyle name="Normal 16 2 3 2 2 3 3" xfId="11016"/>
    <cellStyle name="Normal 16 2 3 2 2 3 3 2" xfId="11017"/>
    <cellStyle name="Normal 16 2 3 2 2 3 4" xfId="11018"/>
    <cellStyle name="Normal 16 2 3 2 2 4" xfId="11019"/>
    <cellStyle name="Normal 16 2 3 2 2 4 2" xfId="11020"/>
    <cellStyle name="Normal 16 2 3 2 2 4 2 2" xfId="11021"/>
    <cellStyle name="Normal 16 2 3 2 2 4 2 2 2" xfId="11022"/>
    <cellStyle name="Normal 16 2 3 2 2 4 2 3" xfId="11023"/>
    <cellStyle name="Normal 16 2 3 2 2 4 3" xfId="11024"/>
    <cellStyle name="Normal 16 2 3 2 2 4 3 2" xfId="11025"/>
    <cellStyle name="Normal 16 2 3 2 2 4 4" xfId="11026"/>
    <cellStyle name="Normal 16 2 3 2 2 5" xfId="11027"/>
    <cellStyle name="Normal 16 2 3 2 2 5 2" xfId="11028"/>
    <cellStyle name="Normal 16 2 3 2 2 5 2 2" xfId="11029"/>
    <cellStyle name="Normal 16 2 3 2 2 5 3" xfId="11030"/>
    <cellStyle name="Normal 16 2 3 2 2 6" xfId="11031"/>
    <cellStyle name="Normal 16 2 3 2 2 6 2" xfId="11032"/>
    <cellStyle name="Normal 16 2 3 2 2 7" xfId="11033"/>
    <cellStyle name="Normal 16 2 3 2 3" xfId="11034"/>
    <cellStyle name="Normal 16 2 3 2 3 2" xfId="11035"/>
    <cellStyle name="Normal 16 2 3 2 3 2 2" xfId="11036"/>
    <cellStyle name="Normal 16 2 3 2 3 2 2 2" xfId="11037"/>
    <cellStyle name="Normal 16 2 3 2 3 2 2 2 2" xfId="11038"/>
    <cellStyle name="Normal 16 2 3 2 3 2 2 3" xfId="11039"/>
    <cellStyle name="Normal 16 2 3 2 3 2 3" xfId="11040"/>
    <cellStyle name="Normal 16 2 3 2 3 2 3 2" xfId="11041"/>
    <cellStyle name="Normal 16 2 3 2 3 2 4" xfId="11042"/>
    <cellStyle name="Normal 16 2 3 2 3 3" xfId="11043"/>
    <cellStyle name="Normal 16 2 3 2 3 3 2" xfId="11044"/>
    <cellStyle name="Normal 16 2 3 2 3 3 2 2" xfId="11045"/>
    <cellStyle name="Normal 16 2 3 2 3 3 2 2 2" xfId="11046"/>
    <cellStyle name="Normal 16 2 3 2 3 3 2 3" xfId="11047"/>
    <cellStyle name="Normal 16 2 3 2 3 3 3" xfId="11048"/>
    <cellStyle name="Normal 16 2 3 2 3 3 3 2" xfId="11049"/>
    <cellStyle name="Normal 16 2 3 2 3 3 4" xfId="11050"/>
    <cellStyle name="Normal 16 2 3 2 3 4" xfId="11051"/>
    <cellStyle name="Normal 16 2 3 2 3 4 2" xfId="11052"/>
    <cellStyle name="Normal 16 2 3 2 3 4 2 2" xfId="11053"/>
    <cellStyle name="Normal 16 2 3 2 3 4 3" xfId="11054"/>
    <cellStyle name="Normal 16 2 3 2 3 5" xfId="11055"/>
    <cellStyle name="Normal 16 2 3 2 3 5 2" xfId="11056"/>
    <cellStyle name="Normal 16 2 3 2 3 6" xfId="11057"/>
    <cellStyle name="Normal 16 2 3 2 4" xfId="11058"/>
    <cellStyle name="Normal 16 2 3 2 4 2" xfId="11059"/>
    <cellStyle name="Normal 16 2 3 2 4 2 2" xfId="11060"/>
    <cellStyle name="Normal 16 2 3 2 4 2 2 2" xfId="11061"/>
    <cellStyle name="Normal 16 2 3 2 4 2 3" xfId="11062"/>
    <cellStyle name="Normal 16 2 3 2 4 3" xfId="11063"/>
    <cellStyle name="Normal 16 2 3 2 4 3 2" xfId="11064"/>
    <cellStyle name="Normal 16 2 3 2 4 4" xfId="11065"/>
    <cellStyle name="Normal 16 2 3 2 5" xfId="11066"/>
    <cellStyle name="Normal 16 2 3 2 5 2" xfId="11067"/>
    <cellStyle name="Normal 16 2 3 2 5 2 2" xfId="11068"/>
    <cellStyle name="Normal 16 2 3 2 5 2 2 2" xfId="11069"/>
    <cellStyle name="Normal 16 2 3 2 5 2 3" xfId="11070"/>
    <cellStyle name="Normal 16 2 3 2 5 3" xfId="11071"/>
    <cellStyle name="Normal 16 2 3 2 5 3 2" xfId="11072"/>
    <cellStyle name="Normal 16 2 3 2 5 4" xfId="11073"/>
    <cellStyle name="Normal 16 2 3 2 6" xfId="11074"/>
    <cellStyle name="Normal 16 2 3 2 6 2" xfId="11075"/>
    <cellStyle name="Normal 16 2 3 2 6 2 2" xfId="11076"/>
    <cellStyle name="Normal 16 2 3 2 6 2 2 2" xfId="11077"/>
    <cellStyle name="Normal 16 2 3 2 6 2 3" xfId="11078"/>
    <cellStyle name="Normal 16 2 3 2 6 3" xfId="11079"/>
    <cellStyle name="Normal 16 2 3 2 6 3 2" xfId="11080"/>
    <cellStyle name="Normal 16 2 3 2 6 4" xfId="11081"/>
    <cellStyle name="Normal 16 2 3 2 7" xfId="11082"/>
    <cellStyle name="Normal 16 2 3 2 7 2" xfId="11083"/>
    <cellStyle name="Normal 16 2 3 2 7 2 2" xfId="11084"/>
    <cellStyle name="Normal 16 2 3 2 7 3" xfId="11085"/>
    <cellStyle name="Normal 16 2 3 2 8" xfId="11086"/>
    <cellStyle name="Normal 16 2 3 2 8 2" xfId="11087"/>
    <cellStyle name="Normal 16 2 3 2 9" xfId="11088"/>
    <cellStyle name="Normal 16 2 3 3" xfId="11089"/>
    <cellStyle name="Normal 16 2 3 3 2" xfId="11090"/>
    <cellStyle name="Normal 16 2 3 3 2 2" xfId="11091"/>
    <cellStyle name="Normal 16 2 3 3 2 2 2" xfId="11092"/>
    <cellStyle name="Normal 16 2 3 3 2 2 2 2" xfId="11093"/>
    <cellStyle name="Normal 16 2 3 3 2 2 2 2 2" xfId="11094"/>
    <cellStyle name="Normal 16 2 3 3 2 2 2 3" xfId="11095"/>
    <cellStyle name="Normal 16 2 3 3 2 2 3" xfId="11096"/>
    <cellStyle name="Normal 16 2 3 3 2 2 3 2" xfId="11097"/>
    <cellStyle name="Normal 16 2 3 3 2 2 4" xfId="11098"/>
    <cellStyle name="Normal 16 2 3 3 2 3" xfId="11099"/>
    <cellStyle name="Normal 16 2 3 3 2 3 2" xfId="11100"/>
    <cellStyle name="Normal 16 2 3 3 2 3 2 2" xfId="11101"/>
    <cellStyle name="Normal 16 2 3 3 2 3 2 2 2" xfId="11102"/>
    <cellStyle name="Normal 16 2 3 3 2 3 2 3" xfId="11103"/>
    <cellStyle name="Normal 16 2 3 3 2 3 3" xfId="11104"/>
    <cellStyle name="Normal 16 2 3 3 2 3 3 2" xfId="11105"/>
    <cellStyle name="Normal 16 2 3 3 2 3 4" xfId="11106"/>
    <cellStyle name="Normal 16 2 3 3 2 4" xfId="11107"/>
    <cellStyle name="Normal 16 2 3 3 2 4 2" xfId="11108"/>
    <cellStyle name="Normal 16 2 3 3 2 4 2 2" xfId="11109"/>
    <cellStyle name="Normal 16 2 3 3 2 4 3" xfId="11110"/>
    <cellStyle name="Normal 16 2 3 3 2 5" xfId="11111"/>
    <cellStyle name="Normal 16 2 3 3 2 5 2" xfId="11112"/>
    <cellStyle name="Normal 16 2 3 3 2 6" xfId="11113"/>
    <cellStyle name="Normal 16 2 3 3 3" xfId="11114"/>
    <cellStyle name="Normal 16 2 3 3 3 2" xfId="11115"/>
    <cellStyle name="Normal 16 2 3 3 3 2 2" xfId="11116"/>
    <cellStyle name="Normal 16 2 3 3 3 2 2 2" xfId="11117"/>
    <cellStyle name="Normal 16 2 3 3 3 2 3" xfId="11118"/>
    <cellStyle name="Normal 16 2 3 3 3 3" xfId="11119"/>
    <cellStyle name="Normal 16 2 3 3 3 3 2" xfId="11120"/>
    <cellStyle name="Normal 16 2 3 3 3 4" xfId="11121"/>
    <cellStyle name="Normal 16 2 3 3 4" xfId="11122"/>
    <cellStyle name="Normal 16 2 3 3 4 2" xfId="11123"/>
    <cellStyle name="Normal 16 2 3 3 4 2 2" xfId="11124"/>
    <cellStyle name="Normal 16 2 3 3 4 2 2 2" xfId="11125"/>
    <cellStyle name="Normal 16 2 3 3 4 2 3" xfId="11126"/>
    <cellStyle name="Normal 16 2 3 3 4 3" xfId="11127"/>
    <cellStyle name="Normal 16 2 3 3 4 3 2" xfId="11128"/>
    <cellStyle name="Normal 16 2 3 3 4 4" xfId="11129"/>
    <cellStyle name="Normal 16 2 3 3 5" xfId="11130"/>
    <cellStyle name="Normal 16 2 3 3 5 2" xfId="11131"/>
    <cellStyle name="Normal 16 2 3 3 5 2 2" xfId="11132"/>
    <cellStyle name="Normal 16 2 3 3 5 3" xfId="11133"/>
    <cellStyle name="Normal 16 2 3 3 6" xfId="11134"/>
    <cellStyle name="Normal 16 2 3 3 6 2" xfId="11135"/>
    <cellStyle name="Normal 16 2 3 3 7" xfId="11136"/>
    <cellStyle name="Normal 16 2 3 4" xfId="11137"/>
    <cellStyle name="Normal 16 2 3 4 2" xfId="11138"/>
    <cellStyle name="Normal 16 2 3 4 2 2" xfId="11139"/>
    <cellStyle name="Normal 16 2 3 4 2 2 2" xfId="11140"/>
    <cellStyle name="Normal 16 2 3 4 2 2 2 2" xfId="11141"/>
    <cellStyle name="Normal 16 2 3 4 2 2 3" xfId="11142"/>
    <cellStyle name="Normal 16 2 3 4 2 3" xfId="11143"/>
    <cellStyle name="Normal 16 2 3 4 2 3 2" xfId="11144"/>
    <cellStyle name="Normal 16 2 3 4 2 4" xfId="11145"/>
    <cellStyle name="Normal 16 2 3 4 3" xfId="11146"/>
    <cellStyle name="Normal 16 2 3 4 3 2" xfId="11147"/>
    <cellStyle name="Normal 16 2 3 4 3 2 2" xfId="11148"/>
    <cellStyle name="Normal 16 2 3 4 3 2 2 2" xfId="11149"/>
    <cellStyle name="Normal 16 2 3 4 3 2 3" xfId="11150"/>
    <cellStyle name="Normal 16 2 3 4 3 3" xfId="11151"/>
    <cellStyle name="Normal 16 2 3 4 3 3 2" xfId="11152"/>
    <cellStyle name="Normal 16 2 3 4 3 4" xfId="11153"/>
    <cellStyle name="Normal 16 2 3 4 4" xfId="11154"/>
    <cellStyle name="Normal 16 2 3 4 4 2" xfId="11155"/>
    <cellStyle name="Normal 16 2 3 4 4 2 2" xfId="11156"/>
    <cellStyle name="Normal 16 2 3 4 4 3" xfId="11157"/>
    <cellStyle name="Normal 16 2 3 4 5" xfId="11158"/>
    <cellStyle name="Normal 16 2 3 4 5 2" xfId="11159"/>
    <cellStyle name="Normal 16 2 3 4 6" xfId="11160"/>
    <cellStyle name="Normal 16 2 3 5" xfId="11161"/>
    <cellStyle name="Normal 16 2 3 5 2" xfId="11162"/>
    <cellStyle name="Normal 16 2 3 5 2 2" xfId="11163"/>
    <cellStyle name="Normal 16 2 3 5 2 2 2" xfId="11164"/>
    <cellStyle name="Normal 16 2 3 5 2 3" xfId="11165"/>
    <cellStyle name="Normal 16 2 3 5 3" xfId="11166"/>
    <cellStyle name="Normal 16 2 3 5 3 2" xfId="11167"/>
    <cellStyle name="Normal 16 2 3 5 4" xfId="11168"/>
    <cellStyle name="Normal 16 2 3 6" xfId="11169"/>
    <cellStyle name="Normal 16 2 3 6 2" xfId="11170"/>
    <cellStyle name="Normal 16 2 3 6 2 2" xfId="11171"/>
    <cellStyle name="Normal 16 2 3 6 2 2 2" xfId="11172"/>
    <cellStyle name="Normal 16 2 3 6 2 3" xfId="11173"/>
    <cellStyle name="Normal 16 2 3 6 3" xfId="11174"/>
    <cellStyle name="Normal 16 2 3 6 3 2" xfId="11175"/>
    <cellStyle name="Normal 16 2 3 6 4" xfId="11176"/>
    <cellStyle name="Normal 16 2 3 7" xfId="11177"/>
    <cellStyle name="Normal 16 2 3 7 2" xfId="11178"/>
    <cellStyle name="Normal 16 2 3 7 2 2" xfId="11179"/>
    <cellStyle name="Normal 16 2 3 7 2 2 2" xfId="11180"/>
    <cellStyle name="Normal 16 2 3 7 2 3" xfId="11181"/>
    <cellStyle name="Normal 16 2 3 7 3" xfId="11182"/>
    <cellStyle name="Normal 16 2 3 7 3 2" xfId="11183"/>
    <cellStyle name="Normal 16 2 3 7 4" xfId="11184"/>
    <cellStyle name="Normal 16 2 3 8" xfId="11185"/>
    <cellStyle name="Normal 16 2 3 8 2" xfId="11186"/>
    <cellStyle name="Normal 16 2 3 8 2 2" xfId="11187"/>
    <cellStyle name="Normal 16 2 3 8 3" xfId="11188"/>
    <cellStyle name="Normal 16 2 3 9" xfId="11189"/>
    <cellStyle name="Normal 16 2 3 9 2" xfId="11190"/>
    <cellStyle name="Normal 16 2 4" xfId="11191"/>
    <cellStyle name="Normal 16 2 4 10" xfId="11192"/>
    <cellStyle name="Normal 16 2 4 2" xfId="11193"/>
    <cellStyle name="Normal 16 2 4 2 2" xfId="11194"/>
    <cellStyle name="Normal 16 2 4 2 2 2" xfId="11195"/>
    <cellStyle name="Normal 16 2 4 2 2 2 2" xfId="11196"/>
    <cellStyle name="Normal 16 2 4 2 2 2 2 2" xfId="11197"/>
    <cellStyle name="Normal 16 2 4 2 2 2 2 2 2" xfId="11198"/>
    <cellStyle name="Normal 16 2 4 2 2 2 2 2 2 2" xfId="11199"/>
    <cellStyle name="Normal 16 2 4 2 2 2 2 2 3" xfId="11200"/>
    <cellStyle name="Normal 16 2 4 2 2 2 2 3" xfId="11201"/>
    <cellStyle name="Normal 16 2 4 2 2 2 2 3 2" xfId="11202"/>
    <cellStyle name="Normal 16 2 4 2 2 2 2 4" xfId="11203"/>
    <cellStyle name="Normal 16 2 4 2 2 2 3" xfId="11204"/>
    <cellStyle name="Normal 16 2 4 2 2 2 3 2" xfId="11205"/>
    <cellStyle name="Normal 16 2 4 2 2 2 3 2 2" xfId="11206"/>
    <cellStyle name="Normal 16 2 4 2 2 2 3 2 2 2" xfId="11207"/>
    <cellStyle name="Normal 16 2 4 2 2 2 3 2 3" xfId="11208"/>
    <cellStyle name="Normal 16 2 4 2 2 2 3 3" xfId="11209"/>
    <cellStyle name="Normal 16 2 4 2 2 2 3 3 2" xfId="11210"/>
    <cellStyle name="Normal 16 2 4 2 2 2 3 4" xfId="11211"/>
    <cellStyle name="Normal 16 2 4 2 2 2 4" xfId="11212"/>
    <cellStyle name="Normal 16 2 4 2 2 2 4 2" xfId="11213"/>
    <cellStyle name="Normal 16 2 4 2 2 2 4 2 2" xfId="11214"/>
    <cellStyle name="Normal 16 2 4 2 2 2 4 3" xfId="11215"/>
    <cellStyle name="Normal 16 2 4 2 2 2 5" xfId="11216"/>
    <cellStyle name="Normal 16 2 4 2 2 2 5 2" xfId="11217"/>
    <cellStyle name="Normal 16 2 4 2 2 2 6" xfId="11218"/>
    <cellStyle name="Normal 16 2 4 2 2 3" xfId="11219"/>
    <cellStyle name="Normal 16 2 4 2 2 3 2" xfId="11220"/>
    <cellStyle name="Normal 16 2 4 2 2 3 2 2" xfId="11221"/>
    <cellStyle name="Normal 16 2 4 2 2 3 2 2 2" xfId="11222"/>
    <cellStyle name="Normal 16 2 4 2 2 3 2 3" xfId="11223"/>
    <cellStyle name="Normal 16 2 4 2 2 3 3" xfId="11224"/>
    <cellStyle name="Normal 16 2 4 2 2 3 3 2" xfId="11225"/>
    <cellStyle name="Normal 16 2 4 2 2 3 4" xfId="11226"/>
    <cellStyle name="Normal 16 2 4 2 2 4" xfId="11227"/>
    <cellStyle name="Normal 16 2 4 2 2 4 2" xfId="11228"/>
    <cellStyle name="Normal 16 2 4 2 2 4 2 2" xfId="11229"/>
    <cellStyle name="Normal 16 2 4 2 2 4 2 2 2" xfId="11230"/>
    <cellStyle name="Normal 16 2 4 2 2 4 2 3" xfId="11231"/>
    <cellStyle name="Normal 16 2 4 2 2 4 3" xfId="11232"/>
    <cellStyle name="Normal 16 2 4 2 2 4 3 2" xfId="11233"/>
    <cellStyle name="Normal 16 2 4 2 2 4 4" xfId="11234"/>
    <cellStyle name="Normal 16 2 4 2 2 5" xfId="11235"/>
    <cellStyle name="Normal 16 2 4 2 2 5 2" xfId="11236"/>
    <cellStyle name="Normal 16 2 4 2 2 5 2 2" xfId="11237"/>
    <cellStyle name="Normal 16 2 4 2 2 5 3" xfId="11238"/>
    <cellStyle name="Normal 16 2 4 2 2 6" xfId="11239"/>
    <cellStyle name="Normal 16 2 4 2 2 6 2" xfId="11240"/>
    <cellStyle name="Normal 16 2 4 2 2 7" xfId="11241"/>
    <cellStyle name="Normal 16 2 4 2 3" xfId="11242"/>
    <cellStyle name="Normal 16 2 4 2 3 2" xfId="11243"/>
    <cellStyle name="Normal 16 2 4 2 3 2 2" xfId="11244"/>
    <cellStyle name="Normal 16 2 4 2 3 2 2 2" xfId="11245"/>
    <cellStyle name="Normal 16 2 4 2 3 2 2 2 2" xfId="11246"/>
    <cellStyle name="Normal 16 2 4 2 3 2 2 3" xfId="11247"/>
    <cellStyle name="Normal 16 2 4 2 3 2 3" xfId="11248"/>
    <cellStyle name="Normal 16 2 4 2 3 2 3 2" xfId="11249"/>
    <cellStyle name="Normal 16 2 4 2 3 2 4" xfId="11250"/>
    <cellStyle name="Normal 16 2 4 2 3 3" xfId="11251"/>
    <cellStyle name="Normal 16 2 4 2 3 3 2" xfId="11252"/>
    <cellStyle name="Normal 16 2 4 2 3 3 2 2" xfId="11253"/>
    <cellStyle name="Normal 16 2 4 2 3 3 2 2 2" xfId="11254"/>
    <cellStyle name="Normal 16 2 4 2 3 3 2 3" xfId="11255"/>
    <cellStyle name="Normal 16 2 4 2 3 3 3" xfId="11256"/>
    <cellStyle name="Normal 16 2 4 2 3 3 3 2" xfId="11257"/>
    <cellStyle name="Normal 16 2 4 2 3 3 4" xfId="11258"/>
    <cellStyle name="Normal 16 2 4 2 3 4" xfId="11259"/>
    <cellStyle name="Normal 16 2 4 2 3 4 2" xfId="11260"/>
    <cellStyle name="Normal 16 2 4 2 3 4 2 2" xfId="11261"/>
    <cellStyle name="Normal 16 2 4 2 3 4 3" xfId="11262"/>
    <cellStyle name="Normal 16 2 4 2 3 5" xfId="11263"/>
    <cellStyle name="Normal 16 2 4 2 3 5 2" xfId="11264"/>
    <cellStyle name="Normal 16 2 4 2 3 6" xfId="11265"/>
    <cellStyle name="Normal 16 2 4 2 4" xfId="11266"/>
    <cellStyle name="Normal 16 2 4 2 4 2" xfId="11267"/>
    <cellStyle name="Normal 16 2 4 2 4 2 2" xfId="11268"/>
    <cellStyle name="Normal 16 2 4 2 4 2 2 2" xfId="11269"/>
    <cellStyle name="Normal 16 2 4 2 4 2 3" xfId="11270"/>
    <cellStyle name="Normal 16 2 4 2 4 3" xfId="11271"/>
    <cellStyle name="Normal 16 2 4 2 4 3 2" xfId="11272"/>
    <cellStyle name="Normal 16 2 4 2 4 4" xfId="11273"/>
    <cellStyle name="Normal 16 2 4 2 5" xfId="11274"/>
    <cellStyle name="Normal 16 2 4 2 5 2" xfId="11275"/>
    <cellStyle name="Normal 16 2 4 2 5 2 2" xfId="11276"/>
    <cellStyle name="Normal 16 2 4 2 5 2 2 2" xfId="11277"/>
    <cellStyle name="Normal 16 2 4 2 5 2 3" xfId="11278"/>
    <cellStyle name="Normal 16 2 4 2 5 3" xfId="11279"/>
    <cellStyle name="Normal 16 2 4 2 5 3 2" xfId="11280"/>
    <cellStyle name="Normal 16 2 4 2 5 4" xfId="11281"/>
    <cellStyle name="Normal 16 2 4 2 6" xfId="11282"/>
    <cellStyle name="Normal 16 2 4 2 6 2" xfId="11283"/>
    <cellStyle name="Normal 16 2 4 2 6 2 2" xfId="11284"/>
    <cellStyle name="Normal 16 2 4 2 6 2 2 2" xfId="11285"/>
    <cellStyle name="Normal 16 2 4 2 6 2 3" xfId="11286"/>
    <cellStyle name="Normal 16 2 4 2 6 3" xfId="11287"/>
    <cellStyle name="Normal 16 2 4 2 6 3 2" xfId="11288"/>
    <cellStyle name="Normal 16 2 4 2 6 4" xfId="11289"/>
    <cellStyle name="Normal 16 2 4 2 7" xfId="11290"/>
    <cellStyle name="Normal 16 2 4 2 7 2" xfId="11291"/>
    <cellStyle name="Normal 16 2 4 2 7 2 2" xfId="11292"/>
    <cellStyle name="Normal 16 2 4 2 7 3" xfId="11293"/>
    <cellStyle name="Normal 16 2 4 2 8" xfId="11294"/>
    <cellStyle name="Normal 16 2 4 2 8 2" xfId="11295"/>
    <cellStyle name="Normal 16 2 4 2 9" xfId="11296"/>
    <cellStyle name="Normal 16 2 4 3" xfId="11297"/>
    <cellStyle name="Normal 16 2 4 3 2" xfId="11298"/>
    <cellStyle name="Normal 16 2 4 3 2 2" xfId="11299"/>
    <cellStyle name="Normal 16 2 4 3 2 2 2" xfId="11300"/>
    <cellStyle name="Normal 16 2 4 3 2 2 2 2" xfId="11301"/>
    <cellStyle name="Normal 16 2 4 3 2 2 2 2 2" xfId="11302"/>
    <cellStyle name="Normal 16 2 4 3 2 2 2 3" xfId="11303"/>
    <cellStyle name="Normal 16 2 4 3 2 2 3" xfId="11304"/>
    <cellStyle name="Normal 16 2 4 3 2 2 3 2" xfId="11305"/>
    <cellStyle name="Normal 16 2 4 3 2 2 4" xfId="11306"/>
    <cellStyle name="Normal 16 2 4 3 2 3" xfId="11307"/>
    <cellStyle name="Normal 16 2 4 3 2 3 2" xfId="11308"/>
    <cellStyle name="Normal 16 2 4 3 2 3 2 2" xfId="11309"/>
    <cellStyle name="Normal 16 2 4 3 2 3 2 2 2" xfId="11310"/>
    <cellStyle name="Normal 16 2 4 3 2 3 2 3" xfId="11311"/>
    <cellStyle name="Normal 16 2 4 3 2 3 3" xfId="11312"/>
    <cellStyle name="Normal 16 2 4 3 2 3 3 2" xfId="11313"/>
    <cellStyle name="Normal 16 2 4 3 2 3 4" xfId="11314"/>
    <cellStyle name="Normal 16 2 4 3 2 4" xfId="11315"/>
    <cellStyle name="Normal 16 2 4 3 2 4 2" xfId="11316"/>
    <cellStyle name="Normal 16 2 4 3 2 4 2 2" xfId="11317"/>
    <cellStyle name="Normal 16 2 4 3 2 4 3" xfId="11318"/>
    <cellStyle name="Normal 16 2 4 3 2 5" xfId="11319"/>
    <cellStyle name="Normal 16 2 4 3 2 5 2" xfId="11320"/>
    <cellStyle name="Normal 16 2 4 3 2 6" xfId="11321"/>
    <cellStyle name="Normal 16 2 4 3 3" xfId="11322"/>
    <cellStyle name="Normal 16 2 4 3 3 2" xfId="11323"/>
    <cellStyle name="Normal 16 2 4 3 3 2 2" xfId="11324"/>
    <cellStyle name="Normal 16 2 4 3 3 2 2 2" xfId="11325"/>
    <cellStyle name="Normal 16 2 4 3 3 2 3" xfId="11326"/>
    <cellStyle name="Normal 16 2 4 3 3 3" xfId="11327"/>
    <cellStyle name="Normal 16 2 4 3 3 3 2" xfId="11328"/>
    <cellStyle name="Normal 16 2 4 3 3 4" xfId="11329"/>
    <cellStyle name="Normal 16 2 4 3 4" xfId="11330"/>
    <cellStyle name="Normal 16 2 4 3 4 2" xfId="11331"/>
    <cellStyle name="Normal 16 2 4 3 4 2 2" xfId="11332"/>
    <cellStyle name="Normal 16 2 4 3 4 2 2 2" xfId="11333"/>
    <cellStyle name="Normal 16 2 4 3 4 2 3" xfId="11334"/>
    <cellStyle name="Normal 16 2 4 3 4 3" xfId="11335"/>
    <cellStyle name="Normal 16 2 4 3 4 3 2" xfId="11336"/>
    <cellStyle name="Normal 16 2 4 3 4 4" xfId="11337"/>
    <cellStyle name="Normal 16 2 4 3 5" xfId="11338"/>
    <cellStyle name="Normal 16 2 4 3 5 2" xfId="11339"/>
    <cellStyle name="Normal 16 2 4 3 5 2 2" xfId="11340"/>
    <cellStyle name="Normal 16 2 4 3 5 3" xfId="11341"/>
    <cellStyle name="Normal 16 2 4 3 6" xfId="11342"/>
    <cellStyle name="Normal 16 2 4 3 6 2" xfId="11343"/>
    <cellStyle name="Normal 16 2 4 3 7" xfId="11344"/>
    <cellStyle name="Normal 16 2 4 4" xfId="11345"/>
    <cellStyle name="Normal 16 2 4 4 2" xfId="11346"/>
    <cellStyle name="Normal 16 2 4 4 2 2" xfId="11347"/>
    <cellStyle name="Normal 16 2 4 4 2 2 2" xfId="11348"/>
    <cellStyle name="Normal 16 2 4 4 2 2 2 2" xfId="11349"/>
    <cellStyle name="Normal 16 2 4 4 2 2 3" xfId="11350"/>
    <cellStyle name="Normal 16 2 4 4 2 3" xfId="11351"/>
    <cellStyle name="Normal 16 2 4 4 2 3 2" xfId="11352"/>
    <cellStyle name="Normal 16 2 4 4 2 4" xfId="11353"/>
    <cellStyle name="Normal 16 2 4 4 3" xfId="11354"/>
    <cellStyle name="Normal 16 2 4 4 3 2" xfId="11355"/>
    <cellStyle name="Normal 16 2 4 4 3 2 2" xfId="11356"/>
    <cellStyle name="Normal 16 2 4 4 3 2 2 2" xfId="11357"/>
    <cellStyle name="Normal 16 2 4 4 3 2 3" xfId="11358"/>
    <cellStyle name="Normal 16 2 4 4 3 3" xfId="11359"/>
    <cellStyle name="Normal 16 2 4 4 3 3 2" xfId="11360"/>
    <cellStyle name="Normal 16 2 4 4 3 4" xfId="11361"/>
    <cellStyle name="Normal 16 2 4 4 4" xfId="11362"/>
    <cellStyle name="Normal 16 2 4 4 4 2" xfId="11363"/>
    <cellStyle name="Normal 16 2 4 4 4 2 2" xfId="11364"/>
    <cellStyle name="Normal 16 2 4 4 4 3" xfId="11365"/>
    <cellStyle name="Normal 16 2 4 4 5" xfId="11366"/>
    <cellStyle name="Normal 16 2 4 4 5 2" xfId="11367"/>
    <cellStyle name="Normal 16 2 4 4 6" xfId="11368"/>
    <cellStyle name="Normal 16 2 4 5" xfId="11369"/>
    <cellStyle name="Normal 16 2 4 5 2" xfId="11370"/>
    <cellStyle name="Normal 16 2 4 5 2 2" xfId="11371"/>
    <cellStyle name="Normal 16 2 4 5 2 2 2" xfId="11372"/>
    <cellStyle name="Normal 16 2 4 5 2 3" xfId="11373"/>
    <cellStyle name="Normal 16 2 4 5 3" xfId="11374"/>
    <cellStyle name="Normal 16 2 4 5 3 2" xfId="11375"/>
    <cellStyle name="Normal 16 2 4 5 4" xfId="11376"/>
    <cellStyle name="Normal 16 2 4 6" xfId="11377"/>
    <cellStyle name="Normal 16 2 4 6 2" xfId="11378"/>
    <cellStyle name="Normal 16 2 4 6 2 2" xfId="11379"/>
    <cellStyle name="Normal 16 2 4 6 2 2 2" xfId="11380"/>
    <cellStyle name="Normal 16 2 4 6 2 3" xfId="11381"/>
    <cellStyle name="Normal 16 2 4 6 3" xfId="11382"/>
    <cellStyle name="Normal 16 2 4 6 3 2" xfId="11383"/>
    <cellStyle name="Normal 16 2 4 6 4" xfId="11384"/>
    <cellStyle name="Normal 16 2 4 7" xfId="11385"/>
    <cellStyle name="Normal 16 2 4 7 2" xfId="11386"/>
    <cellStyle name="Normal 16 2 4 7 2 2" xfId="11387"/>
    <cellStyle name="Normal 16 2 4 7 2 2 2" xfId="11388"/>
    <cellStyle name="Normal 16 2 4 7 2 3" xfId="11389"/>
    <cellStyle name="Normal 16 2 4 7 3" xfId="11390"/>
    <cellStyle name="Normal 16 2 4 7 3 2" xfId="11391"/>
    <cellStyle name="Normal 16 2 4 7 4" xfId="11392"/>
    <cellStyle name="Normal 16 2 4 8" xfId="11393"/>
    <cellStyle name="Normal 16 2 4 8 2" xfId="11394"/>
    <cellStyle name="Normal 16 2 4 8 2 2" xfId="11395"/>
    <cellStyle name="Normal 16 2 4 8 3" xfId="11396"/>
    <cellStyle name="Normal 16 2 4 9" xfId="11397"/>
    <cellStyle name="Normal 16 2 4 9 2" xfId="11398"/>
    <cellStyle name="Normal 16 2 5" xfId="11399"/>
    <cellStyle name="Normal 16 2 5 2" xfId="11400"/>
    <cellStyle name="Normal 16 2 5 2 2" xfId="11401"/>
    <cellStyle name="Normal 16 2 5 2 2 2" xfId="11402"/>
    <cellStyle name="Normal 16 2 5 2 2 2 2" xfId="11403"/>
    <cellStyle name="Normal 16 2 5 2 2 2 2 2" xfId="11404"/>
    <cellStyle name="Normal 16 2 5 2 2 2 2 2 2" xfId="11405"/>
    <cellStyle name="Normal 16 2 5 2 2 2 2 3" xfId="11406"/>
    <cellStyle name="Normal 16 2 5 2 2 2 3" xfId="11407"/>
    <cellStyle name="Normal 16 2 5 2 2 2 3 2" xfId="11408"/>
    <cellStyle name="Normal 16 2 5 2 2 2 4" xfId="11409"/>
    <cellStyle name="Normal 16 2 5 2 2 3" xfId="11410"/>
    <cellStyle name="Normal 16 2 5 2 2 3 2" xfId="11411"/>
    <cellStyle name="Normal 16 2 5 2 2 3 2 2" xfId="11412"/>
    <cellStyle name="Normal 16 2 5 2 2 3 2 2 2" xfId="11413"/>
    <cellStyle name="Normal 16 2 5 2 2 3 2 3" xfId="11414"/>
    <cellStyle name="Normal 16 2 5 2 2 3 3" xfId="11415"/>
    <cellStyle name="Normal 16 2 5 2 2 3 3 2" xfId="11416"/>
    <cellStyle name="Normal 16 2 5 2 2 3 4" xfId="11417"/>
    <cellStyle name="Normal 16 2 5 2 2 4" xfId="11418"/>
    <cellStyle name="Normal 16 2 5 2 2 4 2" xfId="11419"/>
    <cellStyle name="Normal 16 2 5 2 2 4 2 2" xfId="11420"/>
    <cellStyle name="Normal 16 2 5 2 2 4 3" xfId="11421"/>
    <cellStyle name="Normal 16 2 5 2 2 5" xfId="11422"/>
    <cellStyle name="Normal 16 2 5 2 2 5 2" xfId="11423"/>
    <cellStyle name="Normal 16 2 5 2 2 6" xfId="11424"/>
    <cellStyle name="Normal 16 2 5 2 3" xfId="11425"/>
    <cellStyle name="Normal 16 2 5 2 3 2" xfId="11426"/>
    <cellStyle name="Normal 16 2 5 2 3 2 2" xfId="11427"/>
    <cellStyle name="Normal 16 2 5 2 3 2 2 2" xfId="11428"/>
    <cellStyle name="Normal 16 2 5 2 3 2 3" xfId="11429"/>
    <cellStyle name="Normal 16 2 5 2 3 3" xfId="11430"/>
    <cellStyle name="Normal 16 2 5 2 3 3 2" xfId="11431"/>
    <cellStyle name="Normal 16 2 5 2 3 4" xfId="11432"/>
    <cellStyle name="Normal 16 2 5 2 4" xfId="11433"/>
    <cellStyle name="Normal 16 2 5 2 4 2" xfId="11434"/>
    <cellStyle name="Normal 16 2 5 2 4 2 2" xfId="11435"/>
    <cellStyle name="Normal 16 2 5 2 4 2 2 2" xfId="11436"/>
    <cellStyle name="Normal 16 2 5 2 4 2 3" xfId="11437"/>
    <cellStyle name="Normal 16 2 5 2 4 3" xfId="11438"/>
    <cellStyle name="Normal 16 2 5 2 4 3 2" xfId="11439"/>
    <cellStyle name="Normal 16 2 5 2 4 4" xfId="11440"/>
    <cellStyle name="Normal 16 2 5 2 5" xfId="11441"/>
    <cellStyle name="Normal 16 2 5 2 5 2" xfId="11442"/>
    <cellStyle name="Normal 16 2 5 2 5 2 2" xfId="11443"/>
    <cellStyle name="Normal 16 2 5 2 5 3" xfId="11444"/>
    <cellStyle name="Normal 16 2 5 2 6" xfId="11445"/>
    <cellStyle name="Normal 16 2 5 2 6 2" xfId="11446"/>
    <cellStyle name="Normal 16 2 5 2 7" xfId="11447"/>
    <cellStyle name="Normal 16 2 5 3" xfId="11448"/>
    <cellStyle name="Normal 16 2 5 3 2" xfId="11449"/>
    <cellStyle name="Normal 16 2 5 3 2 2" xfId="11450"/>
    <cellStyle name="Normal 16 2 5 3 2 2 2" xfId="11451"/>
    <cellStyle name="Normal 16 2 5 3 2 2 2 2" xfId="11452"/>
    <cellStyle name="Normal 16 2 5 3 2 2 3" xfId="11453"/>
    <cellStyle name="Normal 16 2 5 3 2 3" xfId="11454"/>
    <cellStyle name="Normal 16 2 5 3 2 3 2" xfId="11455"/>
    <cellStyle name="Normal 16 2 5 3 2 4" xfId="11456"/>
    <cellStyle name="Normal 16 2 5 3 3" xfId="11457"/>
    <cellStyle name="Normal 16 2 5 3 3 2" xfId="11458"/>
    <cellStyle name="Normal 16 2 5 3 3 2 2" xfId="11459"/>
    <cellStyle name="Normal 16 2 5 3 3 2 2 2" xfId="11460"/>
    <cellStyle name="Normal 16 2 5 3 3 2 3" xfId="11461"/>
    <cellStyle name="Normal 16 2 5 3 3 3" xfId="11462"/>
    <cellStyle name="Normal 16 2 5 3 3 3 2" xfId="11463"/>
    <cellStyle name="Normal 16 2 5 3 3 4" xfId="11464"/>
    <cellStyle name="Normal 16 2 5 3 4" xfId="11465"/>
    <cellStyle name="Normal 16 2 5 3 4 2" xfId="11466"/>
    <cellStyle name="Normal 16 2 5 3 4 2 2" xfId="11467"/>
    <cellStyle name="Normal 16 2 5 3 4 3" xfId="11468"/>
    <cellStyle name="Normal 16 2 5 3 5" xfId="11469"/>
    <cellStyle name="Normal 16 2 5 3 5 2" xfId="11470"/>
    <cellStyle name="Normal 16 2 5 3 6" xfId="11471"/>
    <cellStyle name="Normal 16 2 5 4" xfId="11472"/>
    <cellStyle name="Normal 16 2 5 4 2" xfId="11473"/>
    <cellStyle name="Normal 16 2 5 4 2 2" xfId="11474"/>
    <cellStyle name="Normal 16 2 5 4 2 2 2" xfId="11475"/>
    <cellStyle name="Normal 16 2 5 4 2 3" xfId="11476"/>
    <cellStyle name="Normal 16 2 5 4 3" xfId="11477"/>
    <cellStyle name="Normal 16 2 5 4 3 2" xfId="11478"/>
    <cellStyle name="Normal 16 2 5 4 4" xfId="11479"/>
    <cellStyle name="Normal 16 2 5 5" xfId="11480"/>
    <cellStyle name="Normal 16 2 5 5 2" xfId="11481"/>
    <cellStyle name="Normal 16 2 5 5 2 2" xfId="11482"/>
    <cellStyle name="Normal 16 2 5 5 2 2 2" xfId="11483"/>
    <cellStyle name="Normal 16 2 5 5 2 3" xfId="11484"/>
    <cellStyle name="Normal 16 2 5 5 3" xfId="11485"/>
    <cellStyle name="Normal 16 2 5 5 3 2" xfId="11486"/>
    <cellStyle name="Normal 16 2 5 5 4" xfId="11487"/>
    <cellStyle name="Normal 16 2 5 6" xfId="11488"/>
    <cellStyle name="Normal 16 2 5 6 2" xfId="11489"/>
    <cellStyle name="Normal 16 2 5 6 2 2" xfId="11490"/>
    <cellStyle name="Normal 16 2 5 6 2 2 2" xfId="11491"/>
    <cellStyle name="Normal 16 2 5 6 2 3" xfId="11492"/>
    <cellStyle name="Normal 16 2 5 6 3" xfId="11493"/>
    <cellStyle name="Normal 16 2 5 6 3 2" xfId="11494"/>
    <cellStyle name="Normal 16 2 5 6 4" xfId="11495"/>
    <cellStyle name="Normal 16 2 5 7" xfId="11496"/>
    <cellStyle name="Normal 16 2 5 7 2" xfId="11497"/>
    <cellStyle name="Normal 16 2 5 7 2 2" xfId="11498"/>
    <cellStyle name="Normal 16 2 5 7 3" xfId="11499"/>
    <cellStyle name="Normal 16 2 5 8" xfId="11500"/>
    <cellStyle name="Normal 16 2 5 8 2" xfId="11501"/>
    <cellStyle name="Normal 16 2 5 9" xfId="11502"/>
    <cellStyle name="Normal 16 2 6" xfId="11503"/>
    <cellStyle name="Normal 16 2 6 2" xfId="11504"/>
    <cellStyle name="Normal 16 2 6 2 2" xfId="11505"/>
    <cellStyle name="Normal 16 2 6 2 2 2" xfId="11506"/>
    <cellStyle name="Normal 16 2 6 2 2 2 2" xfId="11507"/>
    <cellStyle name="Normal 16 2 6 2 2 2 2 2" xfId="11508"/>
    <cellStyle name="Normal 16 2 6 2 2 2 3" xfId="11509"/>
    <cellStyle name="Normal 16 2 6 2 2 3" xfId="11510"/>
    <cellStyle name="Normal 16 2 6 2 2 3 2" xfId="11511"/>
    <cellStyle name="Normal 16 2 6 2 2 4" xfId="11512"/>
    <cellStyle name="Normal 16 2 6 2 3" xfId="11513"/>
    <cellStyle name="Normal 16 2 6 2 3 2" xfId="11514"/>
    <cellStyle name="Normal 16 2 6 2 3 2 2" xfId="11515"/>
    <cellStyle name="Normal 16 2 6 2 3 2 2 2" xfId="11516"/>
    <cellStyle name="Normal 16 2 6 2 3 2 3" xfId="11517"/>
    <cellStyle name="Normal 16 2 6 2 3 3" xfId="11518"/>
    <cellStyle name="Normal 16 2 6 2 3 3 2" xfId="11519"/>
    <cellStyle name="Normal 16 2 6 2 3 4" xfId="11520"/>
    <cellStyle name="Normal 16 2 6 2 4" xfId="11521"/>
    <cellStyle name="Normal 16 2 6 2 4 2" xfId="11522"/>
    <cellStyle name="Normal 16 2 6 2 4 2 2" xfId="11523"/>
    <cellStyle name="Normal 16 2 6 2 4 3" xfId="11524"/>
    <cellStyle name="Normal 16 2 6 2 5" xfId="11525"/>
    <cellStyle name="Normal 16 2 6 2 5 2" xfId="11526"/>
    <cellStyle name="Normal 16 2 6 2 6" xfId="11527"/>
    <cellStyle name="Normal 16 2 6 3" xfId="11528"/>
    <cellStyle name="Normal 16 2 6 3 2" xfId="11529"/>
    <cellStyle name="Normal 16 2 6 3 2 2" xfId="11530"/>
    <cellStyle name="Normal 16 2 6 3 2 2 2" xfId="11531"/>
    <cellStyle name="Normal 16 2 6 3 2 3" xfId="11532"/>
    <cellStyle name="Normal 16 2 6 3 3" xfId="11533"/>
    <cellStyle name="Normal 16 2 6 3 3 2" xfId="11534"/>
    <cellStyle name="Normal 16 2 6 3 4" xfId="11535"/>
    <cellStyle name="Normal 16 2 6 4" xfId="11536"/>
    <cellStyle name="Normal 16 2 6 4 2" xfId="11537"/>
    <cellStyle name="Normal 16 2 6 4 2 2" xfId="11538"/>
    <cellStyle name="Normal 16 2 6 4 2 2 2" xfId="11539"/>
    <cellStyle name="Normal 16 2 6 4 2 3" xfId="11540"/>
    <cellStyle name="Normal 16 2 6 4 3" xfId="11541"/>
    <cellStyle name="Normal 16 2 6 4 3 2" xfId="11542"/>
    <cellStyle name="Normal 16 2 6 4 4" xfId="11543"/>
    <cellStyle name="Normal 16 2 6 5" xfId="11544"/>
    <cellStyle name="Normal 16 2 6 5 2" xfId="11545"/>
    <cellStyle name="Normal 16 2 6 5 2 2" xfId="11546"/>
    <cellStyle name="Normal 16 2 6 5 3" xfId="11547"/>
    <cellStyle name="Normal 16 2 6 6" xfId="11548"/>
    <cellStyle name="Normal 16 2 6 6 2" xfId="11549"/>
    <cellStyle name="Normal 16 2 6 7" xfId="11550"/>
    <cellStyle name="Normal 16 2 7" xfId="11551"/>
    <cellStyle name="Normal 16 2 7 2" xfId="11552"/>
    <cellStyle name="Normal 16 2 7 2 2" xfId="11553"/>
    <cellStyle name="Normal 16 2 7 2 2 2" xfId="11554"/>
    <cellStyle name="Normal 16 2 7 2 2 2 2" xfId="11555"/>
    <cellStyle name="Normal 16 2 7 2 2 3" xfId="11556"/>
    <cellStyle name="Normal 16 2 7 2 3" xfId="11557"/>
    <cellStyle name="Normal 16 2 7 2 3 2" xfId="11558"/>
    <cellStyle name="Normal 16 2 7 2 4" xfId="11559"/>
    <cellStyle name="Normal 16 2 7 3" xfId="11560"/>
    <cellStyle name="Normal 16 2 7 3 2" xfId="11561"/>
    <cellStyle name="Normal 16 2 7 3 2 2" xfId="11562"/>
    <cellStyle name="Normal 16 2 7 3 2 2 2" xfId="11563"/>
    <cellStyle name="Normal 16 2 7 3 2 3" xfId="11564"/>
    <cellStyle name="Normal 16 2 7 3 3" xfId="11565"/>
    <cellStyle name="Normal 16 2 7 3 3 2" xfId="11566"/>
    <cellStyle name="Normal 16 2 7 3 4" xfId="11567"/>
    <cellStyle name="Normal 16 2 7 4" xfId="11568"/>
    <cellStyle name="Normal 16 2 7 4 2" xfId="11569"/>
    <cellStyle name="Normal 16 2 7 4 2 2" xfId="11570"/>
    <cellStyle name="Normal 16 2 7 4 3" xfId="11571"/>
    <cellStyle name="Normal 16 2 7 5" xfId="11572"/>
    <cellStyle name="Normal 16 2 7 5 2" xfId="11573"/>
    <cellStyle name="Normal 16 2 7 6" xfId="11574"/>
    <cellStyle name="Normal 16 2 8" xfId="11575"/>
    <cellStyle name="Normal 16 2 8 2" xfId="11576"/>
    <cellStyle name="Normal 16 2 8 2 2" xfId="11577"/>
    <cellStyle name="Normal 16 2 8 2 2 2" xfId="11578"/>
    <cellStyle name="Normal 16 2 8 2 3" xfId="11579"/>
    <cellStyle name="Normal 16 2 8 3" xfId="11580"/>
    <cellStyle name="Normal 16 2 8 3 2" xfId="11581"/>
    <cellStyle name="Normal 16 2 8 4" xfId="11582"/>
    <cellStyle name="Normal 16 2 9" xfId="11583"/>
    <cellStyle name="Normal 16 2 9 2" xfId="11584"/>
    <cellStyle name="Normal 16 2 9 2 2" xfId="11585"/>
    <cellStyle name="Normal 16 2 9 2 2 2" xfId="11586"/>
    <cellStyle name="Normal 16 2 9 2 3" xfId="11587"/>
    <cellStyle name="Normal 16 2 9 3" xfId="11588"/>
    <cellStyle name="Normal 16 2 9 3 2" xfId="11589"/>
    <cellStyle name="Normal 16 2 9 4" xfId="11590"/>
    <cellStyle name="Normal 16 3" xfId="11591"/>
    <cellStyle name="Normal 16 3 10" xfId="11592"/>
    <cellStyle name="Normal 16 3 10 2" xfId="11593"/>
    <cellStyle name="Normal 16 3 11" xfId="11594"/>
    <cellStyle name="Normal 16 3 2" xfId="11595"/>
    <cellStyle name="Normal 16 3 2 10" xfId="11596"/>
    <cellStyle name="Normal 16 3 2 2" xfId="11597"/>
    <cellStyle name="Normal 16 3 2 2 2" xfId="11598"/>
    <cellStyle name="Normal 16 3 2 2 2 2" xfId="11599"/>
    <cellStyle name="Normal 16 3 2 2 2 2 2" xfId="11600"/>
    <cellStyle name="Normal 16 3 2 2 2 2 2 2" xfId="11601"/>
    <cellStyle name="Normal 16 3 2 2 2 2 2 2 2" xfId="11602"/>
    <cellStyle name="Normal 16 3 2 2 2 2 2 2 2 2" xfId="11603"/>
    <cellStyle name="Normal 16 3 2 2 2 2 2 2 3" xfId="11604"/>
    <cellStyle name="Normal 16 3 2 2 2 2 2 3" xfId="11605"/>
    <cellStyle name="Normal 16 3 2 2 2 2 2 3 2" xfId="11606"/>
    <cellStyle name="Normal 16 3 2 2 2 2 2 4" xfId="11607"/>
    <cellStyle name="Normal 16 3 2 2 2 2 3" xfId="11608"/>
    <cellStyle name="Normal 16 3 2 2 2 2 3 2" xfId="11609"/>
    <cellStyle name="Normal 16 3 2 2 2 2 3 2 2" xfId="11610"/>
    <cellStyle name="Normal 16 3 2 2 2 2 3 2 2 2" xfId="11611"/>
    <cellStyle name="Normal 16 3 2 2 2 2 3 2 3" xfId="11612"/>
    <cellStyle name="Normal 16 3 2 2 2 2 3 3" xfId="11613"/>
    <cellStyle name="Normal 16 3 2 2 2 2 3 3 2" xfId="11614"/>
    <cellStyle name="Normal 16 3 2 2 2 2 3 4" xfId="11615"/>
    <cellStyle name="Normal 16 3 2 2 2 2 4" xfId="11616"/>
    <cellStyle name="Normal 16 3 2 2 2 2 4 2" xfId="11617"/>
    <cellStyle name="Normal 16 3 2 2 2 2 4 2 2" xfId="11618"/>
    <cellStyle name="Normal 16 3 2 2 2 2 4 3" xfId="11619"/>
    <cellStyle name="Normal 16 3 2 2 2 2 5" xfId="11620"/>
    <cellStyle name="Normal 16 3 2 2 2 2 5 2" xfId="11621"/>
    <cellStyle name="Normal 16 3 2 2 2 2 6" xfId="11622"/>
    <cellStyle name="Normal 16 3 2 2 2 3" xfId="11623"/>
    <cellStyle name="Normal 16 3 2 2 2 3 2" xfId="11624"/>
    <cellStyle name="Normal 16 3 2 2 2 3 2 2" xfId="11625"/>
    <cellStyle name="Normal 16 3 2 2 2 3 2 2 2" xfId="11626"/>
    <cellStyle name="Normal 16 3 2 2 2 3 2 3" xfId="11627"/>
    <cellStyle name="Normal 16 3 2 2 2 3 3" xfId="11628"/>
    <cellStyle name="Normal 16 3 2 2 2 3 3 2" xfId="11629"/>
    <cellStyle name="Normal 16 3 2 2 2 3 4" xfId="11630"/>
    <cellStyle name="Normal 16 3 2 2 2 4" xfId="11631"/>
    <cellStyle name="Normal 16 3 2 2 2 4 2" xfId="11632"/>
    <cellStyle name="Normal 16 3 2 2 2 4 2 2" xfId="11633"/>
    <cellStyle name="Normal 16 3 2 2 2 4 2 2 2" xfId="11634"/>
    <cellStyle name="Normal 16 3 2 2 2 4 2 3" xfId="11635"/>
    <cellStyle name="Normal 16 3 2 2 2 4 3" xfId="11636"/>
    <cellStyle name="Normal 16 3 2 2 2 4 3 2" xfId="11637"/>
    <cellStyle name="Normal 16 3 2 2 2 4 4" xfId="11638"/>
    <cellStyle name="Normal 16 3 2 2 2 5" xfId="11639"/>
    <cellStyle name="Normal 16 3 2 2 2 5 2" xfId="11640"/>
    <cellStyle name="Normal 16 3 2 2 2 5 2 2" xfId="11641"/>
    <cellStyle name="Normal 16 3 2 2 2 5 3" xfId="11642"/>
    <cellStyle name="Normal 16 3 2 2 2 6" xfId="11643"/>
    <cellStyle name="Normal 16 3 2 2 2 6 2" xfId="11644"/>
    <cellStyle name="Normal 16 3 2 2 2 7" xfId="11645"/>
    <cellStyle name="Normal 16 3 2 2 3" xfId="11646"/>
    <cellStyle name="Normal 16 3 2 2 3 2" xfId="11647"/>
    <cellStyle name="Normal 16 3 2 2 3 2 2" xfId="11648"/>
    <cellStyle name="Normal 16 3 2 2 3 2 2 2" xfId="11649"/>
    <cellStyle name="Normal 16 3 2 2 3 2 2 2 2" xfId="11650"/>
    <cellStyle name="Normal 16 3 2 2 3 2 2 3" xfId="11651"/>
    <cellStyle name="Normal 16 3 2 2 3 2 3" xfId="11652"/>
    <cellStyle name="Normal 16 3 2 2 3 2 3 2" xfId="11653"/>
    <cellStyle name="Normal 16 3 2 2 3 2 4" xfId="11654"/>
    <cellStyle name="Normal 16 3 2 2 3 3" xfId="11655"/>
    <cellStyle name="Normal 16 3 2 2 3 3 2" xfId="11656"/>
    <cellStyle name="Normal 16 3 2 2 3 3 2 2" xfId="11657"/>
    <cellStyle name="Normal 16 3 2 2 3 3 2 2 2" xfId="11658"/>
    <cellStyle name="Normal 16 3 2 2 3 3 2 3" xfId="11659"/>
    <cellStyle name="Normal 16 3 2 2 3 3 3" xfId="11660"/>
    <cellStyle name="Normal 16 3 2 2 3 3 3 2" xfId="11661"/>
    <cellStyle name="Normal 16 3 2 2 3 3 4" xfId="11662"/>
    <cellStyle name="Normal 16 3 2 2 3 4" xfId="11663"/>
    <cellStyle name="Normal 16 3 2 2 3 4 2" xfId="11664"/>
    <cellStyle name="Normal 16 3 2 2 3 4 2 2" xfId="11665"/>
    <cellStyle name="Normal 16 3 2 2 3 4 3" xfId="11666"/>
    <cellStyle name="Normal 16 3 2 2 3 5" xfId="11667"/>
    <cellStyle name="Normal 16 3 2 2 3 5 2" xfId="11668"/>
    <cellStyle name="Normal 16 3 2 2 3 6" xfId="11669"/>
    <cellStyle name="Normal 16 3 2 2 4" xfId="11670"/>
    <cellStyle name="Normal 16 3 2 2 4 2" xfId="11671"/>
    <cellStyle name="Normal 16 3 2 2 4 2 2" xfId="11672"/>
    <cellStyle name="Normal 16 3 2 2 4 2 2 2" xfId="11673"/>
    <cellStyle name="Normal 16 3 2 2 4 2 3" xfId="11674"/>
    <cellStyle name="Normal 16 3 2 2 4 3" xfId="11675"/>
    <cellStyle name="Normal 16 3 2 2 4 3 2" xfId="11676"/>
    <cellStyle name="Normal 16 3 2 2 4 4" xfId="11677"/>
    <cellStyle name="Normal 16 3 2 2 5" xfId="11678"/>
    <cellStyle name="Normal 16 3 2 2 5 2" xfId="11679"/>
    <cellStyle name="Normal 16 3 2 2 5 2 2" xfId="11680"/>
    <cellStyle name="Normal 16 3 2 2 5 2 2 2" xfId="11681"/>
    <cellStyle name="Normal 16 3 2 2 5 2 3" xfId="11682"/>
    <cellStyle name="Normal 16 3 2 2 5 3" xfId="11683"/>
    <cellStyle name="Normal 16 3 2 2 5 3 2" xfId="11684"/>
    <cellStyle name="Normal 16 3 2 2 5 4" xfId="11685"/>
    <cellStyle name="Normal 16 3 2 2 6" xfId="11686"/>
    <cellStyle name="Normal 16 3 2 2 6 2" xfId="11687"/>
    <cellStyle name="Normal 16 3 2 2 6 2 2" xfId="11688"/>
    <cellStyle name="Normal 16 3 2 2 6 2 2 2" xfId="11689"/>
    <cellStyle name="Normal 16 3 2 2 6 2 3" xfId="11690"/>
    <cellStyle name="Normal 16 3 2 2 6 3" xfId="11691"/>
    <cellStyle name="Normal 16 3 2 2 6 3 2" xfId="11692"/>
    <cellStyle name="Normal 16 3 2 2 6 4" xfId="11693"/>
    <cellStyle name="Normal 16 3 2 2 7" xfId="11694"/>
    <cellStyle name="Normal 16 3 2 2 7 2" xfId="11695"/>
    <cellStyle name="Normal 16 3 2 2 7 2 2" xfId="11696"/>
    <cellStyle name="Normal 16 3 2 2 7 3" xfId="11697"/>
    <cellStyle name="Normal 16 3 2 2 8" xfId="11698"/>
    <cellStyle name="Normal 16 3 2 2 8 2" xfId="11699"/>
    <cellStyle name="Normal 16 3 2 2 9" xfId="11700"/>
    <cellStyle name="Normal 16 3 2 3" xfId="11701"/>
    <cellStyle name="Normal 16 3 2 3 2" xfId="11702"/>
    <cellStyle name="Normal 16 3 2 3 2 2" xfId="11703"/>
    <cellStyle name="Normal 16 3 2 3 2 2 2" xfId="11704"/>
    <cellStyle name="Normal 16 3 2 3 2 2 2 2" xfId="11705"/>
    <cellStyle name="Normal 16 3 2 3 2 2 2 2 2" xfId="11706"/>
    <cellStyle name="Normal 16 3 2 3 2 2 2 3" xfId="11707"/>
    <cellStyle name="Normal 16 3 2 3 2 2 3" xfId="11708"/>
    <cellStyle name="Normal 16 3 2 3 2 2 3 2" xfId="11709"/>
    <cellStyle name="Normal 16 3 2 3 2 2 4" xfId="11710"/>
    <cellStyle name="Normal 16 3 2 3 2 3" xfId="11711"/>
    <cellStyle name="Normal 16 3 2 3 2 3 2" xfId="11712"/>
    <cellStyle name="Normal 16 3 2 3 2 3 2 2" xfId="11713"/>
    <cellStyle name="Normal 16 3 2 3 2 3 2 2 2" xfId="11714"/>
    <cellStyle name="Normal 16 3 2 3 2 3 2 3" xfId="11715"/>
    <cellStyle name="Normal 16 3 2 3 2 3 3" xfId="11716"/>
    <cellStyle name="Normal 16 3 2 3 2 3 3 2" xfId="11717"/>
    <cellStyle name="Normal 16 3 2 3 2 3 4" xfId="11718"/>
    <cellStyle name="Normal 16 3 2 3 2 4" xfId="11719"/>
    <cellStyle name="Normal 16 3 2 3 2 4 2" xfId="11720"/>
    <cellStyle name="Normal 16 3 2 3 2 4 2 2" xfId="11721"/>
    <cellStyle name="Normal 16 3 2 3 2 4 3" xfId="11722"/>
    <cellStyle name="Normal 16 3 2 3 2 5" xfId="11723"/>
    <cellStyle name="Normal 16 3 2 3 2 5 2" xfId="11724"/>
    <cellStyle name="Normal 16 3 2 3 2 6" xfId="11725"/>
    <cellStyle name="Normal 16 3 2 3 3" xfId="11726"/>
    <cellStyle name="Normal 16 3 2 3 3 2" xfId="11727"/>
    <cellStyle name="Normal 16 3 2 3 3 2 2" xfId="11728"/>
    <cellStyle name="Normal 16 3 2 3 3 2 2 2" xfId="11729"/>
    <cellStyle name="Normal 16 3 2 3 3 2 3" xfId="11730"/>
    <cellStyle name="Normal 16 3 2 3 3 3" xfId="11731"/>
    <cellStyle name="Normal 16 3 2 3 3 3 2" xfId="11732"/>
    <cellStyle name="Normal 16 3 2 3 3 4" xfId="11733"/>
    <cellStyle name="Normal 16 3 2 3 4" xfId="11734"/>
    <cellStyle name="Normal 16 3 2 3 4 2" xfId="11735"/>
    <cellStyle name="Normal 16 3 2 3 4 2 2" xfId="11736"/>
    <cellStyle name="Normal 16 3 2 3 4 2 2 2" xfId="11737"/>
    <cellStyle name="Normal 16 3 2 3 4 2 3" xfId="11738"/>
    <cellStyle name="Normal 16 3 2 3 4 3" xfId="11739"/>
    <cellStyle name="Normal 16 3 2 3 4 3 2" xfId="11740"/>
    <cellStyle name="Normal 16 3 2 3 4 4" xfId="11741"/>
    <cellStyle name="Normal 16 3 2 3 5" xfId="11742"/>
    <cellStyle name="Normal 16 3 2 3 5 2" xfId="11743"/>
    <cellStyle name="Normal 16 3 2 3 5 2 2" xfId="11744"/>
    <cellStyle name="Normal 16 3 2 3 5 3" xfId="11745"/>
    <cellStyle name="Normal 16 3 2 3 6" xfId="11746"/>
    <cellStyle name="Normal 16 3 2 3 6 2" xfId="11747"/>
    <cellStyle name="Normal 16 3 2 3 7" xfId="11748"/>
    <cellStyle name="Normal 16 3 2 4" xfId="11749"/>
    <cellStyle name="Normal 16 3 2 4 2" xfId="11750"/>
    <cellStyle name="Normal 16 3 2 4 2 2" xfId="11751"/>
    <cellStyle name="Normal 16 3 2 4 2 2 2" xfId="11752"/>
    <cellStyle name="Normal 16 3 2 4 2 2 2 2" xfId="11753"/>
    <cellStyle name="Normal 16 3 2 4 2 2 3" xfId="11754"/>
    <cellStyle name="Normal 16 3 2 4 2 3" xfId="11755"/>
    <cellStyle name="Normal 16 3 2 4 2 3 2" xfId="11756"/>
    <cellStyle name="Normal 16 3 2 4 2 4" xfId="11757"/>
    <cellStyle name="Normal 16 3 2 4 3" xfId="11758"/>
    <cellStyle name="Normal 16 3 2 4 3 2" xfId="11759"/>
    <cellStyle name="Normal 16 3 2 4 3 2 2" xfId="11760"/>
    <cellStyle name="Normal 16 3 2 4 3 2 2 2" xfId="11761"/>
    <cellStyle name="Normal 16 3 2 4 3 2 3" xfId="11762"/>
    <cellStyle name="Normal 16 3 2 4 3 3" xfId="11763"/>
    <cellStyle name="Normal 16 3 2 4 3 3 2" xfId="11764"/>
    <cellStyle name="Normal 16 3 2 4 3 4" xfId="11765"/>
    <cellStyle name="Normal 16 3 2 4 4" xfId="11766"/>
    <cellStyle name="Normal 16 3 2 4 4 2" xfId="11767"/>
    <cellStyle name="Normal 16 3 2 4 4 2 2" xfId="11768"/>
    <cellStyle name="Normal 16 3 2 4 4 3" xfId="11769"/>
    <cellStyle name="Normal 16 3 2 4 5" xfId="11770"/>
    <cellStyle name="Normal 16 3 2 4 5 2" xfId="11771"/>
    <cellStyle name="Normal 16 3 2 4 6" xfId="11772"/>
    <cellStyle name="Normal 16 3 2 5" xfId="11773"/>
    <cellStyle name="Normal 16 3 2 5 2" xfId="11774"/>
    <cellStyle name="Normal 16 3 2 5 2 2" xfId="11775"/>
    <cellStyle name="Normal 16 3 2 5 2 2 2" xfId="11776"/>
    <cellStyle name="Normal 16 3 2 5 2 3" xfId="11777"/>
    <cellStyle name="Normal 16 3 2 5 3" xfId="11778"/>
    <cellStyle name="Normal 16 3 2 5 3 2" xfId="11779"/>
    <cellStyle name="Normal 16 3 2 5 4" xfId="11780"/>
    <cellStyle name="Normal 16 3 2 6" xfId="11781"/>
    <cellStyle name="Normal 16 3 2 6 2" xfId="11782"/>
    <cellStyle name="Normal 16 3 2 6 2 2" xfId="11783"/>
    <cellStyle name="Normal 16 3 2 6 2 2 2" xfId="11784"/>
    <cellStyle name="Normal 16 3 2 6 2 3" xfId="11785"/>
    <cellStyle name="Normal 16 3 2 6 3" xfId="11786"/>
    <cellStyle name="Normal 16 3 2 6 3 2" xfId="11787"/>
    <cellStyle name="Normal 16 3 2 6 4" xfId="11788"/>
    <cellStyle name="Normal 16 3 2 7" xfId="11789"/>
    <cellStyle name="Normal 16 3 2 7 2" xfId="11790"/>
    <cellStyle name="Normal 16 3 2 7 2 2" xfId="11791"/>
    <cellStyle name="Normal 16 3 2 7 2 2 2" xfId="11792"/>
    <cellStyle name="Normal 16 3 2 7 2 3" xfId="11793"/>
    <cellStyle name="Normal 16 3 2 7 3" xfId="11794"/>
    <cellStyle name="Normal 16 3 2 7 3 2" xfId="11795"/>
    <cellStyle name="Normal 16 3 2 7 4" xfId="11796"/>
    <cellStyle name="Normal 16 3 2 8" xfId="11797"/>
    <cellStyle name="Normal 16 3 2 8 2" xfId="11798"/>
    <cellStyle name="Normal 16 3 2 8 2 2" xfId="11799"/>
    <cellStyle name="Normal 16 3 2 8 3" xfId="11800"/>
    <cellStyle name="Normal 16 3 2 9" xfId="11801"/>
    <cellStyle name="Normal 16 3 2 9 2" xfId="11802"/>
    <cellStyle name="Normal 16 3 3" xfId="11803"/>
    <cellStyle name="Normal 16 3 3 2" xfId="11804"/>
    <cellStyle name="Normal 16 3 3 2 2" xfId="11805"/>
    <cellStyle name="Normal 16 3 3 2 2 2" xfId="11806"/>
    <cellStyle name="Normal 16 3 3 2 2 2 2" xfId="11807"/>
    <cellStyle name="Normal 16 3 3 2 2 2 2 2" xfId="11808"/>
    <cellStyle name="Normal 16 3 3 2 2 2 2 2 2" xfId="11809"/>
    <cellStyle name="Normal 16 3 3 2 2 2 2 3" xfId="11810"/>
    <cellStyle name="Normal 16 3 3 2 2 2 3" xfId="11811"/>
    <cellStyle name="Normal 16 3 3 2 2 2 3 2" xfId="11812"/>
    <cellStyle name="Normal 16 3 3 2 2 2 4" xfId="11813"/>
    <cellStyle name="Normal 16 3 3 2 2 3" xfId="11814"/>
    <cellStyle name="Normal 16 3 3 2 2 3 2" xfId="11815"/>
    <cellStyle name="Normal 16 3 3 2 2 3 2 2" xfId="11816"/>
    <cellStyle name="Normal 16 3 3 2 2 3 2 2 2" xfId="11817"/>
    <cellStyle name="Normal 16 3 3 2 2 3 2 3" xfId="11818"/>
    <cellStyle name="Normal 16 3 3 2 2 3 3" xfId="11819"/>
    <cellStyle name="Normal 16 3 3 2 2 3 3 2" xfId="11820"/>
    <cellStyle name="Normal 16 3 3 2 2 3 4" xfId="11821"/>
    <cellStyle name="Normal 16 3 3 2 2 4" xfId="11822"/>
    <cellStyle name="Normal 16 3 3 2 2 4 2" xfId="11823"/>
    <cellStyle name="Normal 16 3 3 2 2 4 2 2" xfId="11824"/>
    <cellStyle name="Normal 16 3 3 2 2 4 3" xfId="11825"/>
    <cellStyle name="Normal 16 3 3 2 2 5" xfId="11826"/>
    <cellStyle name="Normal 16 3 3 2 2 5 2" xfId="11827"/>
    <cellStyle name="Normal 16 3 3 2 2 6" xfId="11828"/>
    <cellStyle name="Normal 16 3 3 2 3" xfId="11829"/>
    <cellStyle name="Normal 16 3 3 2 3 2" xfId="11830"/>
    <cellStyle name="Normal 16 3 3 2 3 2 2" xfId="11831"/>
    <cellStyle name="Normal 16 3 3 2 3 2 2 2" xfId="11832"/>
    <cellStyle name="Normal 16 3 3 2 3 2 3" xfId="11833"/>
    <cellStyle name="Normal 16 3 3 2 3 3" xfId="11834"/>
    <cellStyle name="Normal 16 3 3 2 3 3 2" xfId="11835"/>
    <cellStyle name="Normal 16 3 3 2 3 4" xfId="11836"/>
    <cellStyle name="Normal 16 3 3 2 4" xfId="11837"/>
    <cellStyle name="Normal 16 3 3 2 4 2" xfId="11838"/>
    <cellStyle name="Normal 16 3 3 2 4 2 2" xfId="11839"/>
    <cellStyle name="Normal 16 3 3 2 4 2 2 2" xfId="11840"/>
    <cellStyle name="Normal 16 3 3 2 4 2 3" xfId="11841"/>
    <cellStyle name="Normal 16 3 3 2 4 3" xfId="11842"/>
    <cellStyle name="Normal 16 3 3 2 4 3 2" xfId="11843"/>
    <cellStyle name="Normal 16 3 3 2 4 4" xfId="11844"/>
    <cellStyle name="Normal 16 3 3 2 5" xfId="11845"/>
    <cellStyle name="Normal 16 3 3 2 5 2" xfId="11846"/>
    <cellStyle name="Normal 16 3 3 2 5 2 2" xfId="11847"/>
    <cellStyle name="Normal 16 3 3 2 5 3" xfId="11848"/>
    <cellStyle name="Normal 16 3 3 2 6" xfId="11849"/>
    <cellStyle name="Normal 16 3 3 2 6 2" xfId="11850"/>
    <cellStyle name="Normal 16 3 3 2 7" xfId="11851"/>
    <cellStyle name="Normal 16 3 3 3" xfId="11852"/>
    <cellStyle name="Normal 16 3 3 3 2" xfId="11853"/>
    <cellStyle name="Normal 16 3 3 3 2 2" xfId="11854"/>
    <cellStyle name="Normal 16 3 3 3 2 2 2" xfId="11855"/>
    <cellStyle name="Normal 16 3 3 3 2 2 2 2" xfId="11856"/>
    <cellStyle name="Normal 16 3 3 3 2 2 3" xfId="11857"/>
    <cellStyle name="Normal 16 3 3 3 2 3" xfId="11858"/>
    <cellStyle name="Normal 16 3 3 3 2 3 2" xfId="11859"/>
    <cellStyle name="Normal 16 3 3 3 2 4" xfId="11860"/>
    <cellStyle name="Normal 16 3 3 3 3" xfId="11861"/>
    <cellStyle name="Normal 16 3 3 3 3 2" xfId="11862"/>
    <cellStyle name="Normal 16 3 3 3 3 2 2" xfId="11863"/>
    <cellStyle name="Normal 16 3 3 3 3 2 2 2" xfId="11864"/>
    <cellStyle name="Normal 16 3 3 3 3 2 3" xfId="11865"/>
    <cellStyle name="Normal 16 3 3 3 3 3" xfId="11866"/>
    <cellStyle name="Normal 16 3 3 3 3 3 2" xfId="11867"/>
    <cellStyle name="Normal 16 3 3 3 3 4" xfId="11868"/>
    <cellStyle name="Normal 16 3 3 3 4" xfId="11869"/>
    <cellStyle name="Normal 16 3 3 3 4 2" xfId="11870"/>
    <cellStyle name="Normal 16 3 3 3 4 2 2" xfId="11871"/>
    <cellStyle name="Normal 16 3 3 3 4 3" xfId="11872"/>
    <cellStyle name="Normal 16 3 3 3 5" xfId="11873"/>
    <cellStyle name="Normal 16 3 3 3 5 2" xfId="11874"/>
    <cellStyle name="Normal 16 3 3 3 6" xfId="11875"/>
    <cellStyle name="Normal 16 3 3 4" xfId="11876"/>
    <cellStyle name="Normal 16 3 3 4 2" xfId="11877"/>
    <cellStyle name="Normal 16 3 3 4 2 2" xfId="11878"/>
    <cellStyle name="Normal 16 3 3 4 2 2 2" xfId="11879"/>
    <cellStyle name="Normal 16 3 3 4 2 3" xfId="11880"/>
    <cellStyle name="Normal 16 3 3 4 3" xfId="11881"/>
    <cellStyle name="Normal 16 3 3 4 3 2" xfId="11882"/>
    <cellStyle name="Normal 16 3 3 4 4" xfId="11883"/>
    <cellStyle name="Normal 16 3 3 5" xfId="11884"/>
    <cellStyle name="Normal 16 3 3 5 2" xfId="11885"/>
    <cellStyle name="Normal 16 3 3 5 2 2" xfId="11886"/>
    <cellStyle name="Normal 16 3 3 5 2 2 2" xfId="11887"/>
    <cellStyle name="Normal 16 3 3 5 2 3" xfId="11888"/>
    <cellStyle name="Normal 16 3 3 5 3" xfId="11889"/>
    <cellStyle name="Normal 16 3 3 5 3 2" xfId="11890"/>
    <cellStyle name="Normal 16 3 3 5 4" xfId="11891"/>
    <cellStyle name="Normal 16 3 3 6" xfId="11892"/>
    <cellStyle name="Normal 16 3 3 6 2" xfId="11893"/>
    <cellStyle name="Normal 16 3 3 6 2 2" xfId="11894"/>
    <cellStyle name="Normal 16 3 3 6 2 2 2" xfId="11895"/>
    <cellStyle name="Normal 16 3 3 6 2 3" xfId="11896"/>
    <cellStyle name="Normal 16 3 3 6 3" xfId="11897"/>
    <cellStyle name="Normal 16 3 3 6 3 2" xfId="11898"/>
    <cellStyle name="Normal 16 3 3 6 4" xfId="11899"/>
    <cellStyle name="Normal 16 3 3 7" xfId="11900"/>
    <cellStyle name="Normal 16 3 3 7 2" xfId="11901"/>
    <cellStyle name="Normal 16 3 3 7 2 2" xfId="11902"/>
    <cellStyle name="Normal 16 3 3 7 3" xfId="11903"/>
    <cellStyle name="Normal 16 3 3 8" xfId="11904"/>
    <cellStyle name="Normal 16 3 3 8 2" xfId="11905"/>
    <cellStyle name="Normal 16 3 3 9" xfId="11906"/>
    <cellStyle name="Normal 16 3 4" xfId="11907"/>
    <cellStyle name="Normal 16 3 4 2" xfId="11908"/>
    <cellStyle name="Normal 16 3 4 2 2" xfId="11909"/>
    <cellStyle name="Normal 16 3 4 2 2 2" xfId="11910"/>
    <cellStyle name="Normal 16 3 4 2 2 2 2" xfId="11911"/>
    <cellStyle name="Normal 16 3 4 2 2 2 2 2" xfId="11912"/>
    <cellStyle name="Normal 16 3 4 2 2 2 3" xfId="11913"/>
    <cellStyle name="Normal 16 3 4 2 2 3" xfId="11914"/>
    <cellStyle name="Normal 16 3 4 2 2 3 2" xfId="11915"/>
    <cellStyle name="Normal 16 3 4 2 2 4" xfId="11916"/>
    <cellStyle name="Normal 16 3 4 2 3" xfId="11917"/>
    <cellStyle name="Normal 16 3 4 2 3 2" xfId="11918"/>
    <cellStyle name="Normal 16 3 4 2 3 2 2" xfId="11919"/>
    <cellStyle name="Normal 16 3 4 2 3 2 2 2" xfId="11920"/>
    <cellStyle name="Normal 16 3 4 2 3 2 3" xfId="11921"/>
    <cellStyle name="Normal 16 3 4 2 3 3" xfId="11922"/>
    <cellStyle name="Normal 16 3 4 2 3 3 2" xfId="11923"/>
    <cellStyle name="Normal 16 3 4 2 3 4" xfId="11924"/>
    <cellStyle name="Normal 16 3 4 2 4" xfId="11925"/>
    <cellStyle name="Normal 16 3 4 2 4 2" xfId="11926"/>
    <cellStyle name="Normal 16 3 4 2 4 2 2" xfId="11927"/>
    <cellStyle name="Normal 16 3 4 2 4 3" xfId="11928"/>
    <cellStyle name="Normal 16 3 4 2 5" xfId="11929"/>
    <cellStyle name="Normal 16 3 4 2 5 2" xfId="11930"/>
    <cellStyle name="Normal 16 3 4 2 6" xfId="11931"/>
    <cellStyle name="Normal 16 3 4 3" xfId="11932"/>
    <cellStyle name="Normal 16 3 4 3 2" xfId="11933"/>
    <cellStyle name="Normal 16 3 4 3 2 2" xfId="11934"/>
    <cellStyle name="Normal 16 3 4 3 2 2 2" xfId="11935"/>
    <cellStyle name="Normal 16 3 4 3 2 3" xfId="11936"/>
    <cellStyle name="Normal 16 3 4 3 3" xfId="11937"/>
    <cellStyle name="Normal 16 3 4 3 3 2" xfId="11938"/>
    <cellStyle name="Normal 16 3 4 3 4" xfId="11939"/>
    <cellStyle name="Normal 16 3 4 4" xfId="11940"/>
    <cellStyle name="Normal 16 3 4 4 2" xfId="11941"/>
    <cellStyle name="Normal 16 3 4 4 2 2" xfId="11942"/>
    <cellStyle name="Normal 16 3 4 4 2 2 2" xfId="11943"/>
    <cellStyle name="Normal 16 3 4 4 2 3" xfId="11944"/>
    <cellStyle name="Normal 16 3 4 4 3" xfId="11945"/>
    <cellStyle name="Normal 16 3 4 4 3 2" xfId="11946"/>
    <cellStyle name="Normal 16 3 4 4 4" xfId="11947"/>
    <cellStyle name="Normal 16 3 4 5" xfId="11948"/>
    <cellStyle name="Normal 16 3 4 5 2" xfId="11949"/>
    <cellStyle name="Normal 16 3 4 5 2 2" xfId="11950"/>
    <cellStyle name="Normal 16 3 4 5 3" xfId="11951"/>
    <cellStyle name="Normal 16 3 4 6" xfId="11952"/>
    <cellStyle name="Normal 16 3 4 6 2" xfId="11953"/>
    <cellStyle name="Normal 16 3 4 7" xfId="11954"/>
    <cellStyle name="Normal 16 3 5" xfId="11955"/>
    <cellStyle name="Normal 16 3 5 2" xfId="11956"/>
    <cellStyle name="Normal 16 3 5 2 2" xfId="11957"/>
    <cellStyle name="Normal 16 3 5 2 2 2" xfId="11958"/>
    <cellStyle name="Normal 16 3 5 2 2 2 2" xfId="11959"/>
    <cellStyle name="Normal 16 3 5 2 2 3" xfId="11960"/>
    <cellStyle name="Normal 16 3 5 2 3" xfId="11961"/>
    <cellStyle name="Normal 16 3 5 2 3 2" xfId="11962"/>
    <cellStyle name="Normal 16 3 5 2 4" xfId="11963"/>
    <cellStyle name="Normal 16 3 5 3" xfId="11964"/>
    <cellStyle name="Normal 16 3 5 3 2" xfId="11965"/>
    <cellStyle name="Normal 16 3 5 3 2 2" xfId="11966"/>
    <cellStyle name="Normal 16 3 5 3 2 2 2" xfId="11967"/>
    <cellStyle name="Normal 16 3 5 3 2 3" xfId="11968"/>
    <cellStyle name="Normal 16 3 5 3 3" xfId="11969"/>
    <cellStyle name="Normal 16 3 5 3 3 2" xfId="11970"/>
    <cellStyle name="Normal 16 3 5 3 4" xfId="11971"/>
    <cellStyle name="Normal 16 3 5 4" xfId="11972"/>
    <cellStyle name="Normal 16 3 5 4 2" xfId="11973"/>
    <cellStyle name="Normal 16 3 5 4 2 2" xfId="11974"/>
    <cellStyle name="Normal 16 3 5 4 3" xfId="11975"/>
    <cellStyle name="Normal 16 3 5 5" xfId="11976"/>
    <cellStyle name="Normal 16 3 5 5 2" xfId="11977"/>
    <cellStyle name="Normal 16 3 5 6" xfId="11978"/>
    <cellStyle name="Normal 16 3 6" xfId="11979"/>
    <cellStyle name="Normal 16 3 6 2" xfId="11980"/>
    <cellStyle name="Normal 16 3 6 2 2" xfId="11981"/>
    <cellStyle name="Normal 16 3 6 2 2 2" xfId="11982"/>
    <cellStyle name="Normal 16 3 6 2 3" xfId="11983"/>
    <cellStyle name="Normal 16 3 6 3" xfId="11984"/>
    <cellStyle name="Normal 16 3 6 3 2" xfId="11985"/>
    <cellStyle name="Normal 16 3 6 4" xfId="11986"/>
    <cellStyle name="Normal 16 3 7" xfId="11987"/>
    <cellStyle name="Normal 16 3 7 2" xfId="11988"/>
    <cellStyle name="Normal 16 3 7 2 2" xfId="11989"/>
    <cellStyle name="Normal 16 3 7 2 2 2" xfId="11990"/>
    <cellStyle name="Normal 16 3 7 2 3" xfId="11991"/>
    <cellStyle name="Normal 16 3 7 3" xfId="11992"/>
    <cellStyle name="Normal 16 3 7 3 2" xfId="11993"/>
    <cellStyle name="Normal 16 3 7 4" xfId="11994"/>
    <cellStyle name="Normal 16 3 8" xfId="11995"/>
    <cellStyle name="Normal 16 3 8 2" xfId="11996"/>
    <cellStyle name="Normal 16 3 8 2 2" xfId="11997"/>
    <cellStyle name="Normal 16 3 8 2 2 2" xfId="11998"/>
    <cellStyle name="Normal 16 3 8 2 3" xfId="11999"/>
    <cellStyle name="Normal 16 3 8 3" xfId="12000"/>
    <cellStyle name="Normal 16 3 8 3 2" xfId="12001"/>
    <cellStyle name="Normal 16 3 8 4" xfId="12002"/>
    <cellStyle name="Normal 16 3 9" xfId="12003"/>
    <cellStyle name="Normal 16 3 9 2" xfId="12004"/>
    <cellStyle name="Normal 16 3 9 2 2" xfId="12005"/>
    <cellStyle name="Normal 16 3 9 3" xfId="12006"/>
    <cellStyle name="Normal 16 4" xfId="12007"/>
    <cellStyle name="Normal 16 4 10" xfId="12008"/>
    <cellStyle name="Normal 16 4 2" xfId="12009"/>
    <cellStyle name="Normal 16 4 2 2" xfId="12010"/>
    <cellStyle name="Normal 16 4 2 2 2" xfId="12011"/>
    <cellStyle name="Normal 16 4 2 2 2 2" xfId="12012"/>
    <cellStyle name="Normal 16 4 2 2 2 2 2" xfId="12013"/>
    <cellStyle name="Normal 16 4 2 2 2 2 2 2" xfId="12014"/>
    <cellStyle name="Normal 16 4 2 2 2 2 2 2 2" xfId="12015"/>
    <cellStyle name="Normal 16 4 2 2 2 2 2 3" xfId="12016"/>
    <cellStyle name="Normal 16 4 2 2 2 2 3" xfId="12017"/>
    <cellStyle name="Normal 16 4 2 2 2 2 3 2" xfId="12018"/>
    <cellStyle name="Normal 16 4 2 2 2 2 4" xfId="12019"/>
    <cellStyle name="Normal 16 4 2 2 2 3" xfId="12020"/>
    <cellStyle name="Normal 16 4 2 2 2 3 2" xfId="12021"/>
    <cellStyle name="Normal 16 4 2 2 2 3 2 2" xfId="12022"/>
    <cellStyle name="Normal 16 4 2 2 2 3 2 2 2" xfId="12023"/>
    <cellStyle name="Normal 16 4 2 2 2 3 2 3" xfId="12024"/>
    <cellStyle name="Normal 16 4 2 2 2 3 3" xfId="12025"/>
    <cellStyle name="Normal 16 4 2 2 2 3 3 2" xfId="12026"/>
    <cellStyle name="Normal 16 4 2 2 2 3 4" xfId="12027"/>
    <cellStyle name="Normal 16 4 2 2 2 4" xfId="12028"/>
    <cellStyle name="Normal 16 4 2 2 2 4 2" xfId="12029"/>
    <cellStyle name="Normal 16 4 2 2 2 4 2 2" xfId="12030"/>
    <cellStyle name="Normal 16 4 2 2 2 4 3" xfId="12031"/>
    <cellStyle name="Normal 16 4 2 2 2 5" xfId="12032"/>
    <cellStyle name="Normal 16 4 2 2 2 5 2" xfId="12033"/>
    <cellStyle name="Normal 16 4 2 2 2 6" xfId="12034"/>
    <cellStyle name="Normal 16 4 2 2 3" xfId="12035"/>
    <cellStyle name="Normal 16 4 2 2 3 2" xfId="12036"/>
    <cellStyle name="Normal 16 4 2 2 3 2 2" xfId="12037"/>
    <cellStyle name="Normal 16 4 2 2 3 2 2 2" xfId="12038"/>
    <cellStyle name="Normal 16 4 2 2 3 2 3" xfId="12039"/>
    <cellStyle name="Normal 16 4 2 2 3 3" xfId="12040"/>
    <cellStyle name="Normal 16 4 2 2 3 3 2" xfId="12041"/>
    <cellStyle name="Normal 16 4 2 2 3 4" xfId="12042"/>
    <cellStyle name="Normal 16 4 2 2 4" xfId="12043"/>
    <cellStyle name="Normal 16 4 2 2 4 2" xfId="12044"/>
    <cellStyle name="Normal 16 4 2 2 4 2 2" xfId="12045"/>
    <cellStyle name="Normal 16 4 2 2 4 2 2 2" xfId="12046"/>
    <cellStyle name="Normal 16 4 2 2 4 2 3" xfId="12047"/>
    <cellStyle name="Normal 16 4 2 2 4 3" xfId="12048"/>
    <cellStyle name="Normal 16 4 2 2 4 3 2" xfId="12049"/>
    <cellStyle name="Normal 16 4 2 2 4 4" xfId="12050"/>
    <cellStyle name="Normal 16 4 2 2 5" xfId="12051"/>
    <cellStyle name="Normal 16 4 2 2 5 2" xfId="12052"/>
    <cellStyle name="Normal 16 4 2 2 5 2 2" xfId="12053"/>
    <cellStyle name="Normal 16 4 2 2 5 3" xfId="12054"/>
    <cellStyle name="Normal 16 4 2 2 6" xfId="12055"/>
    <cellStyle name="Normal 16 4 2 2 6 2" xfId="12056"/>
    <cellStyle name="Normal 16 4 2 2 7" xfId="12057"/>
    <cellStyle name="Normal 16 4 2 3" xfId="12058"/>
    <cellStyle name="Normal 16 4 2 3 2" xfId="12059"/>
    <cellStyle name="Normal 16 4 2 3 2 2" xfId="12060"/>
    <cellStyle name="Normal 16 4 2 3 2 2 2" xfId="12061"/>
    <cellStyle name="Normal 16 4 2 3 2 2 2 2" xfId="12062"/>
    <cellStyle name="Normal 16 4 2 3 2 2 3" xfId="12063"/>
    <cellStyle name="Normal 16 4 2 3 2 3" xfId="12064"/>
    <cellStyle name="Normal 16 4 2 3 2 3 2" xfId="12065"/>
    <cellStyle name="Normal 16 4 2 3 2 4" xfId="12066"/>
    <cellStyle name="Normal 16 4 2 3 3" xfId="12067"/>
    <cellStyle name="Normal 16 4 2 3 3 2" xfId="12068"/>
    <cellStyle name="Normal 16 4 2 3 3 2 2" xfId="12069"/>
    <cellStyle name="Normal 16 4 2 3 3 2 2 2" xfId="12070"/>
    <cellStyle name="Normal 16 4 2 3 3 2 3" xfId="12071"/>
    <cellStyle name="Normal 16 4 2 3 3 3" xfId="12072"/>
    <cellStyle name="Normal 16 4 2 3 3 3 2" xfId="12073"/>
    <cellStyle name="Normal 16 4 2 3 3 4" xfId="12074"/>
    <cellStyle name="Normal 16 4 2 3 4" xfId="12075"/>
    <cellStyle name="Normal 16 4 2 3 4 2" xfId="12076"/>
    <cellStyle name="Normal 16 4 2 3 4 2 2" xfId="12077"/>
    <cellStyle name="Normal 16 4 2 3 4 3" xfId="12078"/>
    <cellStyle name="Normal 16 4 2 3 5" xfId="12079"/>
    <cellStyle name="Normal 16 4 2 3 5 2" xfId="12080"/>
    <cellStyle name="Normal 16 4 2 3 6" xfId="12081"/>
    <cellStyle name="Normal 16 4 2 4" xfId="12082"/>
    <cellStyle name="Normal 16 4 2 4 2" xfId="12083"/>
    <cellStyle name="Normal 16 4 2 4 2 2" xfId="12084"/>
    <cellStyle name="Normal 16 4 2 4 2 2 2" xfId="12085"/>
    <cellStyle name="Normal 16 4 2 4 2 3" xfId="12086"/>
    <cellStyle name="Normal 16 4 2 4 3" xfId="12087"/>
    <cellStyle name="Normal 16 4 2 4 3 2" xfId="12088"/>
    <cellStyle name="Normal 16 4 2 4 4" xfId="12089"/>
    <cellStyle name="Normal 16 4 2 5" xfId="12090"/>
    <cellStyle name="Normal 16 4 2 5 2" xfId="12091"/>
    <cellStyle name="Normal 16 4 2 5 2 2" xfId="12092"/>
    <cellStyle name="Normal 16 4 2 5 2 2 2" xfId="12093"/>
    <cellStyle name="Normal 16 4 2 5 2 3" xfId="12094"/>
    <cellStyle name="Normal 16 4 2 5 3" xfId="12095"/>
    <cellStyle name="Normal 16 4 2 5 3 2" xfId="12096"/>
    <cellStyle name="Normal 16 4 2 5 4" xfId="12097"/>
    <cellStyle name="Normal 16 4 2 6" xfId="12098"/>
    <cellStyle name="Normal 16 4 2 6 2" xfId="12099"/>
    <cellStyle name="Normal 16 4 2 6 2 2" xfId="12100"/>
    <cellStyle name="Normal 16 4 2 6 2 2 2" xfId="12101"/>
    <cellStyle name="Normal 16 4 2 6 2 3" xfId="12102"/>
    <cellStyle name="Normal 16 4 2 6 3" xfId="12103"/>
    <cellStyle name="Normal 16 4 2 6 3 2" xfId="12104"/>
    <cellStyle name="Normal 16 4 2 6 4" xfId="12105"/>
    <cellStyle name="Normal 16 4 2 7" xfId="12106"/>
    <cellStyle name="Normal 16 4 2 7 2" xfId="12107"/>
    <cellStyle name="Normal 16 4 2 7 2 2" xfId="12108"/>
    <cellStyle name="Normal 16 4 2 7 3" xfId="12109"/>
    <cellStyle name="Normal 16 4 2 8" xfId="12110"/>
    <cellStyle name="Normal 16 4 2 8 2" xfId="12111"/>
    <cellStyle name="Normal 16 4 2 9" xfId="12112"/>
    <cellStyle name="Normal 16 4 3" xfId="12113"/>
    <cellStyle name="Normal 16 4 3 2" xfId="12114"/>
    <cellStyle name="Normal 16 4 3 2 2" xfId="12115"/>
    <cellStyle name="Normal 16 4 3 2 2 2" xfId="12116"/>
    <cellStyle name="Normal 16 4 3 2 2 2 2" xfId="12117"/>
    <cellStyle name="Normal 16 4 3 2 2 2 2 2" xfId="12118"/>
    <cellStyle name="Normal 16 4 3 2 2 2 3" xfId="12119"/>
    <cellStyle name="Normal 16 4 3 2 2 3" xfId="12120"/>
    <cellStyle name="Normal 16 4 3 2 2 3 2" xfId="12121"/>
    <cellStyle name="Normal 16 4 3 2 2 4" xfId="12122"/>
    <cellStyle name="Normal 16 4 3 2 3" xfId="12123"/>
    <cellStyle name="Normal 16 4 3 2 3 2" xfId="12124"/>
    <cellStyle name="Normal 16 4 3 2 3 2 2" xfId="12125"/>
    <cellStyle name="Normal 16 4 3 2 3 2 2 2" xfId="12126"/>
    <cellStyle name="Normal 16 4 3 2 3 2 3" xfId="12127"/>
    <cellStyle name="Normal 16 4 3 2 3 3" xfId="12128"/>
    <cellStyle name="Normal 16 4 3 2 3 3 2" xfId="12129"/>
    <cellStyle name="Normal 16 4 3 2 3 4" xfId="12130"/>
    <cellStyle name="Normal 16 4 3 2 4" xfId="12131"/>
    <cellStyle name="Normal 16 4 3 2 4 2" xfId="12132"/>
    <cellStyle name="Normal 16 4 3 2 4 2 2" xfId="12133"/>
    <cellStyle name="Normal 16 4 3 2 4 3" xfId="12134"/>
    <cellStyle name="Normal 16 4 3 2 5" xfId="12135"/>
    <cellStyle name="Normal 16 4 3 2 5 2" xfId="12136"/>
    <cellStyle name="Normal 16 4 3 2 6" xfId="12137"/>
    <cellStyle name="Normal 16 4 3 3" xfId="12138"/>
    <cellStyle name="Normal 16 4 3 3 2" xfId="12139"/>
    <cellStyle name="Normal 16 4 3 3 2 2" xfId="12140"/>
    <cellStyle name="Normal 16 4 3 3 2 2 2" xfId="12141"/>
    <cellStyle name="Normal 16 4 3 3 2 3" xfId="12142"/>
    <cellStyle name="Normal 16 4 3 3 3" xfId="12143"/>
    <cellStyle name="Normal 16 4 3 3 3 2" xfId="12144"/>
    <cellStyle name="Normal 16 4 3 3 4" xfId="12145"/>
    <cellStyle name="Normal 16 4 3 4" xfId="12146"/>
    <cellStyle name="Normal 16 4 3 4 2" xfId="12147"/>
    <cellStyle name="Normal 16 4 3 4 2 2" xfId="12148"/>
    <cellStyle name="Normal 16 4 3 4 2 2 2" xfId="12149"/>
    <cellStyle name="Normal 16 4 3 4 2 3" xfId="12150"/>
    <cellStyle name="Normal 16 4 3 4 3" xfId="12151"/>
    <cellStyle name="Normal 16 4 3 4 3 2" xfId="12152"/>
    <cellStyle name="Normal 16 4 3 4 4" xfId="12153"/>
    <cellStyle name="Normal 16 4 3 5" xfId="12154"/>
    <cellStyle name="Normal 16 4 3 5 2" xfId="12155"/>
    <cellStyle name="Normal 16 4 3 5 2 2" xfId="12156"/>
    <cellStyle name="Normal 16 4 3 5 3" xfId="12157"/>
    <cellStyle name="Normal 16 4 3 6" xfId="12158"/>
    <cellStyle name="Normal 16 4 3 6 2" xfId="12159"/>
    <cellStyle name="Normal 16 4 3 7" xfId="12160"/>
    <cellStyle name="Normal 16 4 4" xfId="12161"/>
    <cellStyle name="Normal 16 4 4 2" xfId="12162"/>
    <cellStyle name="Normal 16 4 4 2 2" xfId="12163"/>
    <cellStyle name="Normal 16 4 4 2 2 2" xfId="12164"/>
    <cellStyle name="Normal 16 4 4 2 2 2 2" xfId="12165"/>
    <cellStyle name="Normal 16 4 4 2 2 3" xfId="12166"/>
    <cellStyle name="Normal 16 4 4 2 3" xfId="12167"/>
    <cellStyle name="Normal 16 4 4 2 3 2" xfId="12168"/>
    <cellStyle name="Normal 16 4 4 2 4" xfId="12169"/>
    <cellStyle name="Normal 16 4 4 3" xfId="12170"/>
    <cellStyle name="Normal 16 4 4 3 2" xfId="12171"/>
    <cellStyle name="Normal 16 4 4 3 2 2" xfId="12172"/>
    <cellStyle name="Normal 16 4 4 3 2 2 2" xfId="12173"/>
    <cellStyle name="Normal 16 4 4 3 2 3" xfId="12174"/>
    <cellStyle name="Normal 16 4 4 3 3" xfId="12175"/>
    <cellStyle name="Normal 16 4 4 3 3 2" xfId="12176"/>
    <cellStyle name="Normal 16 4 4 3 4" xfId="12177"/>
    <cellStyle name="Normal 16 4 4 4" xfId="12178"/>
    <cellStyle name="Normal 16 4 4 4 2" xfId="12179"/>
    <cellStyle name="Normal 16 4 4 4 2 2" xfId="12180"/>
    <cellStyle name="Normal 16 4 4 4 3" xfId="12181"/>
    <cellStyle name="Normal 16 4 4 5" xfId="12182"/>
    <cellStyle name="Normal 16 4 4 5 2" xfId="12183"/>
    <cellStyle name="Normal 16 4 4 6" xfId="12184"/>
    <cellStyle name="Normal 16 4 5" xfId="12185"/>
    <cellStyle name="Normal 16 4 5 2" xfId="12186"/>
    <cellStyle name="Normal 16 4 5 2 2" xfId="12187"/>
    <cellStyle name="Normal 16 4 5 2 2 2" xfId="12188"/>
    <cellStyle name="Normal 16 4 5 2 3" xfId="12189"/>
    <cellStyle name="Normal 16 4 5 3" xfId="12190"/>
    <cellStyle name="Normal 16 4 5 3 2" xfId="12191"/>
    <cellStyle name="Normal 16 4 5 4" xfId="12192"/>
    <cellStyle name="Normal 16 4 6" xfId="12193"/>
    <cellStyle name="Normal 16 4 6 2" xfId="12194"/>
    <cellStyle name="Normal 16 4 6 2 2" xfId="12195"/>
    <cellStyle name="Normal 16 4 6 2 2 2" xfId="12196"/>
    <cellStyle name="Normal 16 4 6 2 3" xfId="12197"/>
    <cellStyle name="Normal 16 4 6 3" xfId="12198"/>
    <cellStyle name="Normal 16 4 6 3 2" xfId="12199"/>
    <cellStyle name="Normal 16 4 6 4" xfId="12200"/>
    <cellStyle name="Normal 16 4 7" xfId="12201"/>
    <cellStyle name="Normal 16 4 7 2" xfId="12202"/>
    <cellStyle name="Normal 16 4 7 2 2" xfId="12203"/>
    <cellStyle name="Normal 16 4 7 2 2 2" xfId="12204"/>
    <cellStyle name="Normal 16 4 7 2 3" xfId="12205"/>
    <cellStyle name="Normal 16 4 7 3" xfId="12206"/>
    <cellStyle name="Normal 16 4 7 3 2" xfId="12207"/>
    <cellStyle name="Normal 16 4 7 4" xfId="12208"/>
    <cellStyle name="Normal 16 4 8" xfId="12209"/>
    <cellStyle name="Normal 16 4 8 2" xfId="12210"/>
    <cellStyle name="Normal 16 4 8 2 2" xfId="12211"/>
    <cellStyle name="Normal 16 4 8 3" xfId="12212"/>
    <cellStyle name="Normal 16 4 9" xfId="12213"/>
    <cellStyle name="Normal 16 4 9 2" xfId="12214"/>
    <cellStyle name="Normal 16 5" xfId="12215"/>
    <cellStyle name="Normal 16 5 10" xfId="12216"/>
    <cellStyle name="Normal 16 5 2" xfId="12217"/>
    <cellStyle name="Normal 16 5 2 2" xfId="12218"/>
    <cellStyle name="Normal 16 5 2 2 2" xfId="12219"/>
    <cellStyle name="Normal 16 5 2 2 2 2" xfId="12220"/>
    <cellStyle name="Normal 16 5 2 2 2 2 2" xfId="12221"/>
    <cellStyle name="Normal 16 5 2 2 2 2 2 2" xfId="12222"/>
    <cellStyle name="Normal 16 5 2 2 2 2 2 2 2" xfId="12223"/>
    <cellStyle name="Normal 16 5 2 2 2 2 2 3" xfId="12224"/>
    <cellStyle name="Normal 16 5 2 2 2 2 3" xfId="12225"/>
    <cellStyle name="Normal 16 5 2 2 2 2 3 2" xfId="12226"/>
    <cellStyle name="Normal 16 5 2 2 2 2 4" xfId="12227"/>
    <cellStyle name="Normal 16 5 2 2 2 3" xfId="12228"/>
    <cellStyle name="Normal 16 5 2 2 2 3 2" xfId="12229"/>
    <cellStyle name="Normal 16 5 2 2 2 3 2 2" xfId="12230"/>
    <cellStyle name="Normal 16 5 2 2 2 3 2 2 2" xfId="12231"/>
    <cellStyle name="Normal 16 5 2 2 2 3 2 3" xfId="12232"/>
    <cellStyle name="Normal 16 5 2 2 2 3 3" xfId="12233"/>
    <cellStyle name="Normal 16 5 2 2 2 3 3 2" xfId="12234"/>
    <cellStyle name="Normal 16 5 2 2 2 3 4" xfId="12235"/>
    <cellStyle name="Normal 16 5 2 2 2 4" xfId="12236"/>
    <cellStyle name="Normal 16 5 2 2 2 4 2" xfId="12237"/>
    <cellStyle name="Normal 16 5 2 2 2 4 2 2" xfId="12238"/>
    <cellStyle name="Normal 16 5 2 2 2 4 3" xfId="12239"/>
    <cellStyle name="Normal 16 5 2 2 2 5" xfId="12240"/>
    <cellStyle name="Normal 16 5 2 2 2 5 2" xfId="12241"/>
    <cellStyle name="Normal 16 5 2 2 2 6" xfId="12242"/>
    <cellStyle name="Normal 16 5 2 2 3" xfId="12243"/>
    <cellStyle name="Normal 16 5 2 2 3 2" xfId="12244"/>
    <cellStyle name="Normal 16 5 2 2 3 2 2" xfId="12245"/>
    <cellStyle name="Normal 16 5 2 2 3 2 2 2" xfId="12246"/>
    <cellStyle name="Normal 16 5 2 2 3 2 3" xfId="12247"/>
    <cellStyle name="Normal 16 5 2 2 3 3" xfId="12248"/>
    <cellStyle name="Normal 16 5 2 2 3 3 2" xfId="12249"/>
    <cellStyle name="Normal 16 5 2 2 3 4" xfId="12250"/>
    <cellStyle name="Normal 16 5 2 2 4" xfId="12251"/>
    <cellStyle name="Normal 16 5 2 2 4 2" xfId="12252"/>
    <cellStyle name="Normal 16 5 2 2 4 2 2" xfId="12253"/>
    <cellStyle name="Normal 16 5 2 2 4 2 2 2" xfId="12254"/>
    <cellStyle name="Normal 16 5 2 2 4 2 3" xfId="12255"/>
    <cellStyle name="Normal 16 5 2 2 4 3" xfId="12256"/>
    <cellStyle name="Normal 16 5 2 2 4 3 2" xfId="12257"/>
    <cellStyle name="Normal 16 5 2 2 4 4" xfId="12258"/>
    <cellStyle name="Normal 16 5 2 2 5" xfId="12259"/>
    <cellStyle name="Normal 16 5 2 2 5 2" xfId="12260"/>
    <cellStyle name="Normal 16 5 2 2 5 2 2" xfId="12261"/>
    <cellStyle name="Normal 16 5 2 2 5 3" xfId="12262"/>
    <cellStyle name="Normal 16 5 2 2 6" xfId="12263"/>
    <cellStyle name="Normal 16 5 2 2 6 2" xfId="12264"/>
    <cellStyle name="Normal 16 5 2 2 7" xfId="12265"/>
    <cellStyle name="Normal 16 5 2 3" xfId="12266"/>
    <cellStyle name="Normal 16 5 2 3 2" xfId="12267"/>
    <cellStyle name="Normal 16 5 2 3 2 2" xfId="12268"/>
    <cellStyle name="Normal 16 5 2 3 2 2 2" xfId="12269"/>
    <cellStyle name="Normal 16 5 2 3 2 2 2 2" xfId="12270"/>
    <cellStyle name="Normal 16 5 2 3 2 2 3" xfId="12271"/>
    <cellStyle name="Normal 16 5 2 3 2 3" xfId="12272"/>
    <cellStyle name="Normal 16 5 2 3 2 3 2" xfId="12273"/>
    <cellStyle name="Normal 16 5 2 3 2 4" xfId="12274"/>
    <cellStyle name="Normal 16 5 2 3 3" xfId="12275"/>
    <cellStyle name="Normal 16 5 2 3 3 2" xfId="12276"/>
    <cellStyle name="Normal 16 5 2 3 3 2 2" xfId="12277"/>
    <cellStyle name="Normal 16 5 2 3 3 2 2 2" xfId="12278"/>
    <cellStyle name="Normal 16 5 2 3 3 2 3" xfId="12279"/>
    <cellStyle name="Normal 16 5 2 3 3 3" xfId="12280"/>
    <cellStyle name="Normal 16 5 2 3 3 3 2" xfId="12281"/>
    <cellStyle name="Normal 16 5 2 3 3 4" xfId="12282"/>
    <cellStyle name="Normal 16 5 2 3 4" xfId="12283"/>
    <cellStyle name="Normal 16 5 2 3 4 2" xfId="12284"/>
    <cellStyle name="Normal 16 5 2 3 4 2 2" xfId="12285"/>
    <cellStyle name="Normal 16 5 2 3 4 3" xfId="12286"/>
    <cellStyle name="Normal 16 5 2 3 5" xfId="12287"/>
    <cellStyle name="Normal 16 5 2 3 5 2" xfId="12288"/>
    <cellStyle name="Normal 16 5 2 3 6" xfId="12289"/>
    <cellStyle name="Normal 16 5 2 4" xfId="12290"/>
    <cellStyle name="Normal 16 5 2 4 2" xfId="12291"/>
    <cellStyle name="Normal 16 5 2 4 2 2" xfId="12292"/>
    <cellStyle name="Normal 16 5 2 4 2 2 2" xfId="12293"/>
    <cellStyle name="Normal 16 5 2 4 2 3" xfId="12294"/>
    <cellStyle name="Normal 16 5 2 4 3" xfId="12295"/>
    <cellStyle name="Normal 16 5 2 4 3 2" xfId="12296"/>
    <cellStyle name="Normal 16 5 2 4 4" xfId="12297"/>
    <cellStyle name="Normal 16 5 2 5" xfId="12298"/>
    <cellStyle name="Normal 16 5 2 5 2" xfId="12299"/>
    <cellStyle name="Normal 16 5 2 5 2 2" xfId="12300"/>
    <cellStyle name="Normal 16 5 2 5 2 2 2" xfId="12301"/>
    <cellStyle name="Normal 16 5 2 5 2 3" xfId="12302"/>
    <cellStyle name="Normal 16 5 2 5 3" xfId="12303"/>
    <cellStyle name="Normal 16 5 2 5 3 2" xfId="12304"/>
    <cellStyle name="Normal 16 5 2 5 4" xfId="12305"/>
    <cellStyle name="Normal 16 5 2 6" xfId="12306"/>
    <cellStyle name="Normal 16 5 2 6 2" xfId="12307"/>
    <cellStyle name="Normal 16 5 2 6 2 2" xfId="12308"/>
    <cellStyle name="Normal 16 5 2 6 2 2 2" xfId="12309"/>
    <cellStyle name="Normal 16 5 2 6 2 3" xfId="12310"/>
    <cellStyle name="Normal 16 5 2 6 3" xfId="12311"/>
    <cellStyle name="Normal 16 5 2 6 3 2" xfId="12312"/>
    <cellStyle name="Normal 16 5 2 6 4" xfId="12313"/>
    <cellStyle name="Normal 16 5 2 7" xfId="12314"/>
    <cellStyle name="Normal 16 5 2 7 2" xfId="12315"/>
    <cellStyle name="Normal 16 5 2 7 2 2" xfId="12316"/>
    <cellStyle name="Normal 16 5 2 7 3" xfId="12317"/>
    <cellStyle name="Normal 16 5 2 8" xfId="12318"/>
    <cellStyle name="Normal 16 5 2 8 2" xfId="12319"/>
    <cellStyle name="Normal 16 5 2 9" xfId="12320"/>
    <cellStyle name="Normal 16 5 3" xfId="12321"/>
    <cellStyle name="Normal 16 5 3 2" xfId="12322"/>
    <cellStyle name="Normal 16 5 3 2 2" xfId="12323"/>
    <cellStyle name="Normal 16 5 3 2 2 2" xfId="12324"/>
    <cellStyle name="Normal 16 5 3 2 2 2 2" xfId="12325"/>
    <cellStyle name="Normal 16 5 3 2 2 2 2 2" xfId="12326"/>
    <cellStyle name="Normal 16 5 3 2 2 2 3" xfId="12327"/>
    <cellStyle name="Normal 16 5 3 2 2 3" xfId="12328"/>
    <cellStyle name="Normal 16 5 3 2 2 3 2" xfId="12329"/>
    <cellStyle name="Normal 16 5 3 2 2 4" xfId="12330"/>
    <cellStyle name="Normal 16 5 3 2 3" xfId="12331"/>
    <cellStyle name="Normal 16 5 3 2 3 2" xfId="12332"/>
    <cellStyle name="Normal 16 5 3 2 3 2 2" xfId="12333"/>
    <cellStyle name="Normal 16 5 3 2 3 2 2 2" xfId="12334"/>
    <cellStyle name="Normal 16 5 3 2 3 2 3" xfId="12335"/>
    <cellStyle name="Normal 16 5 3 2 3 3" xfId="12336"/>
    <cellStyle name="Normal 16 5 3 2 3 3 2" xfId="12337"/>
    <cellStyle name="Normal 16 5 3 2 3 4" xfId="12338"/>
    <cellStyle name="Normal 16 5 3 2 4" xfId="12339"/>
    <cellStyle name="Normal 16 5 3 2 4 2" xfId="12340"/>
    <cellStyle name="Normal 16 5 3 2 4 2 2" xfId="12341"/>
    <cellStyle name="Normal 16 5 3 2 4 3" xfId="12342"/>
    <cellStyle name="Normal 16 5 3 2 5" xfId="12343"/>
    <cellStyle name="Normal 16 5 3 2 5 2" xfId="12344"/>
    <cellStyle name="Normal 16 5 3 2 6" xfId="12345"/>
    <cellStyle name="Normal 16 5 3 3" xfId="12346"/>
    <cellStyle name="Normal 16 5 3 3 2" xfId="12347"/>
    <cellStyle name="Normal 16 5 3 3 2 2" xfId="12348"/>
    <cellStyle name="Normal 16 5 3 3 2 2 2" xfId="12349"/>
    <cellStyle name="Normal 16 5 3 3 2 3" xfId="12350"/>
    <cellStyle name="Normal 16 5 3 3 3" xfId="12351"/>
    <cellStyle name="Normal 16 5 3 3 3 2" xfId="12352"/>
    <cellStyle name="Normal 16 5 3 3 4" xfId="12353"/>
    <cellStyle name="Normal 16 5 3 4" xfId="12354"/>
    <cellStyle name="Normal 16 5 3 4 2" xfId="12355"/>
    <cellStyle name="Normal 16 5 3 4 2 2" xfId="12356"/>
    <cellStyle name="Normal 16 5 3 4 2 2 2" xfId="12357"/>
    <cellStyle name="Normal 16 5 3 4 2 3" xfId="12358"/>
    <cellStyle name="Normal 16 5 3 4 3" xfId="12359"/>
    <cellStyle name="Normal 16 5 3 4 3 2" xfId="12360"/>
    <cellStyle name="Normal 16 5 3 4 4" xfId="12361"/>
    <cellStyle name="Normal 16 5 3 5" xfId="12362"/>
    <cellStyle name="Normal 16 5 3 5 2" xfId="12363"/>
    <cellStyle name="Normal 16 5 3 5 2 2" xfId="12364"/>
    <cellStyle name="Normal 16 5 3 5 3" xfId="12365"/>
    <cellStyle name="Normal 16 5 3 6" xfId="12366"/>
    <cellStyle name="Normal 16 5 3 6 2" xfId="12367"/>
    <cellStyle name="Normal 16 5 3 7" xfId="12368"/>
    <cellStyle name="Normal 16 5 4" xfId="12369"/>
    <cellStyle name="Normal 16 5 4 2" xfId="12370"/>
    <cellStyle name="Normal 16 5 4 2 2" xfId="12371"/>
    <cellStyle name="Normal 16 5 4 2 2 2" xfId="12372"/>
    <cellStyle name="Normal 16 5 4 2 2 2 2" xfId="12373"/>
    <cellStyle name="Normal 16 5 4 2 2 3" xfId="12374"/>
    <cellStyle name="Normal 16 5 4 2 3" xfId="12375"/>
    <cellStyle name="Normal 16 5 4 2 3 2" xfId="12376"/>
    <cellStyle name="Normal 16 5 4 2 4" xfId="12377"/>
    <cellStyle name="Normal 16 5 4 3" xfId="12378"/>
    <cellStyle name="Normal 16 5 4 3 2" xfId="12379"/>
    <cellStyle name="Normal 16 5 4 3 2 2" xfId="12380"/>
    <cellStyle name="Normal 16 5 4 3 2 2 2" xfId="12381"/>
    <cellStyle name="Normal 16 5 4 3 2 3" xfId="12382"/>
    <cellStyle name="Normal 16 5 4 3 3" xfId="12383"/>
    <cellStyle name="Normal 16 5 4 3 3 2" xfId="12384"/>
    <cellStyle name="Normal 16 5 4 3 4" xfId="12385"/>
    <cellStyle name="Normal 16 5 4 4" xfId="12386"/>
    <cellStyle name="Normal 16 5 4 4 2" xfId="12387"/>
    <cellStyle name="Normal 16 5 4 4 2 2" xfId="12388"/>
    <cellStyle name="Normal 16 5 4 4 3" xfId="12389"/>
    <cellStyle name="Normal 16 5 4 5" xfId="12390"/>
    <cellStyle name="Normal 16 5 4 5 2" xfId="12391"/>
    <cellStyle name="Normal 16 5 4 6" xfId="12392"/>
    <cellStyle name="Normal 16 5 5" xfId="12393"/>
    <cellStyle name="Normal 16 5 5 2" xfId="12394"/>
    <cellStyle name="Normal 16 5 5 2 2" xfId="12395"/>
    <cellStyle name="Normal 16 5 5 2 2 2" xfId="12396"/>
    <cellStyle name="Normal 16 5 5 2 3" xfId="12397"/>
    <cellStyle name="Normal 16 5 5 3" xfId="12398"/>
    <cellStyle name="Normal 16 5 5 3 2" xfId="12399"/>
    <cellStyle name="Normal 16 5 5 4" xfId="12400"/>
    <cellStyle name="Normal 16 5 6" xfId="12401"/>
    <cellStyle name="Normal 16 5 6 2" xfId="12402"/>
    <cellStyle name="Normal 16 5 6 2 2" xfId="12403"/>
    <cellStyle name="Normal 16 5 6 2 2 2" xfId="12404"/>
    <cellStyle name="Normal 16 5 6 2 3" xfId="12405"/>
    <cellStyle name="Normal 16 5 6 3" xfId="12406"/>
    <cellStyle name="Normal 16 5 6 3 2" xfId="12407"/>
    <cellStyle name="Normal 16 5 6 4" xfId="12408"/>
    <cellStyle name="Normal 16 5 7" xfId="12409"/>
    <cellStyle name="Normal 16 5 7 2" xfId="12410"/>
    <cellStyle name="Normal 16 5 7 2 2" xfId="12411"/>
    <cellStyle name="Normal 16 5 7 2 2 2" xfId="12412"/>
    <cellStyle name="Normal 16 5 7 2 3" xfId="12413"/>
    <cellStyle name="Normal 16 5 7 3" xfId="12414"/>
    <cellStyle name="Normal 16 5 7 3 2" xfId="12415"/>
    <cellStyle name="Normal 16 5 7 4" xfId="12416"/>
    <cellStyle name="Normal 16 5 8" xfId="12417"/>
    <cellStyle name="Normal 16 5 8 2" xfId="12418"/>
    <cellStyle name="Normal 16 5 8 2 2" xfId="12419"/>
    <cellStyle name="Normal 16 5 8 3" xfId="12420"/>
    <cellStyle name="Normal 16 5 9" xfId="12421"/>
    <cellStyle name="Normal 16 5 9 2" xfId="12422"/>
    <cellStyle name="Normal 16 6" xfId="12423"/>
    <cellStyle name="Normal 16 6 2" xfId="12424"/>
    <cellStyle name="Normal 16 6 2 2" xfId="12425"/>
    <cellStyle name="Normal 16 6 2 2 2" xfId="12426"/>
    <cellStyle name="Normal 16 6 2 2 2 2" xfId="12427"/>
    <cellStyle name="Normal 16 6 2 2 2 2 2" xfId="12428"/>
    <cellStyle name="Normal 16 6 2 2 2 2 2 2" xfId="12429"/>
    <cellStyle name="Normal 16 6 2 2 2 2 3" xfId="12430"/>
    <cellStyle name="Normal 16 6 2 2 2 3" xfId="12431"/>
    <cellStyle name="Normal 16 6 2 2 2 3 2" xfId="12432"/>
    <cellStyle name="Normal 16 6 2 2 2 4" xfId="12433"/>
    <cellStyle name="Normal 16 6 2 2 3" xfId="12434"/>
    <cellStyle name="Normal 16 6 2 2 3 2" xfId="12435"/>
    <cellStyle name="Normal 16 6 2 2 3 2 2" xfId="12436"/>
    <cellStyle name="Normal 16 6 2 2 3 2 2 2" xfId="12437"/>
    <cellStyle name="Normal 16 6 2 2 3 2 3" xfId="12438"/>
    <cellStyle name="Normal 16 6 2 2 3 3" xfId="12439"/>
    <cellStyle name="Normal 16 6 2 2 3 3 2" xfId="12440"/>
    <cellStyle name="Normal 16 6 2 2 3 4" xfId="12441"/>
    <cellStyle name="Normal 16 6 2 2 4" xfId="12442"/>
    <cellStyle name="Normal 16 6 2 2 4 2" xfId="12443"/>
    <cellStyle name="Normal 16 6 2 2 4 2 2" xfId="12444"/>
    <cellStyle name="Normal 16 6 2 2 4 3" xfId="12445"/>
    <cellStyle name="Normal 16 6 2 2 5" xfId="12446"/>
    <cellStyle name="Normal 16 6 2 2 5 2" xfId="12447"/>
    <cellStyle name="Normal 16 6 2 2 6" xfId="12448"/>
    <cellStyle name="Normal 16 6 2 3" xfId="12449"/>
    <cellStyle name="Normal 16 6 2 3 2" xfId="12450"/>
    <cellStyle name="Normal 16 6 2 3 2 2" xfId="12451"/>
    <cellStyle name="Normal 16 6 2 3 2 2 2" xfId="12452"/>
    <cellStyle name="Normal 16 6 2 3 2 3" xfId="12453"/>
    <cellStyle name="Normal 16 6 2 3 3" xfId="12454"/>
    <cellStyle name="Normal 16 6 2 3 3 2" xfId="12455"/>
    <cellStyle name="Normal 16 6 2 3 4" xfId="12456"/>
    <cellStyle name="Normal 16 6 2 4" xfId="12457"/>
    <cellStyle name="Normal 16 6 2 4 2" xfId="12458"/>
    <cellStyle name="Normal 16 6 2 4 2 2" xfId="12459"/>
    <cellStyle name="Normal 16 6 2 4 2 2 2" xfId="12460"/>
    <cellStyle name="Normal 16 6 2 4 2 3" xfId="12461"/>
    <cellStyle name="Normal 16 6 2 4 3" xfId="12462"/>
    <cellStyle name="Normal 16 6 2 4 3 2" xfId="12463"/>
    <cellStyle name="Normal 16 6 2 4 4" xfId="12464"/>
    <cellStyle name="Normal 16 6 2 5" xfId="12465"/>
    <cellStyle name="Normal 16 6 2 5 2" xfId="12466"/>
    <cellStyle name="Normal 16 6 2 5 2 2" xfId="12467"/>
    <cellStyle name="Normal 16 6 2 5 3" xfId="12468"/>
    <cellStyle name="Normal 16 6 2 6" xfId="12469"/>
    <cellStyle name="Normal 16 6 2 6 2" xfId="12470"/>
    <cellStyle name="Normal 16 6 2 7" xfId="12471"/>
    <cellStyle name="Normal 16 6 3" xfId="12472"/>
    <cellStyle name="Normal 16 6 3 2" xfId="12473"/>
    <cellStyle name="Normal 16 6 3 2 2" xfId="12474"/>
    <cellStyle name="Normal 16 6 3 2 2 2" xfId="12475"/>
    <cellStyle name="Normal 16 6 3 2 2 2 2" xfId="12476"/>
    <cellStyle name="Normal 16 6 3 2 2 3" xfId="12477"/>
    <cellStyle name="Normal 16 6 3 2 3" xfId="12478"/>
    <cellStyle name="Normal 16 6 3 2 3 2" xfId="12479"/>
    <cellStyle name="Normal 16 6 3 2 4" xfId="12480"/>
    <cellStyle name="Normal 16 6 3 3" xfId="12481"/>
    <cellStyle name="Normal 16 6 3 3 2" xfId="12482"/>
    <cellStyle name="Normal 16 6 3 3 2 2" xfId="12483"/>
    <cellStyle name="Normal 16 6 3 3 2 2 2" xfId="12484"/>
    <cellStyle name="Normal 16 6 3 3 2 3" xfId="12485"/>
    <cellStyle name="Normal 16 6 3 3 3" xfId="12486"/>
    <cellStyle name="Normal 16 6 3 3 3 2" xfId="12487"/>
    <cellStyle name="Normal 16 6 3 3 4" xfId="12488"/>
    <cellStyle name="Normal 16 6 3 4" xfId="12489"/>
    <cellStyle name="Normal 16 6 3 4 2" xfId="12490"/>
    <cellStyle name="Normal 16 6 3 4 2 2" xfId="12491"/>
    <cellStyle name="Normal 16 6 3 4 3" xfId="12492"/>
    <cellStyle name="Normal 16 6 3 5" xfId="12493"/>
    <cellStyle name="Normal 16 6 3 5 2" xfId="12494"/>
    <cellStyle name="Normal 16 6 3 6" xfId="12495"/>
    <cellStyle name="Normal 16 6 4" xfId="12496"/>
    <cellStyle name="Normal 16 6 4 2" xfId="12497"/>
    <cellStyle name="Normal 16 6 4 2 2" xfId="12498"/>
    <cellStyle name="Normal 16 6 4 2 2 2" xfId="12499"/>
    <cellStyle name="Normal 16 6 4 2 3" xfId="12500"/>
    <cellStyle name="Normal 16 6 4 3" xfId="12501"/>
    <cellStyle name="Normal 16 6 4 3 2" xfId="12502"/>
    <cellStyle name="Normal 16 6 4 4" xfId="12503"/>
    <cellStyle name="Normal 16 6 5" xfId="12504"/>
    <cellStyle name="Normal 16 6 5 2" xfId="12505"/>
    <cellStyle name="Normal 16 6 5 2 2" xfId="12506"/>
    <cellStyle name="Normal 16 6 5 2 2 2" xfId="12507"/>
    <cellStyle name="Normal 16 6 5 2 3" xfId="12508"/>
    <cellStyle name="Normal 16 6 5 3" xfId="12509"/>
    <cellStyle name="Normal 16 6 5 3 2" xfId="12510"/>
    <cellStyle name="Normal 16 6 5 4" xfId="12511"/>
    <cellStyle name="Normal 16 6 6" xfId="12512"/>
    <cellStyle name="Normal 16 6 6 2" xfId="12513"/>
    <cellStyle name="Normal 16 6 6 2 2" xfId="12514"/>
    <cellStyle name="Normal 16 6 6 2 2 2" xfId="12515"/>
    <cellStyle name="Normal 16 6 6 2 3" xfId="12516"/>
    <cellStyle name="Normal 16 6 6 3" xfId="12517"/>
    <cellStyle name="Normal 16 6 6 3 2" xfId="12518"/>
    <cellStyle name="Normal 16 6 6 4" xfId="12519"/>
    <cellStyle name="Normal 16 6 7" xfId="12520"/>
    <cellStyle name="Normal 16 6 7 2" xfId="12521"/>
    <cellStyle name="Normal 16 6 7 2 2" xfId="12522"/>
    <cellStyle name="Normal 16 6 7 3" xfId="12523"/>
    <cellStyle name="Normal 16 6 8" xfId="12524"/>
    <cellStyle name="Normal 16 6 8 2" xfId="12525"/>
    <cellStyle name="Normal 16 6 9" xfId="12526"/>
    <cellStyle name="Normal 16 7" xfId="12527"/>
    <cellStyle name="Normal 16 7 2" xfId="12528"/>
    <cellStyle name="Normal 16 7 2 2" xfId="12529"/>
    <cellStyle name="Normal 16 7 2 2 2" xfId="12530"/>
    <cellStyle name="Normal 16 7 2 2 2 2" xfId="12531"/>
    <cellStyle name="Normal 16 7 2 2 2 2 2" xfId="12532"/>
    <cellStyle name="Normal 16 7 2 2 2 3" xfId="12533"/>
    <cellStyle name="Normal 16 7 2 2 3" xfId="12534"/>
    <cellStyle name="Normal 16 7 2 2 3 2" xfId="12535"/>
    <cellStyle name="Normal 16 7 2 2 4" xfId="12536"/>
    <cellStyle name="Normal 16 7 2 3" xfId="12537"/>
    <cellStyle name="Normal 16 7 2 3 2" xfId="12538"/>
    <cellStyle name="Normal 16 7 2 3 2 2" xfId="12539"/>
    <cellStyle name="Normal 16 7 2 3 2 2 2" xfId="12540"/>
    <cellStyle name="Normal 16 7 2 3 2 3" xfId="12541"/>
    <cellStyle name="Normal 16 7 2 3 3" xfId="12542"/>
    <cellStyle name="Normal 16 7 2 3 3 2" xfId="12543"/>
    <cellStyle name="Normal 16 7 2 3 4" xfId="12544"/>
    <cellStyle name="Normal 16 7 2 4" xfId="12545"/>
    <cellStyle name="Normal 16 7 2 4 2" xfId="12546"/>
    <cellStyle name="Normal 16 7 2 4 2 2" xfId="12547"/>
    <cellStyle name="Normal 16 7 2 4 3" xfId="12548"/>
    <cellStyle name="Normal 16 7 2 5" xfId="12549"/>
    <cellStyle name="Normal 16 7 2 5 2" xfId="12550"/>
    <cellStyle name="Normal 16 7 2 6" xfId="12551"/>
    <cellStyle name="Normal 16 7 3" xfId="12552"/>
    <cellStyle name="Normal 16 7 3 2" xfId="12553"/>
    <cellStyle name="Normal 16 7 3 2 2" xfId="12554"/>
    <cellStyle name="Normal 16 7 3 2 2 2" xfId="12555"/>
    <cellStyle name="Normal 16 7 3 2 3" xfId="12556"/>
    <cellStyle name="Normal 16 7 3 3" xfId="12557"/>
    <cellStyle name="Normal 16 7 3 3 2" xfId="12558"/>
    <cellStyle name="Normal 16 7 3 4" xfId="12559"/>
    <cellStyle name="Normal 16 7 4" xfId="12560"/>
    <cellStyle name="Normal 16 7 4 2" xfId="12561"/>
    <cellStyle name="Normal 16 7 4 2 2" xfId="12562"/>
    <cellStyle name="Normal 16 7 4 2 2 2" xfId="12563"/>
    <cellStyle name="Normal 16 7 4 2 3" xfId="12564"/>
    <cellStyle name="Normal 16 7 4 3" xfId="12565"/>
    <cellStyle name="Normal 16 7 4 3 2" xfId="12566"/>
    <cellStyle name="Normal 16 7 4 4" xfId="12567"/>
    <cellStyle name="Normal 16 7 5" xfId="12568"/>
    <cellStyle name="Normal 16 7 5 2" xfId="12569"/>
    <cellStyle name="Normal 16 7 5 2 2" xfId="12570"/>
    <cellStyle name="Normal 16 7 5 3" xfId="12571"/>
    <cellStyle name="Normal 16 7 6" xfId="12572"/>
    <cellStyle name="Normal 16 7 6 2" xfId="12573"/>
    <cellStyle name="Normal 16 7 7" xfId="12574"/>
    <cellStyle name="Normal 16 8" xfId="12575"/>
    <cellStyle name="Normal 16 8 2" xfId="12576"/>
    <cellStyle name="Normal 16 8 2 2" xfId="12577"/>
    <cellStyle name="Normal 16 8 2 2 2" xfId="12578"/>
    <cellStyle name="Normal 16 8 2 2 2 2" xfId="12579"/>
    <cellStyle name="Normal 16 8 2 2 3" xfId="12580"/>
    <cellStyle name="Normal 16 8 2 3" xfId="12581"/>
    <cellStyle name="Normal 16 8 2 3 2" xfId="12582"/>
    <cellStyle name="Normal 16 8 2 4" xfId="12583"/>
    <cellStyle name="Normal 16 8 3" xfId="12584"/>
    <cellStyle name="Normal 16 8 3 2" xfId="12585"/>
    <cellStyle name="Normal 16 8 3 2 2" xfId="12586"/>
    <cellStyle name="Normal 16 8 3 2 2 2" xfId="12587"/>
    <cellStyle name="Normal 16 8 3 2 3" xfId="12588"/>
    <cellStyle name="Normal 16 8 3 3" xfId="12589"/>
    <cellStyle name="Normal 16 8 3 3 2" xfId="12590"/>
    <cellStyle name="Normal 16 8 3 4" xfId="12591"/>
    <cellStyle name="Normal 16 8 4" xfId="12592"/>
    <cellStyle name="Normal 16 8 4 2" xfId="12593"/>
    <cellStyle name="Normal 16 8 4 2 2" xfId="12594"/>
    <cellStyle name="Normal 16 8 4 3" xfId="12595"/>
    <cellStyle name="Normal 16 8 5" xfId="12596"/>
    <cellStyle name="Normal 16 8 5 2" xfId="12597"/>
    <cellStyle name="Normal 16 8 6" xfId="12598"/>
    <cellStyle name="Normal 16 9" xfId="12599"/>
    <cellStyle name="Normal 16 9 2" xfId="12600"/>
    <cellStyle name="Normal 16 9 2 2" xfId="12601"/>
    <cellStyle name="Normal 16 9 2 2 2" xfId="12602"/>
    <cellStyle name="Normal 16 9 2 3" xfId="12603"/>
    <cellStyle name="Normal 16 9 3" xfId="12604"/>
    <cellStyle name="Normal 16 9 3 2" xfId="12605"/>
    <cellStyle name="Normal 16 9 4" xfId="12606"/>
    <cellStyle name="Normal 17" xfId="12607"/>
    <cellStyle name="Normal 17 10" xfId="12608"/>
    <cellStyle name="Normal 17 10 2" xfId="12609"/>
    <cellStyle name="Normal 17 10 2 2" xfId="12610"/>
    <cellStyle name="Normal 17 10 2 2 2" xfId="12611"/>
    <cellStyle name="Normal 17 10 2 3" xfId="12612"/>
    <cellStyle name="Normal 17 10 3" xfId="12613"/>
    <cellStyle name="Normal 17 10 3 2" xfId="12614"/>
    <cellStyle name="Normal 17 10 4" xfId="12615"/>
    <cellStyle name="Normal 17 11" xfId="12616"/>
    <cellStyle name="Normal 17 11 2" xfId="12617"/>
    <cellStyle name="Normal 17 11 2 2" xfId="12618"/>
    <cellStyle name="Normal 17 11 2 2 2" xfId="12619"/>
    <cellStyle name="Normal 17 11 2 3" xfId="12620"/>
    <cellStyle name="Normal 17 11 3" xfId="12621"/>
    <cellStyle name="Normal 17 11 3 2" xfId="12622"/>
    <cellStyle name="Normal 17 11 4" xfId="12623"/>
    <cellStyle name="Normal 17 12" xfId="12624"/>
    <cellStyle name="Normal 17 12 2" xfId="12625"/>
    <cellStyle name="Normal 17 12 2 2" xfId="12626"/>
    <cellStyle name="Normal 17 12 3" xfId="12627"/>
    <cellStyle name="Normal 17 13" xfId="12628"/>
    <cellStyle name="Normal 17 13 2" xfId="12629"/>
    <cellStyle name="Normal 17 14" xfId="12630"/>
    <cellStyle name="Normal 17 2" xfId="12631"/>
    <cellStyle name="Normal 17 2 10" xfId="12632"/>
    <cellStyle name="Normal 17 2 10 2" xfId="12633"/>
    <cellStyle name="Normal 17 2 10 2 2" xfId="12634"/>
    <cellStyle name="Normal 17 2 10 2 2 2" xfId="12635"/>
    <cellStyle name="Normal 17 2 10 2 3" xfId="12636"/>
    <cellStyle name="Normal 17 2 10 3" xfId="12637"/>
    <cellStyle name="Normal 17 2 10 3 2" xfId="12638"/>
    <cellStyle name="Normal 17 2 10 4" xfId="12639"/>
    <cellStyle name="Normal 17 2 11" xfId="12640"/>
    <cellStyle name="Normal 17 2 11 2" xfId="12641"/>
    <cellStyle name="Normal 17 2 11 2 2" xfId="12642"/>
    <cellStyle name="Normal 17 2 11 3" xfId="12643"/>
    <cellStyle name="Normal 17 2 12" xfId="12644"/>
    <cellStyle name="Normal 17 2 12 2" xfId="12645"/>
    <cellStyle name="Normal 17 2 13" xfId="12646"/>
    <cellStyle name="Normal 17 2 2" xfId="12647"/>
    <cellStyle name="Normal 17 2 2 10" xfId="12648"/>
    <cellStyle name="Normal 17 2 2 10 2" xfId="12649"/>
    <cellStyle name="Normal 17 2 2 11" xfId="12650"/>
    <cellStyle name="Normal 17 2 2 2" xfId="12651"/>
    <cellStyle name="Normal 17 2 2 2 10" xfId="12652"/>
    <cellStyle name="Normal 17 2 2 2 2" xfId="12653"/>
    <cellStyle name="Normal 17 2 2 2 2 2" xfId="12654"/>
    <cellStyle name="Normal 17 2 2 2 2 2 2" xfId="12655"/>
    <cellStyle name="Normal 17 2 2 2 2 2 2 2" xfId="12656"/>
    <cellStyle name="Normal 17 2 2 2 2 2 2 2 2" xfId="12657"/>
    <cellStyle name="Normal 17 2 2 2 2 2 2 2 2 2" xfId="12658"/>
    <cellStyle name="Normal 17 2 2 2 2 2 2 2 2 2 2" xfId="12659"/>
    <cellStyle name="Normal 17 2 2 2 2 2 2 2 2 3" xfId="12660"/>
    <cellStyle name="Normal 17 2 2 2 2 2 2 2 3" xfId="12661"/>
    <cellStyle name="Normal 17 2 2 2 2 2 2 2 3 2" xfId="12662"/>
    <cellStyle name="Normal 17 2 2 2 2 2 2 2 4" xfId="12663"/>
    <cellStyle name="Normal 17 2 2 2 2 2 2 3" xfId="12664"/>
    <cellStyle name="Normal 17 2 2 2 2 2 2 3 2" xfId="12665"/>
    <cellStyle name="Normal 17 2 2 2 2 2 2 3 2 2" xfId="12666"/>
    <cellStyle name="Normal 17 2 2 2 2 2 2 3 2 2 2" xfId="12667"/>
    <cellStyle name="Normal 17 2 2 2 2 2 2 3 2 3" xfId="12668"/>
    <cellStyle name="Normal 17 2 2 2 2 2 2 3 3" xfId="12669"/>
    <cellStyle name="Normal 17 2 2 2 2 2 2 3 3 2" xfId="12670"/>
    <cellStyle name="Normal 17 2 2 2 2 2 2 3 4" xfId="12671"/>
    <cellStyle name="Normal 17 2 2 2 2 2 2 4" xfId="12672"/>
    <cellStyle name="Normal 17 2 2 2 2 2 2 4 2" xfId="12673"/>
    <cellStyle name="Normal 17 2 2 2 2 2 2 4 2 2" xfId="12674"/>
    <cellStyle name="Normal 17 2 2 2 2 2 2 4 3" xfId="12675"/>
    <cellStyle name="Normal 17 2 2 2 2 2 2 5" xfId="12676"/>
    <cellStyle name="Normal 17 2 2 2 2 2 2 5 2" xfId="12677"/>
    <cellStyle name="Normal 17 2 2 2 2 2 2 6" xfId="12678"/>
    <cellStyle name="Normal 17 2 2 2 2 2 3" xfId="12679"/>
    <cellStyle name="Normal 17 2 2 2 2 2 3 2" xfId="12680"/>
    <cellStyle name="Normal 17 2 2 2 2 2 3 2 2" xfId="12681"/>
    <cellStyle name="Normal 17 2 2 2 2 2 3 2 2 2" xfId="12682"/>
    <cellStyle name="Normal 17 2 2 2 2 2 3 2 3" xfId="12683"/>
    <cellStyle name="Normal 17 2 2 2 2 2 3 3" xfId="12684"/>
    <cellStyle name="Normal 17 2 2 2 2 2 3 3 2" xfId="12685"/>
    <cellStyle name="Normal 17 2 2 2 2 2 3 4" xfId="12686"/>
    <cellStyle name="Normal 17 2 2 2 2 2 4" xfId="12687"/>
    <cellStyle name="Normal 17 2 2 2 2 2 4 2" xfId="12688"/>
    <cellStyle name="Normal 17 2 2 2 2 2 4 2 2" xfId="12689"/>
    <cellStyle name="Normal 17 2 2 2 2 2 4 2 2 2" xfId="12690"/>
    <cellStyle name="Normal 17 2 2 2 2 2 4 2 3" xfId="12691"/>
    <cellStyle name="Normal 17 2 2 2 2 2 4 3" xfId="12692"/>
    <cellStyle name="Normal 17 2 2 2 2 2 4 3 2" xfId="12693"/>
    <cellStyle name="Normal 17 2 2 2 2 2 4 4" xfId="12694"/>
    <cellStyle name="Normal 17 2 2 2 2 2 5" xfId="12695"/>
    <cellStyle name="Normal 17 2 2 2 2 2 5 2" xfId="12696"/>
    <cellStyle name="Normal 17 2 2 2 2 2 5 2 2" xfId="12697"/>
    <cellStyle name="Normal 17 2 2 2 2 2 5 3" xfId="12698"/>
    <cellStyle name="Normal 17 2 2 2 2 2 6" xfId="12699"/>
    <cellStyle name="Normal 17 2 2 2 2 2 6 2" xfId="12700"/>
    <cellStyle name="Normal 17 2 2 2 2 2 7" xfId="12701"/>
    <cellStyle name="Normal 17 2 2 2 2 3" xfId="12702"/>
    <cellStyle name="Normal 17 2 2 2 2 3 2" xfId="12703"/>
    <cellStyle name="Normal 17 2 2 2 2 3 2 2" xfId="12704"/>
    <cellStyle name="Normal 17 2 2 2 2 3 2 2 2" xfId="12705"/>
    <cellStyle name="Normal 17 2 2 2 2 3 2 2 2 2" xfId="12706"/>
    <cellStyle name="Normal 17 2 2 2 2 3 2 2 3" xfId="12707"/>
    <cellStyle name="Normal 17 2 2 2 2 3 2 3" xfId="12708"/>
    <cellStyle name="Normal 17 2 2 2 2 3 2 3 2" xfId="12709"/>
    <cellStyle name="Normal 17 2 2 2 2 3 2 4" xfId="12710"/>
    <cellStyle name="Normal 17 2 2 2 2 3 3" xfId="12711"/>
    <cellStyle name="Normal 17 2 2 2 2 3 3 2" xfId="12712"/>
    <cellStyle name="Normal 17 2 2 2 2 3 3 2 2" xfId="12713"/>
    <cellStyle name="Normal 17 2 2 2 2 3 3 2 2 2" xfId="12714"/>
    <cellStyle name="Normal 17 2 2 2 2 3 3 2 3" xfId="12715"/>
    <cellStyle name="Normal 17 2 2 2 2 3 3 3" xfId="12716"/>
    <cellStyle name="Normal 17 2 2 2 2 3 3 3 2" xfId="12717"/>
    <cellStyle name="Normal 17 2 2 2 2 3 3 4" xfId="12718"/>
    <cellStyle name="Normal 17 2 2 2 2 3 4" xfId="12719"/>
    <cellStyle name="Normal 17 2 2 2 2 3 4 2" xfId="12720"/>
    <cellStyle name="Normal 17 2 2 2 2 3 4 2 2" xfId="12721"/>
    <cellStyle name="Normal 17 2 2 2 2 3 4 3" xfId="12722"/>
    <cellStyle name="Normal 17 2 2 2 2 3 5" xfId="12723"/>
    <cellStyle name="Normal 17 2 2 2 2 3 5 2" xfId="12724"/>
    <cellStyle name="Normal 17 2 2 2 2 3 6" xfId="12725"/>
    <cellStyle name="Normal 17 2 2 2 2 4" xfId="12726"/>
    <cellStyle name="Normal 17 2 2 2 2 4 2" xfId="12727"/>
    <cellStyle name="Normal 17 2 2 2 2 4 2 2" xfId="12728"/>
    <cellStyle name="Normal 17 2 2 2 2 4 2 2 2" xfId="12729"/>
    <cellStyle name="Normal 17 2 2 2 2 4 2 3" xfId="12730"/>
    <cellStyle name="Normal 17 2 2 2 2 4 3" xfId="12731"/>
    <cellStyle name="Normal 17 2 2 2 2 4 3 2" xfId="12732"/>
    <cellStyle name="Normal 17 2 2 2 2 4 4" xfId="12733"/>
    <cellStyle name="Normal 17 2 2 2 2 5" xfId="12734"/>
    <cellStyle name="Normal 17 2 2 2 2 5 2" xfId="12735"/>
    <cellStyle name="Normal 17 2 2 2 2 5 2 2" xfId="12736"/>
    <cellStyle name="Normal 17 2 2 2 2 5 2 2 2" xfId="12737"/>
    <cellStyle name="Normal 17 2 2 2 2 5 2 3" xfId="12738"/>
    <cellStyle name="Normal 17 2 2 2 2 5 3" xfId="12739"/>
    <cellStyle name="Normal 17 2 2 2 2 5 3 2" xfId="12740"/>
    <cellStyle name="Normal 17 2 2 2 2 5 4" xfId="12741"/>
    <cellStyle name="Normal 17 2 2 2 2 6" xfId="12742"/>
    <cellStyle name="Normal 17 2 2 2 2 6 2" xfId="12743"/>
    <cellStyle name="Normal 17 2 2 2 2 6 2 2" xfId="12744"/>
    <cellStyle name="Normal 17 2 2 2 2 6 2 2 2" xfId="12745"/>
    <cellStyle name="Normal 17 2 2 2 2 6 2 3" xfId="12746"/>
    <cellStyle name="Normal 17 2 2 2 2 6 3" xfId="12747"/>
    <cellStyle name="Normal 17 2 2 2 2 6 3 2" xfId="12748"/>
    <cellStyle name="Normal 17 2 2 2 2 6 4" xfId="12749"/>
    <cellStyle name="Normal 17 2 2 2 2 7" xfId="12750"/>
    <cellStyle name="Normal 17 2 2 2 2 7 2" xfId="12751"/>
    <cellStyle name="Normal 17 2 2 2 2 7 2 2" xfId="12752"/>
    <cellStyle name="Normal 17 2 2 2 2 7 3" xfId="12753"/>
    <cellStyle name="Normal 17 2 2 2 2 8" xfId="12754"/>
    <cellStyle name="Normal 17 2 2 2 2 8 2" xfId="12755"/>
    <cellStyle name="Normal 17 2 2 2 2 9" xfId="12756"/>
    <cellStyle name="Normal 17 2 2 2 3" xfId="12757"/>
    <cellStyle name="Normal 17 2 2 2 3 2" xfId="12758"/>
    <cellStyle name="Normal 17 2 2 2 3 2 2" xfId="12759"/>
    <cellStyle name="Normal 17 2 2 2 3 2 2 2" xfId="12760"/>
    <cellStyle name="Normal 17 2 2 2 3 2 2 2 2" xfId="12761"/>
    <cellStyle name="Normal 17 2 2 2 3 2 2 2 2 2" xfId="12762"/>
    <cellStyle name="Normal 17 2 2 2 3 2 2 2 3" xfId="12763"/>
    <cellStyle name="Normal 17 2 2 2 3 2 2 3" xfId="12764"/>
    <cellStyle name="Normal 17 2 2 2 3 2 2 3 2" xfId="12765"/>
    <cellStyle name="Normal 17 2 2 2 3 2 2 4" xfId="12766"/>
    <cellStyle name="Normal 17 2 2 2 3 2 3" xfId="12767"/>
    <cellStyle name="Normal 17 2 2 2 3 2 3 2" xfId="12768"/>
    <cellStyle name="Normal 17 2 2 2 3 2 3 2 2" xfId="12769"/>
    <cellStyle name="Normal 17 2 2 2 3 2 3 2 2 2" xfId="12770"/>
    <cellStyle name="Normal 17 2 2 2 3 2 3 2 3" xfId="12771"/>
    <cellStyle name="Normal 17 2 2 2 3 2 3 3" xfId="12772"/>
    <cellStyle name="Normal 17 2 2 2 3 2 3 3 2" xfId="12773"/>
    <cellStyle name="Normal 17 2 2 2 3 2 3 4" xfId="12774"/>
    <cellStyle name="Normal 17 2 2 2 3 2 4" xfId="12775"/>
    <cellStyle name="Normal 17 2 2 2 3 2 4 2" xfId="12776"/>
    <cellStyle name="Normal 17 2 2 2 3 2 4 2 2" xfId="12777"/>
    <cellStyle name="Normal 17 2 2 2 3 2 4 3" xfId="12778"/>
    <cellStyle name="Normal 17 2 2 2 3 2 5" xfId="12779"/>
    <cellStyle name="Normal 17 2 2 2 3 2 5 2" xfId="12780"/>
    <cellStyle name="Normal 17 2 2 2 3 2 6" xfId="12781"/>
    <cellStyle name="Normal 17 2 2 2 3 3" xfId="12782"/>
    <cellStyle name="Normal 17 2 2 2 3 3 2" xfId="12783"/>
    <cellStyle name="Normal 17 2 2 2 3 3 2 2" xfId="12784"/>
    <cellStyle name="Normal 17 2 2 2 3 3 2 2 2" xfId="12785"/>
    <cellStyle name="Normal 17 2 2 2 3 3 2 3" xfId="12786"/>
    <cellStyle name="Normal 17 2 2 2 3 3 3" xfId="12787"/>
    <cellStyle name="Normal 17 2 2 2 3 3 3 2" xfId="12788"/>
    <cellStyle name="Normal 17 2 2 2 3 3 4" xfId="12789"/>
    <cellStyle name="Normal 17 2 2 2 3 4" xfId="12790"/>
    <cellStyle name="Normal 17 2 2 2 3 4 2" xfId="12791"/>
    <cellStyle name="Normal 17 2 2 2 3 4 2 2" xfId="12792"/>
    <cellStyle name="Normal 17 2 2 2 3 4 2 2 2" xfId="12793"/>
    <cellStyle name="Normal 17 2 2 2 3 4 2 3" xfId="12794"/>
    <cellStyle name="Normal 17 2 2 2 3 4 3" xfId="12795"/>
    <cellStyle name="Normal 17 2 2 2 3 4 3 2" xfId="12796"/>
    <cellStyle name="Normal 17 2 2 2 3 4 4" xfId="12797"/>
    <cellStyle name="Normal 17 2 2 2 3 5" xfId="12798"/>
    <cellStyle name="Normal 17 2 2 2 3 5 2" xfId="12799"/>
    <cellStyle name="Normal 17 2 2 2 3 5 2 2" xfId="12800"/>
    <cellStyle name="Normal 17 2 2 2 3 5 3" xfId="12801"/>
    <cellStyle name="Normal 17 2 2 2 3 6" xfId="12802"/>
    <cellStyle name="Normal 17 2 2 2 3 6 2" xfId="12803"/>
    <cellStyle name="Normal 17 2 2 2 3 7" xfId="12804"/>
    <cellStyle name="Normal 17 2 2 2 4" xfId="12805"/>
    <cellStyle name="Normal 17 2 2 2 4 2" xfId="12806"/>
    <cellStyle name="Normal 17 2 2 2 4 2 2" xfId="12807"/>
    <cellStyle name="Normal 17 2 2 2 4 2 2 2" xfId="12808"/>
    <cellStyle name="Normal 17 2 2 2 4 2 2 2 2" xfId="12809"/>
    <cellStyle name="Normal 17 2 2 2 4 2 2 3" xfId="12810"/>
    <cellStyle name="Normal 17 2 2 2 4 2 3" xfId="12811"/>
    <cellStyle name="Normal 17 2 2 2 4 2 3 2" xfId="12812"/>
    <cellStyle name="Normal 17 2 2 2 4 2 4" xfId="12813"/>
    <cellStyle name="Normal 17 2 2 2 4 3" xfId="12814"/>
    <cellStyle name="Normal 17 2 2 2 4 3 2" xfId="12815"/>
    <cellStyle name="Normal 17 2 2 2 4 3 2 2" xfId="12816"/>
    <cellStyle name="Normal 17 2 2 2 4 3 2 2 2" xfId="12817"/>
    <cellStyle name="Normal 17 2 2 2 4 3 2 3" xfId="12818"/>
    <cellStyle name="Normal 17 2 2 2 4 3 3" xfId="12819"/>
    <cellStyle name="Normal 17 2 2 2 4 3 3 2" xfId="12820"/>
    <cellStyle name="Normal 17 2 2 2 4 3 4" xfId="12821"/>
    <cellStyle name="Normal 17 2 2 2 4 4" xfId="12822"/>
    <cellStyle name="Normal 17 2 2 2 4 4 2" xfId="12823"/>
    <cellStyle name="Normal 17 2 2 2 4 4 2 2" xfId="12824"/>
    <cellStyle name="Normal 17 2 2 2 4 4 3" xfId="12825"/>
    <cellStyle name="Normal 17 2 2 2 4 5" xfId="12826"/>
    <cellStyle name="Normal 17 2 2 2 4 5 2" xfId="12827"/>
    <cellStyle name="Normal 17 2 2 2 4 6" xfId="12828"/>
    <cellStyle name="Normal 17 2 2 2 5" xfId="12829"/>
    <cellStyle name="Normal 17 2 2 2 5 2" xfId="12830"/>
    <cellStyle name="Normal 17 2 2 2 5 2 2" xfId="12831"/>
    <cellStyle name="Normal 17 2 2 2 5 2 2 2" xfId="12832"/>
    <cellStyle name="Normal 17 2 2 2 5 2 3" xfId="12833"/>
    <cellStyle name="Normal 17 2 2 2 5 3" xfId="12834"/>
    <cellStyle name="Normal 17 2 2 2 5 3 2" xfId="12835"/>
    <cellStyle name="Normal 17 2 2 2 5 4" xfId="12836"/>
    <cellStyle name="Normal 17 2 2 2 6" xfId="12837"/>
    <cellStyle name="Normal 17 2 2 2 6 2" xfId="12838"/>
    <cellStyle name="Normal 17 2 2 2 6 2 2" xfId="12839"/>
    <cellStyle name="Normal 17 2 2 2 6 2 2 2" xfId="12840"/>
    <cellStyle name="Normal 17 2 2 2 6 2 3" xfId="12841"/>
    <cellStyle name="Normal 17 2 2 2 6 3" xfId="12842"/>
    <cellStyle name="Normal 17 2 2 2 6 3 2" xfId="12843"/>
    <cellStyle name="Normal 17 2 2 2 6 4" xfId="12844"/>
    <cellStyle name="Normal 17 2 2 2 7" xfId="12845"/>
    <cellStyle name="Normal 17 2 2 2 7 2" xfId="12846"/>
    <cellStyle name="Normal 17 2 2 2 7 2 2" xfId="12847"/>
    <cellStyle name="Normal 17 2 2 2 7 2 2 2" xfId="12848"/>
    <cellStyle name="Normal 17 2 2 2 7 2 3" xfId="12849"/>
    <cellStyle name="Normal 17 2 2 2 7 3" xfId="12850"/>
    <cellStyle name="Normal 17 2 2 2 7 3 2" xfId="12851"/>
    <cellStyle name="Normal 17 2 2 2 7 4" xfId="12852"/>
    <cellStyle name="Normal 17 2 2 2 8" xfId="12853"/>
    <cellStyle name="Normal 17 2 2 2 8 2" xfId="12854"/>
    <cellStyle name="Normal 17 2 2 2 8 2 2" xfId="12855"/>
    <cellStyle name="Normal 17 2 2 2 8 3" xfId="12856"/>
    <cellStyle name="Normal 17 2 2 2 9" xfId="12857"/>
    <cellStyle name="Normal 17 2 2 2 9 2" xfId="12858"/>
    <cellStyle name="Normal 17 2 2 3" xfId="12859"/>
    <cellStyle name="Normal 17 2 2 3 2" xfId="12860"/>
    <cellStyle name="Normal 17 2 2 3 2 2" xfId="12861"/>
    <cellStyle name="Normal 17 2 2 3 2 2 2" xfId="12862"/>
    <cellStyle name="Normal 17 2 2 3 2 2 2 2" xfId="12863"/>
    <cellStyle name="Normal 17 2 2 3 2 2 2 2 2" xfId="12864"/>
    <cellStyle name="Normal 17 2 2 3 2 2 2 2 2 2" xfId="12865"/>
    <cellStyle name="Normal 17 2 2 3 2 2 2 2 3" xfId="12866"/>
    <cellStyle name="Normal 17 2 2 3 2 2 2 3" xfId="12867"/>
    <cellStyle name="Normal 17 2 2 3 2 2 2 3 2" xfId="12868"/>
    <cellStyle name="Normal 17 2 2 3 2 2 2 4" xfId="12869"/>
    <cellStyle name="Normal 17 2 2 3 2 2 3" xfId="12870"/>
    <cellStyle name="Normal 17 2 2 3 2 2 3 2" xfId="12871"/>
    <cellStyle name="Normal 17 2 2 3 2 2 3 2 2" xfId="12872"/>
    <cellStyle name="Normal 17 2 2 3 2 2 3 2 2 2" xfId="12873"/>
    <cellStyle name="Normal 17 2 2 3 2 2 3 2 3" xfId="12874"/>
    <cellStyle name="Normal 17 2 2 3 2 2 3 3" xfId="12875"/>
    <cellStyle name="Normal 17 2 2 3 2 2 3 3 2" xfId="12876"/>
    <cellStyle name="Normal 17 2 2 3 2 2 3 4" xfId="12877"/>
    <cellStyle name="Normal 17 2 2 3 2 2 4" xfId="12878"/>
    <cellStyle name="Normal 17 2 2 3 2 2 4 2" xfId="12879"/>
    <cellStyle name="Normal 17 2 2 3 2 2 4 2 2" xfId="12880"/>
    <cellStyle name="Normal 17 2 2 3 2 2 4 3" xfId="12881"/>
    <cellStyle name="Normal 17 2 2 3 2 2 5" xfId="12882"/>
    <cellStyle name="Normal 17 2 2 3 2 2 5 2" xfId="12883"/>
    <cellStyle name="Normal 17 2 2 3 2 2 6" xfId="12884"/>
    <cellStyle name="Normal 17 2 2 3 2 3" xfId="12885"/>
    <cellStyle name="Normal 17 2 2 3 2 3 2" xfId="12886"/>
    <cellStyle name="Normal 17 2 2 3 2 3 2 2" xfId="12887"/>
    <cellStyle name="Normal 17 2 2 3 2 3 2 2 2" xfId="12888"/>
    <cellStyle name="Normal 17 2 2 3 2 3 2 3" xfId="12889"/>
    <cellStyle name="Normal 17 2 2 3 2 3 3" xfId="12890"/>
    <cellStyle name="Normal 17 2 2 3 2 3 3 2" xfId="12891"/>
    <cellStyle name="Normal 17 2 2 3 2 3 4" xfId="12892"/>
    <cellStyle name="Normal 17 2 2 3 2 4" xfId="12893"/>
    <cellStyle name="Normal 17 2 2 3 2 4 2" xfId="12894"/>
    <cellStyle name="Normal 17 2 2 3 2 4 2 2" xfId="12895"/>
    <cellStyle name="Normal 17 2 2 3 2 4 2 2 2" xfId="12896"/>
    <cellStyle name="Normal 17 2 2 3 2 4 2 3" xfId="12897"/>
    <cellStyle name="Normal 17 2 2 3 2 4 3" xfId="12898"/>
    <cellStyle name="Normal 17 2 2 3 2 4 3 2" xfId="12899"/>
    <cellStyle name="Normal 17 2 2 3 2 4 4" xfId="12900"/>
    <cellStyle name="Normal 17 2 2 3 2 5" xfId="12901"/>
    <cellStyle name="Normal 17 2 2 3 2 5 2" xfId="12902"/>
    <cellStyle name="Normal 17 2 2 3 2 5 2 2" xfId="12903"/>
    <cellStyle name="Normal 17 2 2 3 2 5 3" xfId="12904"/>
    <cellStyle name="Normal 17 2 2 3 2 6" xfId="12905"/>
    <cellStyle name="Normal 17 2 2 3 2 6 2" xfId="12906"/>
    <cellStyle name="Normal 17 2 2 3 2 7" xfId="12907"/>
    <cellStyle name="Normal 17 2 2 3 3" xfId="12908"/>
    <cellStyle name="Normal 17 2 2 3 3 2" xfId="12909"/>
    <cellStyle name="Normal 17 2 2 3 3 2 2" xfId="12910"/>
    <cellStyle name="Normal 17 2 2 3 3 2 2 2" xfId="12911"/>
    <cellStyle name="Normal 17 2 2 3 3 2 2 2 2" xfId="12912"/>
    <cellStyle name="Normal 17 2 2 3 3 2 2 3" xfId="12913"/>
    <cellStyle name="Normal 17 2 2 3 3 2 3" xfId="12914"/>
    <cellStyle name="Normal 17 2 2 3 3 2 3 2" xfId="12915"/>
    <cellStyle name="Normal 17 2 2 3 3 2 4" xfId="12916"/>
    <cellStyle name="Normal 17 2 2 3 3 3" xfId="12917"/>
    <cellStyle name="Normal 17 2 2 3 3 3 2" xfId="12918"/>
    <cellStyle name="Normal 17 2 2 3 3 3 2 2" xfId="12919"/>
    <cellStyle name="Normal 17 2 2 3 3 3 2 2 2" xfId="12920"/>
    <cellStyle name="Normal 17 2 2 3 3 3 2 3" xfId="12921"/>
    <cellStyle name="Normal 17 2 2 3 3 3 3" xfId="12922"/>
    <cellStyle name="Normal 17 2 2 3 3 3 3 2" xfId="12923"/>
    <cellStyle name="Normal 17 2 2 3 3 3 4" xfId="12924"/>
    <cellStyle name="Normal 17 2 2 3 3 4" xfId="12925"/>
    <cellStyle name="Normal 17 2 2 3 3 4 2" xfId="12926"/>
    <cellStyle name="Normal 17 2 2 3 3 4 2 2" xfId="12927"/>
    <cellStyle name="Normal 17 2 2 3 3 4 3" xfId="12928"/>
    <cellStyle name="Normal 17 2 2 3 3 5" xfId="12929"/>
    <cellStyle name="Normal 17 2 2 3 3 5 2" xfId="12930"/>
    <cellStyle name="Normal 17 2 2 3 3 6" xfId="12931"/>
    <cellStyle name="Normal 17 2 2 3 4" xfId="12932"/>
    <cellStyle name="Normal 17 2 2 3 4 2" xfId="12933"/>
    <cellStyle name="Normal 17 2 2 3 4 2 2" xfId="12934"/>
    <cellStyle name="Normal 17 2 2 3 4 2 2 2" xfId="12935"/>
    <cellStyle name="Normal 17 2 2 3 4 2 3" xfId="12936"/>
    <cellStyle name="Normal 17 2 2 3 4 3" xfId="12937"/>
    <cellStyle name="Normal 17 2 2 3 4 3 2" xfId="12938"/>
    <cellStyle name="Normal 17 2 2 3 4 4" xfId="12939"/>
    <cellStyle name="Normal 17 2 2 3 5" xfId="12940"/>
    <cellStyle name="Normal 17 2 2 3 5 2" xfId="12941"/>
    <cellStyle name="Normal 17 2 2 3 5 2 2" xfId="12942"/>
    <cellStyle name="Normal 17 2 2 3 5 2 2 2" xfId="12943"/>
    <cellStyle name="Normal 17 2 2 3 5 2 3" xfId="12944"/>
    <cellStyle name="Normal 17 2 2 3 5 3" xfId="12945"/>
    <cellStyle name="Normal 17 2 2 3 5 3 2" xfId="12946"/>
    <cellStyle name="Normal 17 2 2 3 5 4" xfId="12947"/>
    <cellStyle name="Normal 17 2 2 3 6" xfId="12948"/>
    <cellStyle name="Normal 17 2 2 3 6 2" xfId="12949"/>
    <cellStyle name="Normal 17 2 2 3 6 2 2" xfId="12950"/>
    <cellStyle name="Normal 17 2 2 3 6 2 2 2" xfId="12951"/>
    <cellStyle name="Normal 17 2 2 3 6 2 3" xfId="12952"/>
    <cellStyle name="Normal 17 2 2 3 6 3" xfId="12953"/>
    <cellStyle name="Normal 17 2 2 3 6 3 2" xfId="12954"/>
    <cellStyle name="Normal 17 2 2 3 6 4" xfId="12955"/>
    <cellStyle name="Normal 17 2 2 3 7" xfId="12956"/>
    <cellStyle name="Normal 17 2 2 3 7 2" xfId="12957"/>
    <cellStyle name="Normal 17 2 2 3 7 2 2" xfId="12958"/>
    <cellStyle name="Normal 17 2 2 3 7 3" xfId="12959"/>
    <cellStyle name="Normal 17 2 2 3 8" xfId="12960"/>
    <cellStyle name="Normal 17 2 2 3 8 2" xfId="12961"/>
    <cellStyle name="Normal 17 2 2 3 9" xfId="12962"/>
    <cellStyle name="Normal 17 2 2 4" xfId="12963"/>
    <cellStyle name="Normal 17 2 2 4 2" xfId="12964"/>
    <cellStyle name="Normal 17 2 2 4 2 2" xfId="12965"/>
    <cellStyle name="Normal 17 2 2 4 2 2 2" xfId="12966"/>
    <cellStyle name="Normal 17 2 2 4 2 2 2 2" xfId="12967"/>
    <cellStyle name="Normal 17 2 2 4 2 2 2 2 2" xfId="12968"/>
    <cellStyle name="Normal 17 2 2 4 2 2 2 3" xfId="12969"/>
    <cellStyle name="Normal 17 2 2 4 2 2 3" xfId="12970"/>
    <cellStyle name="Normal 17 2 2 4 2 2 3 2" xfId="12971"/>
    <cellStyle name="Normal 17 2 2 4 2 2 4" xfId="12972"/>
    <cellStyle name="Normal 17 2 2 4 2 3" xfId="12973"/>
    <cellStyle name="Normal 17 2 2 4 2 3 2" xfId="12974"/>
    <cellStyle name="Normal 17 2 2 4 2 3 2 2" xfId="12975"/>
    <cellStyle name="Normal 17 2 2 4 2 3 2 2 2" xfId="12976"/>
    <cellStyle name="Normal 17 2 2 4 2 3 2 3" xfId="12977"/>
    <cellStyle name="Normal 17 2 2 4 2 3 3" xfId="12978"/>
    <cellStyle name="Normal 17 2 2 4 2 3 3 2" xfId="12979"/>
    <cellStyle name="Normal 17 2 2 4 2 3 4" xfId="12980"/>
    <cellStyle name="Normal 17 2 2 4 2 4" xfId="12981"/>
    <cellStyle name="Normal 17 2 2 4 2 4 2" xfId="12982"/>
    <cellStyle name="Normal 17 2 2 4 2 4 2 2" xfId="12983"/>
    <cellStyle name="Normal 17 2 2 4 2 4 3" xfId="12984"/>
    <cellStyle name="Normal 17 2 2 4 2 5" xfId="12985"/>
    <cellStyle name="Normal 17 2 2 4 2 5 2" xfId="12986"/>
    <cellStyle name="Normal 17 2 2 4 2 6" xfId="12987"/>
    <cellStyle name="Normal 17 2 2 4 3" xfId="12988"/>
    <cellStyle name="Normal 17 2 2 4 3 2" xfId="12989"/>
    <cellStyle name="Normal 17 2 2 4 3 2 2" xfId="12990"/>
    <cellStyle name="Normal 17 2 2 4 3 2 2 2" xfId="12991"/>
    <cellStyle name="Normal 17 2 2 4 3 2 3" xfId="12992"/>
    <cellStyle name="Normal 17 2 2 4 3 3" xfId="12993"/>
    <cellStyle name="Normal 17 2 2 4 3 3 2" xfId="12994"/>
    <cellStyle name="Normal 17 2 2 4 3 4" xfId="12995"/>
    <cellStyle name="Normal 17 2 2 4 4" xfId="12996"/>
    <cellStyle name="Normal 17 2 2 4 4 2" xfId="12997"/>
    <cellStyle name="Normal 17 2 2 4 4 2 2" xfId="12998"/>
    <cellStyle name="Normal 17 2 2 4 4 2 2 2" xfId="12999"/>
    <cellStyle name="Normal 17 2 2 4 4 2 3" xfId="13000"/>
    <cellStyle name="Normal 17 2 2 4 4 3" xfId="13001"/>
    <cellStyle name="Normal 17 2 2 4 4 3 2" xfId="13002"/>
    <cellStyle name="Normal 17 2 2 4 4 4" xfId="13003"/>
    <cellStyle name="Normal 17 2 2 4 5" xfId="13004"/>
    <cellStyle name="Normal 17 2 2 4 5 2" xfId="13005"/>
    <cellStyle name="Normal 17 2 2 4 5 2 2" xfId="13006"/>
    <cellStyle name="Normal 17 2 2 4 5 3" xfId="13007"/>
    <cellStyle name="Normal 17 2 2 4 6" xfId="13008"/>
    <cellStyle name="Normal 17 2 2 4 6 2" xfId="13009"/>
    <cellStyle name="Normal 17 2 2 4 7" xfId="13010"/>
    <cellStyle name="Normal 17 2 2 5" xfId="13011"/>
    <cellStyle name="Normal 17 2 2 5 2" xfId="13012"/>
    <cellStyle name="Normal 17 2 2 5 2 2" xfId="13013"/>
    <cellStyle name="Normal 17 2 2 5 2 2 2" xfId="13014"/>
    <cellStyle name="Normal 17 2 2 5 2 2 2 2" xfId="13015"/>
    <cellStyle name="Normal 17 2 2 5 2 2 3" xfId="13016"/>
    <cellStyle name="Normal 17 2 2 5 2 3" xfId="13017"/>
    <cellStyle name="Normal 17 2 2 5 2 3 2" xfId="13018"/>
    <cellStyle name="Normal 17 2 2 5 2 4" xfId="13019"/>
    <cellStyle name="Normal 17 2 2 5 3" xfId="13020"/>
    <cellStyle name="Normal 17 2 2 5 3 2" xfId="13021"/>
    <cellStyle name="Normal 17 2 2 5 3 2 2" xfId="13022"/>
    <cellStyle name="Normal 17 2 2 5 3 2 2 2" xfId="13023"/>
    <cellStyle name="Normal 17 2 2 5 3 2 3" xfId="13024"/>
    <cellStyle name="Normal 17 2 2 5 3 3" xfId="13025"/>
    <cellStyle name="Normal 17 2 2 5 3 3 2" xfId="13026"/>
    <cellStyle name="Normal 17 2 2 5 3 4" xfId="13027"/>
    <cellStyle name="Normal 17 2 2 5 4" xfId="13028"/>
    <cellStyle name="Normal 17 2 2 5 4 2" xfId="13029"/>
    <cellStyle name="Normal 17 2 2 5 4 2 2" xfId="13030"/>
    <cellStyle name="Normal 17 2 2 5 4 3" xfId="13031"/>
    <cellStyle name="Normal 17 2 2 5 5" xfId="13032"/>
    <cellStyle name="Normal 17 2 2 5 5 2" xfId="13033"/>
    <cellStyle name="Normal 17 2 2 5 6" xfId="13034"/>
    <cellStyle name="Normal 17 2 2 6" xfId="13035"/>
    <cellStyle name="Normal 17 2 2 6 2" xfId="13036"/>
    <cellStyle name="Normal 17 2 2 6 2 2" xfId="13037"/>
    <cellStyle name="Normal 17 2 2 6 2 2 2" xfId="13038"/>
    <cellStyle name="Normal 17 2 2 6 2 3" xfId="13039"/>
    <cellStyle name="Normal 17 2 2 6 3" xfId="13040"/>
    <cellStyle name="Normal 17 2 2 6 3 2" xfId="13041"/>
    <cellStyle name="Normal 17 2 2 6 4" xfId="13042"/>
    <cellStyle name="Normal 17 2 2 7" xfId="13043"/>
    <cellStyle name="Normal 17 2 2 7 2" xfId="13044"/>
    <cellStyle name="Normal 17 2 2 7 2 2" xfId="13045"/>
    <cellStyle name="Normal 17 2 2 7 2 2 2" xfId="13046"/>
    <cellStyle name="Normal 17 2 2 7 2 3" xfId="13047"/>
    <cellStyle name="Normal 17 2 2 7 3" xfId="13048"/>
    <cellStyle name="Normal 17 2 2 7 3 2" xfId="13049"/>
    <cellStyle name="Normal 17 2 2 7 4" xfId="13050"/>
    <cellStyle name="Normal 17 2 2 8" xfId="13051"/>
    <cellStyle name="Normal 17 2 2 8 2" xfId="13052"/>
    <cellStyle name="Normal 17 2 2 8 2 2" xfId="13053"/>
    <cellStyle name="Normal 17 2 2 8 2 2 2" xfId="13054"/>
    <cellStyle name="Normal 17 2 2 8 2 3" xfId="13055"/>
    <cellStyle name="Normal 17 2 2 8 3" xfId="13056"/>
    <cellStyle name="Normal 17 2 2 8 3 2" xfId="13057"/>
    <cellStyle name="Normal 17 2 2 8 4" xfId="13058"/>
    <cellStyle name="Normal 17 2 2 9" xfId="13059"/>
    <cellStyle name="Normal 17 2 2 9 2" xfId="13060"/>
    <cellStyle name="Normal 17 2 2 9 2 2" xfId="13061"/>
    <cellStyle name="Normal 17 2 2 9 3" xfId="13062"/>
    <cellStyle name="Normal 17 2 3" xfId="13063"/>
    <cellStyle name="Normal 17 2 3 10" xfId="13064"/>
    <cellStyle name="Normal 17 2 3 2" xfId="13065"/>
    <cellStyle name="Normal 17 2 3 2 2" xfId="13066"/>
    <cellStyle name="Normal 17 2 3 2 2 2" xfId="13067"/>
    <cellStyle name="Normal 17 2 3 2 2 2 2" xfId="13068"/>
    <cellStyle name="Normal 17 2 3 2 2 2 2 2" xfId="13069"/>
    <cellStyle name="Normal 17 2 3 2 2 2 2 2 2" xfId="13070"/>
    <cellStyle name="Normal 17 2 3 2 2 2 2 2 2 2" xfId="13071"/>
    <cellStyle name="Normal 17 2 3 2 2 2 2 2 3" xfId="13072"/>
    <cellStyle name="Normal 17 2 3 2 2 2 2 3" xfId="13073"/>
    <cellStyle name="Normal 17 2 3 2 2 2 2 3 2" xfId="13074"/>
    <cellStyle name="Normal 17 2 3 2 2 2 2 4" xfId="13075"/>
    <cellStyle name="Normal 17 2 3 2 2 2 3" xfId="13076"/>
    <cellStyle name="Normal 17 2 3 2 2 2 3 2" xfId="13077"/>
    <cellStyle name="Normal 17 2 3 2 2 2 3 2 2" xfId="13078"/>
    <cellStyle name="Normal 17 2 3 2 2 2 3 2 2 2" xfId="13079"/>
    <cellStyle name="Normal 17 2 3 2 2 2 3 2 3" xfId="13080"/>
    <cellStyle name="Normal 17 2 3 2 2 2 3 3" xfId="13081"/>
    <cellStyle name="Normal 17 2 3 2 2 2 3 3 2" xfId="13082"/>
    <cellStyle name="Normal 17 2 3 2 2 2 3 4" xfId="13083"/>
    <cellStyle name="Normal 17 2 3 2 2 2 4" xfId="13084"/>
    <cellStyle name="Normal 17 2 3 2 2 2 4 2" xfId="13085"/>
    <cellStyle name="Normal 17 2 3 2 2 2 4 2 2" xfId="13086"/>
    <cellStyle name="Normal 17 2 3 2 2 2 4 3" xfId="13087"/>
    <cellStyle name="Normal 17 2 3 2 2 2 5" xfId="13088"/>
    <cellStyle name="Normal 17 2 3 2 2 2 5 2" xfId="13089"/>
    <cellStyle name="Normal 17 2 3 2 2 2 6" xfId="13090"/>
    <cellStyle name="Normal 17 2 3 2 2 3" xfId="13091"/>
    <cellStyle name="Normal 17 2 3 2 2 3 2" xfId="13092"/>
    <cellStyle name="Normal 17 2 3 2 2 3 2 2" xfId="13093"/>
    <cellStyle name="Normal 17 2 3 2 2 3 2 2 2" xfId="13094"/>
    <cellStyle name="Normal 17 2 3 2 2 3 2 3" xfId="13095"/>
    <cellStyle name="Normal 17 2 3 2 2 3 3" xfId="13096"/>
    <cellStyle name="Normal 17 2 3 2 2 3 3 2" xfId="13097"/>
    <cellStyle name="Normal 17 2 3 2 2 3 4" xfId="13098"/>
    <cellStyle name="Normal 17 2 3 2 2 4" xfId="13099"/>
    <cellStyle name="Normal 17 2 3 2 2 4 2" xfId="13100"/>
    <cellStyle name="Normal 17 2 3 2 2 4 2 2" xfId="13101"/>
    <cellStyle name="Normal 17 2 3 2 2 4 2 2 2" xfId="13102"/>
    <cellStyle name="Normal 17 2 3 2 2 4 2 3" xfId="13103"/>
    <cellStyle name="Normal 17 2 3 2 2 4 3" xfId="13104"/>
    <cellStyle name="Normal 17 2 3 2 2 4 3 2" xfId="13105"/>
    <cellStyle name="Normal 17 2 3 2 2 4 4" xfId="13106"/>
    <cellStyle name="Normal 17 2 3 2 2 5" xfId="13107"/>
    <cellStyle name="Normal 17 2 3 2 2 5 2" xfId="13108"/>
    <cellStyle name="Normal 17 2 3 2 2 5 2 2" xfId="13109"/>
    <cellStyle name="Normal 17 2 3 2 2 5 3" xfId="13110"/>
    <cellStyle name="Normal 17 2 3 2 2 6" xfId="13111"/>
    <cellStyle name="Normal 17 2 3 2 2 6 2" xfId="13112"/>
    <cellStyle name="Normal 17 2 3 2 2 7" xfId="13113"/>
    <cellStyle name="Normal 17 2 3 2 3" xfId="13114"/>
    <cellStyle name="Normal 17 2 3 2 3 2" xfId="13115"/>
    <cellStyle name="Normal 17 2 3 2 3 2 2" xfId="13116"/>
    <cellStyle name="Normal 17 2 3 2 3 2 2 2" xfId="13117"/>
    <cellStyle name="Normal 17 2 3 2 3 2 2 2 2" xfId="13118"/>
    <cellStyle name="Normal 17 2 3 2 3 2 2 3" xfId="13119"/>
    <cellStyle name="Normal 17 2 3 2 3 2 3" xfId="13120"/>
    <cellStyle name="Normal 17 2 3 2 3 2 3 2" xfId="13121"/>
    <cellStyle name="Normal 17 2 3 2 3 2 4" xfId="13122"/>
    <cellStyle name="Normal 17 2 3 2 3 3" xfId="13123"/>
    <cellStyle name="Normal 17 2 3 2 3 3 2" xfId="13124"/>
    <cellStyle name="Normal 17 2 3 2 3 3 2 2" xfId="13125"/>
    <cellStyle name="Normal 17 2 3 2 3 3 2 2 2" xfId="13126"/>
    <cellStyle name="Normal 17 2 3 2 3 3 2 3" xfId="13127"/>
    <cellStyle name="Normal 17 2 3 2 3 3 3" xfId="13128"/>
    <cellStyle name="Normal 17 2 3 2 3 3 3 2" xfId="13129"/>
    <cellStyle name="Normal 17 2 3 2 3 3 4" xfId="13130"/>
    <cellStyle name="Normal 17 2 3 2 3 4" xfId="13131"/>
    <cellStyle name="Normal 17 2 3 2 3 4 2" xfId="13132"/>
    <cellStyle name="Normal 17 2 3 2 3 4 2 2" xfId="13133"/>
    <cellStyle name="Normal 17 2 3 2 3 4 3" xfId="13134"/>
    <cellStyle name="Normal 17 2 3 2 3 5" xfId="13135"/>
    <cellStyle name="Normal 17 2 3 2 3 5 2" xfId="13136"/>
    <cellStyle name="Normal 17 2 3 2 3 6" xfId="13137"/>
    <cellStyle name="Normal 17 2 3 2 4" xfId="13138"/>
    <cellStyle name="Normal 17 2 3 2 4 2" xfId="13139"/>
    <cellStyle name="Normal 17 2 3 2 4 2 2" xfId="13140"/>
    <cellStyle name="Normal 17 2 3 2 4 2 2 2" xfId="13141"/>
    <cellStyle name="Normal 17 2 3 2 4 2 3" xfId="13142"/>
    <cellStyle name="Normal 17 2 3 2 4 3" xfId="13143"/>
    <cellStyle name="Normal 17 2 3 2 4 3 2" xfId="13144"/>
    <cellStyle name="Normal 17 2 3 2 4 4" xfId="13145"/>
    <cellStyle name="Normal 17 2 3 2 5" xfId="13146"/>
    <cellStyle name="Normal 17 2 3 2 5 2" xfId="13147"/>
    <cellStyle name="Normal 17 2 3 2 5 2 2" xfId="13148"/>
    <cellStyle name="Normal 17 2 3 2 5 2 2 2" xfId="13149"/>
    <cellStyle name="Normal 17 2 3 2 5 2 3" xfId="13150"/>
    <cellStyle name="Normal 17 2 3 2 5 3" xfId="13151"/>
    <cellStyle name="Normal 17 2 3 2 5 3 2" xfId="13152"/>
    <cellStyle name="Normal 17 2 3 2 5 4" xfId="13153"/>
    <cellStyle name="Normal 17 2 3 2 6" xfId="13154"/>
    <cellStyle name="Normal 17 2 3 2 6 2" xfId="13155"/>
    <cellStyle name="Normal 17 2 3 2 6 2 2" xfId="13156"/>
    <cellStyle name="Normal 17 2 3 2 6 2 2 2" xfId="13157"/>
    <cellStyle name="Normal 17 2 3 2 6 2 3" xfId="13158"/>
    <cellStyle name="Normal 17 2 3 2 6 3" xfId="13159"/>
    <cellStyle name="Normal 17 2 3 2 6 3 2" xfId="13160"/>
    <cellStyle name="Normal 17 2 3 2 6 4" xfId="13161"/>
    <cellStyle name="Normal 17 2 3 2 7" xfId="13162"/>
    <cellStyle name="Normal 17 2 3 2 7 2" xfId="13163"/>
    <cellStyle name="Normal 17 2 3 2 7 2 2" xfId="13164"/>
    <cellStyle name="Normal 17 2 3 2 7 3" xfId="13165"/>
    <cellStyle name="Normal 17 2 3 2 8" xfId="13166"/>
    <cellStyle name="Normal 17 2 3 2 8 2" xfId="13167"/>
    <cellStyle name="Normal 17 2 3 2 9" xfId="13168"/>
    <cellStyle name="Normal 17 2 3 3" xfId="13169"/>
    <cellStyle name="Normal 17 2 3 3 2" xfId="13170"/>
    <cellStyle name="Normal 17 2 3 3 2 2" xfId="13171"/>
    <cellStyle name="Normal 17 2 3 3 2 2 2" xfId="13172"/>
    <cellStyle name="Normal 17 2 3 3 2 2 2 2" xfId="13173"/>
    <cellStyle name="Normal 17 2 3 3 2 2 2 2 2" xfId="13174"/>
    <cellStyle name="Normal 17 2 3 3 2 2 2 3" xfId="13175"/>
    <cellStyle name="Normal 17 2 3 3 2 2 3" xfId="13176"/>
    <cellStyle name="Normal 17 2 3 3 2 2 3 2" xfId="13177"/>
    <cellStyle name="Normal 17 2 3 3 2 2 4" xfId="13178"/>
    <cellStyle name="Normal 17 2 3 3 2 3" xfId="13179"/>
    <cellStyle name="Normal 17 2 3 3 2 3 2" xfId="13180"/>
    <cellStyle name="Normal 17 2 3 3 2 3 2 2" xfId="13181"/>
    <cellStyle name="Normal 17 2 3 3 2 3 2 2 2" xfId="13182"/>
    <cellStyle name="Normal 17 2 3 3 2 3 2 3" xfId="13183"/>
    <cellStyle name="Normal 17 2 3 3 2 3 3" xfId="13184"/>
    <cellStyle name="Normal 17 2 3 3 2 3 3 2" xfId="13185"/>
    <cellStyle name="Normal 17 2 3 3 2 3 4" xfId="13186"/>
    <cellStyle name="Normal 17 2 3 3 2 4" xfId="13187"/>
    <cellStyle name="Normal 17 2 3 3 2 4 2" xfId="13188"/>
    <cellStyle name="Normal 17 2 3 3 2 4 2 2" xfId="13189"/>
    <cellStyle name="Normal 17 2 3 3 2 4 3" xfId="13190"/>
    <cellStyle name="Normal 17 2 3 3 2 5" xfId="13191"/>
    <cellStyle name="Normal 17 2 3 3 2 5 2" xfId="13192"/>
    <cellStyle name="Normal 17 2 3 3 2 6" xfId="13193"/>
    <cellStyle name="Normal 17 2 3 3 3" xfId="13194"/>
    <cellStyle name="Normal 17 2 3 3 3 2" xfId="13195"/>
    <cellStyle name="Normal 17 2 3 3 3 2 2" xfId="13196"/>
    <cellStyle name="Normal 17 2 3 3 3 2 2 2" xfId="13197"/>
    <cellStyle name="Normal 17 2 3 3 3 2 3" xfId="13198"/>
    <cellStyle name="Normal 17 2 3 3 3 3" xfId="13199"/>
    <cellStyle name="Normal 17 2 3 3 3 3 2" xfId="13200"/>
    <cellStyle name="Normal 17 2 3 3 3 4" xfId="13201"/>
    <cellStyle name="Normal 17 2 3 3 4" xfId="13202"/>
    <cellStyle name="Normal 17 2 3 3 4 2" xfId="13203"/>
    <cellStyle name="Normal 17 2 3 3 4 2 2" xfId="13204"/>
    <cellStyle name="Normal 17 2 3 3 4 2 2 2" xfId="13205"/>
    <cellStyle name="Normal 17 2 3 3 4 2 3" xfId="13206"/>
    <cellStyle name="Normal 17 2 3 3 4 3" xfId="13207"/>
    <cellStyle name="Normal 17 2 3 3 4 3 2" xfId="13208"/>
    <cellStyle name="Normal 17 2 3 3 4 4" xfId="13209"/>
    <cellStyle name="Normal 17 2 3 3 5" xfId="13210"/>
    <cellStyle name="Normal 17 2 3 3 5 2" xfId="13211"/>
    <cellStyle name="Normal 17 2 3 3 5 2 2" xfId="13212"/>
    <cellStyle name="Normal 17 2 3 3 5 3" xfId="13213"/>
    <cellStyle name="Normal 17 2 3 3 6" xfId="13214"/>
    <cellStyle name="Normal 17 2 3 3 6 2" xfId="13215"/>
    <cellStyle name="Normal 17 2 3 3 7" xfId="13216"/>
    <cellStyle name="Normal 17 2 3 4" xfId="13217"/>
    <cellStyle name="Normal 17 2 3 4 2" xfId="13218"/>
    <cellStyle name="Normal 17 2 3 4 2 2" xfId="13219"/>
    <cellStyle name="Normal 17 2 3 4 2 2 2" xfId="13220"/>
    <cellStyle name="Normal 17 2 3 4 2 2 2 2" xfId="13221"/>
    <cellStyle name="Normal 17 2 3 4 2 2 3" xfId="13222"/>
    <cellStyle name="Normal 17 2 3 4 2 3" xfId="13223"/>
    <cellStyle name="Normal 17 2 3 4 2 3 2" xfId="13224"/>
    <cellStyle name="Normal 17 2 3 4 2 4" xfId="13225"/>
    <cellStyle name="Normal 17 2 3 4 3" xfId="13226"/>
    <cellStyle name="Normal 17 2 3 4 3 2" xfId="13227"/>
    <cellStyle name="Normal 17 2 3 4 3 2 2" xfId="13228"/>
    <cellStyle name="Normal 17 2 3 4 3 2 2 2" xfId="13229"/>
    <cellStyle name="Normal 17 2 3 4 3 2 3" xfId="13230"/>
    <cellStyle name="Normal 17 2 3 4 3 3" xfId="13231"/>
    <cellStyle name="Normal 17 2 3 4 3 3 2" xfId="13232"/>
    <cellStyle name="Normal 17 2 3 4 3 4" xfId="13233"/>
    <cellStyle name="Normal 17 2 3 4 4" xfId="13234"/>
    <cellStyle name="Normal 17 2 3 4 4 2" xfId="13235"/>
    <cellStyle name="Normal 17 2 3 4 4 2 2" xfId="13236"/>
    <cellStyle name="Normal 17 2 3 4 4 3" xfId="13237"/>
    <cellStyle name="Normal 17 2 3 4 5" xfId="13238"/>
    <cellStyle name="Normal 17 2 3 4 5 2" xfId="13239"/>
    <cellStyle name="Normal 17 2 3 4 6" xfId="13240"/>
    <cellStyle name="Normal 17 2 3 5" xfId="13241"/>
    <cellStyle name="Normal 17 2 3 5 2" xfId="13242"/>
    <cellStyle name="Normal 17 2 3 5 2 2" xfId="13243"/>
    <cellStyle name="Normal 17 2 3 5 2 2 2" xfId="13244"/>
    <cellStyle name="Normal 17 2 3 5 2 3" xfId="13245"/>
    <cellStyle name="Normal 17 2 3 5 3" xfId="13246"/>
    <cellStyle name="Normal 17 2 3 5 3 2" xfId="13247"/>
    <cellStyle name="Normal 17 2 3 5 4" xfId="13248"/>
    <cellStyle name="Normal 17 2 3 6" xfId="13249"/>
    <cellStyle name="Normal 17 2 3 6 2" xfId="13250"/>
    <cellStyle name="Normal 17 2 3 6 2 2" xfId="13251"/>
    <cellStyle name="Normal 17 2 3 6 2 2 2" xfId="13252"/>
    <cellStyle name="Normal 17 2 3 6 2 3" xfId="13253"/>
    <cellStyle name="Normal 17 2 3 6 3" xfId="13254"/>
    <cellStyle name="Normal 17 2 3 6 3 2" xfId="13255"/>
    <cellStyle name="Normal 17 2 3 6 4" xfId="13256"/>
    <cellStyle name="Normal 17 2 3 7" xfId="13257"/>
    <cellStyle name="Normal 17 2 3 7 2" xfId="13258"/>
    <cellStyle name="Normal 17 2 3 7 2 2" xfId="13259"/>
    <cellStyle name="Normal 17 2 3 7 2 2 2" xfId="13260"/>
    <cellStyle name="Normal 17 2 3 7 2 3" xfId="13261"/>
    <cellStyle name="Normal 17 2 3 7 3" xfId="13262"/>
    <cellStyle name="Normal 17 2 3 7 3 2" xfId="13263"/>
    <cellStyle name="Normal 17 2 3 7 4" xfId="13264"/>
    <cellStyle name="Normal 17 2 3 8" xfId="13265"/>
    <cellStyle name="Normal 17 2 3 8 2" xfId="13266"/>
    <cellStyle name="Normal 17 2 3 8 2 2" xfId="13267"/>
    <cellStyle name="Normal 17 2 3 8 3" xfId="13268"/>
    <cellStyle name="Normal 17 2 3 9" xfId="13269"/>
    <cellStyle name="Normal 17 2 3 9 2" xfId="13270"/>
    <cellStyle name="Normal 17 2 4" xfId="13271"/>
    <cellStyle name="Normal 17 2 4 10" xfId="13272"/>
    <cellStyle name="Normal 17 2 4 2" xfId="13273"/>
    <cellStyle name="Normal 17 2 4 2 2" xfId="13274"/>
    <cellStyle name="Normal 17 2 4 2 2 2" xfId="13275"/>
    <cellStyle name="Normal 17 2 4 2 2 2 2" xfId="13276"/>
    <cellStyle name="Normal 17 2 4 2 2 2 2 2" xfId="13277"/>
    <cellStyle name="Normal 17 2 4 2 2 2 2 2 2" xfId="13278"/>
    <cellStyle name="Normal 17 2 4 2 2 2 2 2 2 2" xfId="13279"/>
    <cellStyle name="Normal 17 2 4 2 2 2 2 2 3" xfId="13280"/>
    <cellStyle name="Normal 17 2 4 2 2 2 2 3" xfId="13281"/>
    <cellStyle name="Normal 17 2 4 2 2 2 2 3 2" xfId="13282"/>
    <cellStyle name="Normal 17 2 4 2 2 2 2 4" xfId="13283"/>
    <cellStyle name="Normal 17 2 4 2 2 2 3" xfId="13284"/>
    <cellStyle name="Normal 17 2 4 2 2 2 3 2" xfId="13285"/>
    <cellStyle name="Normal 17 2 4 2 2 2 3 2 2" xfId="13286"/>
    <cellStyle name="Normal 17 2 4 2 2 2 3 2 2 2" xfId="13287"/>
    <cellStyle name="Normal 17 2 4 2 2 2 3 2 3" xfId="13288"/>
    <cellStyle name="Normal 17 2 4 2 2 2 3 3" xfId="13289"/>
    <cellStyle name="Normal 17 2 4 2 2 2 3 3 2" xfId="13290"/>
    <cellStyle name="Normal 17 2 4 2 2 2 3 4" xfId="13291"/>
    <cellStyle name="Normal 17 2 4 2 2 2 4" xfId="13292"/>
    <cellStyle name="Normal 17 2 4 2 2 2 4 2" xfId="13293"/>
    <cellStyle name="Normal 17 2 4 2 2 2 4 2 2" xfId="13294"/>
    <cellStyle name="Normal 17 2 4 2 2 2 4 3" xfId="13295"/>
    <cellStyle name="Normal 17 2 4 2 2 2 5" xfId="13296"/>
    <cellStyle name="Normal 17 2 4 2 2 2 5 2" xfId="13297"/>
    <cellStyle name="Normal 17 2 4 2 2 2 6" xfId="13298"/>
    <cellStyle name="Normal 17 2 4 2 2 3" xfId="13299"/>
    <cellStyle name="Normal 17 2 4 2 2 3 2" xfId="13300"/>
    <cellStyle name="Normal 17 2 4 2 2 3 2 2" xfId="13301"/>
    <cellStyle name="Normal 17 2 4 2 2 3 2 2 2" xfId="13302"/>
    <cellStyle name="Normal 17 2 4 2 2 3 2 3" xfId="13303"/>
    <cellStyle name="Normal 17 2 4 2 2 3 3" xfId="13304"/>
    <cellStyle name="Normal 17 2 4 2 2 3 3 2" xfId="13305"/>
    <cellStyle name="Normal 17 2 4 2 2 3 4" xfId="13306"/>
    <cellStyle name="Normal 17 2 4 2 2 4" xfId="13307"/>
    <cellStyle name="Normal 17 2 4 2 2 4 2" xfId="13308"/>
    <cellStyle name="Normal 17 2 4 2 2 4 2 2" xfId="13309"/>
    <cellStyle name="Normal 17 2 4 2 2 4 2 2 2" xfId="13310"/>
    <cellStyle name="Normal 17 2 4 2 2 4 2 3" xfId="13311"/>
    <cellStyle name="Normal 17 2 4 2 2 4 3" xfId="13312"/>
    <cellStyle name="Normal 17 2 4 2 2 4 3 2" xfId="13313"/>
    <cellStyle name="Normal 17 2 4 2 2 4 4" xfId="13314"/>
    <cellStyle name="Normal 17 2 4 2 2 5" xfId="13315"/>
    <cellStyle name="Normal 17 2 4 2 2 5 2" xfId="13316"/>
    <cellStyle name="Normal 17 2 4 2 2 5 2 2" xfId="13317"/>
    <cellStyle name="Normal 17 2 4 2 2 5 3" xfId="13318"/>
    <cellStyle name="Normal 17 2 4 2 2 6" xfId="13319"/>
    <cellStyle name="Normal 17 2 4 2 2 6 2" xfId="13320"/>
    <cellStyle name="Normal 17 2 4 2 2 7" xfId="13321"/>
    <cellStyle name="Normal 17 2 4 2 3" xfId="13322"/>
    <cellStyle name="Normal 17 2 4 2 3 2" xfId="13323"/>
    <cellStyle name="Normal 17 2 4 2 3 2 2" xfId="13324"/>
    <cellStyle name="Normal 17 2 4 2 3 2 2 2" xfId="13325"/>
    <cellStyle name="Normal 17 2 4 2 3 2 2 2 2" xfId="13326"/>
    <cellStyle name="Normal 17 2 4 2 3 2 2 3" xfId="13327"/>
    <cellStyle name="Normal 17 2 4 2 3 2 3" xfId="13328"/>
    <cellStyle name="Normal 17 2 4 2 3 2 3 2" xfId="13329"/>
    <cellStyle name="Normal 17 2 4 2 3 2 4" xfId="13330"/>
    <cellStyle name="Normal 17 2 4 2 3 3" xfId="13331"/>
    <cellStyle name="Normal 17 2 4 2 3 3 2" xfId="13332"/>
    <cellStyle name="Normal 17 2 4 2 3 3 2 2" xfId="13333"/>
    <cellStyle name="Normal 17 2 4 2 3 3 2 2 2" xfId="13334"/>
    <cellStyle name="Normal 17 2 4 2 3 3 2 3" xfId="13335"/>
    <cellStyle name="Normal 17 2 4 2 3 3 3" xfId="13336"/>
    <cellStyle name="Normal 17 2 4 2 3 3 3 2" xfId="13337"/>
    <cellStyle name="Normal 17 2 4 2 3 3 4" xfId="13338"/>
    <cellStyle name="Normal 17 2 4 2 3 4" xfId="13339"/>
    <cellStyle name="Normal 17 2 4 2 3 4 2" xfId="13340"/>
    <cellStyle name="Normal 17 2 4 2 3 4 2 2" xfId="13341"/>
    <cellStyle name="Normal 17 2 4 2 3 4 3" xfId="13342"/>
    <cellStyle name="Normal 17 2 4 2 3 5" xfId="13343"/>
    <cellStyle name="Normal 17 2 4 2 3 5 2" xfId="13344"/>
    <cellStyle name="Normal 17 2 4 2 3 6" xfId="13345"/>
    <cellStyle name="Normal 17 2 4 2 4" xfId="13346"/>
    <cellStyle name="Normal 17 2 4 2 4 2" xfId="13347"/>
    <cellStyle name="Normal 17 2 4 2 4 2 2" xfId="13348"/>
    <cellStyle name="Normal 17 2 4 2 4 2 2 2" xfId="13349"/>
    <cellStyle name="Normal 17 2 4 2 4 2 3" xfId="13350"/>
    <cellStyle name="Normal 17 2 4 2 4 3" xfId="13351"/>
    <cellStyle name="Normal 17 2 4 2 4 3 2" xfId="13352"/>
    <cellStyle name="Normal 17 2 4 2 4 4" xfId="13353"/>
    <cellStyle name="Normal 17 2 4 2 5" xfId="13354"/>
    <cellStyle name="Normal 17 2 4 2 5 2" xfId="13355"/>
    <cellStyle name="Normal 17 2 4 2 5 2 2" xfId="13356"/>
    <cellStyle name="Normal 17 2 4 2 5 2 2 2" xfId="13357"/>
    <cellStyle name="Normal 17 2 4 2 5 2 3" xfId="13358"/>
    <cellStyle name="Normal 17 2 4 2 5 3" xfId="13359"/>
    <cellStyle name="Normal 17 2 4 2 5 3 2" xfId="13360"/>
    <cellStyle name="Normal 17 2 4 2 5 4" xfId="13361"/>
    <cellStyle name="Normal 17 2 4 2 6" xfId="13362"/>
    <cellStyle name="Normal 17 2 4 2 6 2" xfId="13363"/>
    <cellStyle name="Normal 17 2 4 2 6 2 2" xfId="13364"/>
    <cellStyle name="Normal 17 2 4 2 6 2 2 2" xfId="13365"/>
    <cellStyle name="Normal 17 2 4 2 6 2 3" xfId="13366"/>
    <cellStyle name="Normal 17 2 4 2 6 3" xfId="13367"/>
    <cellStyle name="Normal 17 2 4 2 6 3 2" xfId="13368"/>
    <cellStyle name="Normal 17 2 4 2 6 4" xfId="13369"/>
    <cellStyle name="Normal 17 2 4 2 7" xfId="13370"/>
    <cellStyle name="Normal 17 2 4 2 7 2" xfId="13371"/>
    <cellStyle name="Normal 17 2 4 2 7 2 2" xfId="13372"/>
    <cellStyle name="Normal 17 2 4 2 7 3" xfId="13373"/>
    <cellStyle name="Normal 17 2 4 2 8" xfId="13374"/>
    <cellStyle name="Normal 17 2 4 2 8 2" xfId="13375"/>
    <cellStyle name="Normal 17 2 4 2 9" xfId="13376"/>
    <cellStyle name="Normal 17 2 4 3" xfId="13377"/>
    <cellStyle name="Normal 17 2 4 3 2" xfId="13378"/>
    <cellStyle name="Normal 17 2 4 3 2 2" xfId="13379"/>
    <cellStyle name="Normal 17 2 4 3 2 2 2" xfId="13380"/>
    <cellStyle name="Normal 17 2 4 3 2 2 2 2" xfId="13381"/>
    <cellStyle name="Normal 17 2 4 3 2 2 2 2 2" xfId="13382"/>
    <cellStyle name="Normal 17 2 4 3 2 2 2 3" xfId="13383"/>
    <cellStyle name="Normal 17 2 4 3 2 2 3" xfId="13384"/>
    <cellStyle name="Normal 17 2 4 3 2 2 3 2" xfId="13385"/>
    <cellStyle name="Normal 17 2 4 3 2 2 4" xfId="13386"/>
    <cellStyle name="Normal 17 2 4 3 2 3" xfId="13387"/>
    <cellStyle name="Normal 17 2 4 3 2 3 2" xfId="13388"/>
    <cellStyle name="Normal 17 2 4 3 2 3 2 2" xfId="13389"/>
    <cellStyle name="Normal 17 2 4 3 2 3 2 2 2" xfId="13390"/>
    <cellStyle name="Normal 17 2 4 3 2 3 2 3" xfId="13391"/>
    <cellStyle name="Normal 17 2 4 3 2 3 3" xfId="13392"/>
    <cellStyle name="Normal 17 2 4 3 2 3 3 2" xfId="13393"/>
    <cellStyle name="Normal 17 2 4 3 2 3 4" xfId="13394"/>
    <cellStyle name="Normal 17 2 4 3 2 4" xfId="13395"/>
    <cellStyle name="Normal 17 2 4 3 2 4 2" xfId="13396"/>
    <cellStyle name="Normal 17 2 4 3 2 4 2 2" xfId="13397"/>
    <cellStyle name="Normal 17 2 4 3 2 4 3" xfId="13398"/>
    <cellStyle name="Normal 17 2 4 3 2 5" xfId="13399"/>
    <cellStyle name="Normal 17 2 4 3 2 5 2" xfId="13400"/>
    <cellStyle name="Normal 17 2 4 3 2 6" xfId="13401"/>
    <cellStyle name="Normal 17 2 4 3 3" xfId="13402"/>
    <cellStyle name="Normal 17 2 4 3 3 2" xfId="13403"/>
    <cellStyle name="Normal 17 2 4 3 3 2 2" xfId="13404"/>
    <cellStyle name="Normal 17 2 4 3 3 2 2 2" xfId="13405"/>
    <cellStyle name="Normal 17 2 4 3 3 2 3" xfId="13406"/>
    <cellStyle name="Normal 17 2 4 3 3 3" xfId="13407"/>
    <cellStyle name="Normal 17 2 4 3 3 3 2" xfId="13408"/>
    <cellStyle name="Normal 17 2 4 3 3 4" xfId="13409"/>
    <cellStyle name="Normal 17 2 4 3 4" xfId="13410"/>
    <cellStyle name="Normal 17 2 4 3 4 2" xfId="13411"/>
    <cellStyle name="Normal 17 2 4 3 4 2 2" xfId="13412"/>
    <cellStyle name="Normal 17 2 4 3 4 2 2 2" xfId="13413"/>
    <cellStyle name="Normal 17 2 4 3 4 2 3" xfId="13414"/>
    <cellStyle name="Normal 17 2 4 3 4 3" xfId="13415"/>
    <cellStyle name="Normal 17 2 4 3 4 3 2" xfId="13416"/>
    <cellStyle name="Normal 17 2 4 3 4 4" xfId="13417"/>
    <cellStyle name="Normal 17 2 4 3 5" xfId="13418"/>
    <cellStyle name="Normal 17 2 4 3 5 2" xfId="13419"/>
    <cellStyle name="Normal 17 2 4 3 5 2 2" xfId="13420"/>
    <cellStyle name="Normal 17 2 4 3 5 3" xfId="13421"/>
    <cellStyle name="Normal 17 2 4 3 6" xfId="13422"/>
    <cellStyle name="Normal 17 2 4 3 6 2" xfId="13423"/>
    <cellStyle name="Normal 17 2 4 3 7" xfId="13424"/>
    <cellStyle name="Normal 17 2 4 4" xfId="13425"/>
    <cellStyle name="Normal 17 2 4 4 2" xfId="13426"/>
    <cellStyle name="Normal 17 2 4 4 2 2" xfId="13427"/>
    <cellStyle name="Normal 17 2 4 4 2 2 2" xfId="13428"/>
    <cellStyle name="Normal 17 2 4 4 2 2 2 2" xfId="13429"/>
    <cellStyle name="Normal 17 2 4 4 2 2 3" xfId="13430"/>
    <cellStyle name="Normal 17 2 4 4 2 3" xfId="13431"/>
    <cellStyle name="Normal 17 2 4 4 2 3 2" xfId="13432"/>
    <cellStyle name="Normal 17 2 4 4 2 4" xfId="13433"/>
    <cellStyle name="Normal 17 2 4 4 3" xfId="13434"/>
    <cellStyle name="Normal 17 2 4 4 3 2" xfId="13435"/>
    <cellStyle name="Normal 17 2 4 4 3 2 2" xfId="13436"/>
    <cellStyle name="Normal 17 2 4 4 3 2 2 2" xfId="13437"/>
    <cellStyle name="Normal 17 2 4 4 3 2 3" xfId="13438"/>
    <cellStyle name="Normal 17 2 4 4 3 3" xfId="13439"/>
    <cellStyle name="Normal 17 2 4 4 3 3 2" xfId="13440"/>
    <cellStyle name="Normal 17 2 4 4 3 4" xfId="13441"/>
    <cellStyle name="Normal 17 2 4 4 4" xfId="13442"/>
    <cellStyle name="Normal 17 2 4 4 4 2" xfId="13443"/>
    <cellStyle name="Normal 17 2 4 4 4 2 2" xfId="13444"/>
    <cellStyle name="Normal 17 2 4 4 4 3" xfId="13445"/>
    <cellStyle name="Normal 17 2 4 4 5" xfId="13446"/>
    <cellStyle name="Normal 17 2 4 4 5 2" xfId="13447"/>
    <cellStyle name="Normal 17 2 4 4 6" xfId="13448"/>
    <cellStyle name="Normal 17 2 4 5" xfId="13449"/>
    <cellStyle name="Normal 17 2 4 5 2" xfId="13450"/>
    <cellStyle name="Normal 17 2 4 5 2 2" xfId="13451"/>
    <cellStyle name="Normal 17 2 4 5 2 2 2" xfId="13452"/>
    <cellStyle name="Normal 17 2 4 5 2 3" xfId="13453"/>
    <cellStyle name="Normal 17 2 4 5 3" xfId="13454"/>
    <cellStyle name="Normal 17 2 4 5 3 2" xfId="13455"/>
    <cellStyle name="Normal 17 2 4 5 4" xfId="13456"/>
    <cellStyle name="Normal 17 2 4 6" xfId="13457"/>
    <cellStyle name="Normal 17 2 4 6 2" xfId="13458"/>
    <cellStyle name="Normal 17 2 4 6 2 2" xfId="13459"/>
    <cellStyle name="Normal 17 2 4 6 2 2 2" xfId="13460"/>
    <cellStyle name="Normal 17 2 4 6 2 3" xfId="13461"/>
    <cellStyle name="Normal 17 2 4 6 3" xfId="13462"/>
    <cellStyle name="Normal 17 2 4 6 3 2" xfId="13463"/>
    <cellStyle name="Normal 17 2 4 6 4" xfId="13464"/>
    <cellStyle name="Normal 17 2 4 7" xfId="13465"/>
    <cellStyle name="Normal 17 2 4 7 2" xfId="13466"/>
    <cellStyle name="Normal 17 2 4 7 2 2" xfId="13467"/>
    <cellStyle name="Normal 17 2 4 7 2 2 2" xfId="13468"/>
    <cellStyle name="Normal 17 2 4 7 2 3" xfId="13469"/>
    <cellStyle name="Normal 17 2 4 7 3" xfId="13470"/>
    <cellStyle name="Normal 17 2 4 7 3 2" xfId="13471"/>
    <cellStyle name="Normal 17 2 4 7 4" xfId="13472"/>
    <cellStyle name="Normal 17 2 4 8" xfId="13473"/>
    <cellStyle name="Normal 17 2 4 8 2" xfId="13474"/>
    <cellStyle name="Normal 17 2 4 8 2 2" xfId="13475"/>
    <cellStyle name="Normal 17 2 4 8 3" xfId="13476"/>
    <cellStyle name="Normal 17 2 4 9" xfId="13477"/>
    <cellStyle name="Normal 17 2 4 9 2" xfId="13478"/>
    <cellStyle name="Normal 17 2 5" xfId="13479"/>
    <cellStyle name="Normal 17 2 5 2" xfId="13480"/>
    <cellStyle name="Normal 17 2 5 2 2" xfId="13481"/>
    <cellStyle name="Normal 17 2 5 2 2 2" xfId="13482"/>
    <cellStyle name="Normal 17 2 5 2 2 2 2" xfId="13483"/>
    <cellStyle name="Normal 17 2 5 2 2 2 2 2" xfId="13484"/>
    <cellStyle name="Normal 17 2 5 2 2 2 2 2 2" xfId="13485"/>
    <cellStyle name="Normal 17 2 5 2 2 2 2 3" xfId="13486"/>
    <cellStyle name="Normal 17 2 5 2 2 2 3" xfId="13487"/>
    <cellStyle name="Normal 17 2 5 2 2 2 3 2" xfId="13488"/>
    <cellStyle name="Normal 17 2 5 2 2 2 4" xfId="13489"/>
    <cellStyle name="Normal 17 2 5 2 2 3" xfId="13490"/>
    <cellStyle name="Normal 17 2 5 2 2 3 2" xfId="13491"/>
    <cellStyle name="Normal 17 2 5 2 2 3 2 2" xfId="13492"/>
    <cellStyle name="Normal 17 2 5 2 2 3 2 2 2" xfId="13493"/>
    <cellStyle name="Normal 17 2 5 2 2 3 2 3" xfId="13494"/>
    <cellStyle name="Normal 17 2 5 2 2 3 3" xfId="13495"/>
    <cellStyle name="Normal 17 2 5 2 2 3 3 2" xfId="13496"/>
    <cellStyle name="Normal 17 2 5 2 2 3 4" xfId="13497"/>
    <cellStyle name="Normal 17 2 5 2 2 4" xfId="13498"/>
    <cellStyle name="Normal 17 2 5 2 2 4 2" xfId="13499"/>
    <cellStyle name="Normal 17 2 5 2 2 4 2 2" xfId="13500"/>
    <cellStyle name="Normal 17 2 5 2 2 4 3" xfId="13501"/>
    <cellStyle name="Normal 17 2 5 2 2 5" xfId="13502"/>
    <cellStyle name="Normal 17 2 5 2 2 5 2" xfId="13503"/>
    <cellStyle name="Normal 17 2 5 2 2 6" xfId="13504"/>
    <cellStyle name="Normal 17 2 5 2 3" xfId="13505"/>
    <cellStyle name="Normal 17 2 5 2 3 2" xfId="13506"/>
    <cellStyle name="Normal 17 2 5 2 3 2 2" xfId="13507"/>
    <cellStyle name="Normal 17 2 5 2 3 2 2 2" xfId="13508"/>
    <cellStyle name="Normal 17 2 5 2 3 2 3" xfId="13509"/>
    <cellStyle name="Normal 17 2 5 2 3 3" xfId="13510"/>
    <cellStyle name="Normal 17 2 5 2 3 3 2" xfId="13511"/>
    <cellStyle name="Normal 17 2 5 2 3 4" xfId="13512"/>
    <cellStyle name="Normal 17 2 5 2 4" xfId="13513"/>
    <cellStyle name="Normal 17 2 5 2 4 2" xfId="13514"/>
    <cellStyle name="Normal 17 2 5 2 4 2 2" xfId="13515"/>
    <cellStyle name="Normal 17 2 5 2 4 2 2 2" xfId="13516"/>
    <cellStyle name="Normal 17 2 5 2 4 2 3" xfId="13517"/>
    <cellStyle name="Normal 17 2 5 2 4 3" xfId="13518"/>
    <cellStyle name="Normal 17 2 5 2 4 3 2" xfId="13519"/>
    <cellStyle name="Normal 17 2 5 2 4 4" xfId="13520"/>
    <cellStyle name="Normal 17 2 5 2 5" xfId="13521"/>
    <cellStyle name="Normal 17 2 5 2 5 2" xfId="13522"/>
    <cellStyle name="Normal 17 2 5 2 5 2 2" xfId="13523"/>
    <cellStyle name="Normal 17 2 5 2 5 3" xfId="13524"/>
    <cellStyle name="Normal 17 2 5 2 6" xfId="13525"/>
    <cellStyle name="Normal 17 2 5 2 6 2" xfId="13526"/>
    <cellStyle name="Normal 17 2 5 2 7" xfId="13527"/>
    <cellStyle name="Normal 17 2 5 3" xfId="13528"/>
    <cellStyle name="Normal 17 2 5 3 2" xfId="13529"/>
    <cellStyle name="Normal 17 2 5 3 2 2" xfId="13530"/>
    <cellStyle name="Normal 17 2 5 3 2 2 2" xfId="13531"/>
    <cellStyle name="Normal 17 2 5 3 2 2 2 2" xfId="13532"/>
    <cellStyle name="Normal 17 2 5 3 2 2 3" xfId="13533"/>
    <cellStyle name="Normal 17 2 5 3 2 3" xfId="13534"/>
    <cellStyle name="Normal 17 2 5 3 2 3 2" xfId="13535"/>
    <cellStyle name="Normal 17 2 5 3 2 4" xfId="13536"/>
    <cellStyle name="Normal 17 2 5 3 3" xfId="13537"/>
    <cellStyle name="Normal 17 2 5 3 3 2" xfId="13538"/>
    <cellStyle name="Normal 17 2 5 3 3 2 2" xfId="13539"/>
    <cellStyle name="Normal 17 2 5 3 3 2 2 2" xfId="13540"/>
    <cellStyle name="Normal 17 2 5 3 3 2 3" xfId="13541"/>
    <cellStyle name="Normal 17 2 5 3 3 3" xfId="13542"/>
    <cellStyle name="Normal 17 2 5 3 3 3 2" xfId="13543"/>
    <cellStyle name="Normal 17 2 5 3 3 4" xfId="13544"/>
    <cellStyle name="Normal 17 2 5 3 4" xfId="13545"/>
    <cellStyle name="Normal 17 2 5 3 4 2" xfId="13546"/>
    <cellStyle name="Normal 17 2 5 3 4 2 2" xfId="13547"/>
    <cellStyle name="Normal 17 2 5 3 4 3" xfId="13548"/>
    <cellStyle name="Normal 17 2 5 3 5" xfId="13549"/>
    <cellStyle name="Normal 17 2 5 3 5 2" xfId="13550"/>
    <cellStyle name="Normal 17 2 5 3 6" xfId="13551"/>
    <cellStyle name="Normal 17 2 5 4" xfId="13552"/>
    <cellStyle name="Normal 17 2 5 4 2" xfId="13553"/>
    <cellStyle name="Normal 17 2 5 4 2 2" xfId="13554"/>
    <cellStyle name="Normal 17 2 5 4 2 2 2" xfId="13555"/>
    <cellStyle name="Normal 17 2 5 4 2 3" xfId="13556"/>
    <cellStyle name="Normal 17 2 5 4 3" xfId="13557"/>
    <cellStyle name="Normal 17 2 5 4 3 2" xfId="13558"/>
    <cellStyle name="Normal 17 2 5 4 4" xfId="13559"/>
    <cellStyle name="Normal 17 2 5 5" xfId="13560"/>
    <cellStyle name="Normal 17 2 5 5 2" xfId="13561"/>
    <cellStyle name="Normal 17 2 5 5 2 2" xfId="13562"/>
    <cellStyle name="Normal 17 2 5 5 2 2 2" xfId="13563"/>
    <cellStyle name="Normal 17 2 5 5 2 3" xfId="13564"/>
    <cellStyle name="Normal 17 2 5 5 3" xfId="13565"/>
    <cellStyle name="Normal 17 2 5 5 3 2" xfId="13566"/>
    <cellStyle name="Normal 17 2 5 5 4" xfId="13567"/>
    <cellStyle name="Normal 17 2 5 6" xfId="13568"/>
    <cellStyle name="Normal 17 2 5 6 2" xfId="13569"/>
    <cellStyle name="Normal 17 2 5 6 2 2" xfId="13570"/>
    <cellStyle name="Normal 17 2 5 6 2 2 2" xfId="13571"/>
    <cellStyle name="Normal 17 2 5 6 2 3" xfId="13572"/>
    <cellStyle name="Normal 17 2 5 6 3" xfId="13573"/>
    <cellStyle name="Normal 17 2 5 6 3 2" xfId="13574"/>
    <cellStyle name="Normal 17 2 5 6 4" xfId="13575"/>
    <cellStyle name="Normal 17 2 5 7" xfId="13576"/>
    <cellStyle name="Normal 17 2 5 7 2" xfId="13577"/>
    <cellStyle name="Normal 17 2 5 7 2 2" xfId="13578"/>
    <cellStyle name="Normal 17 2 5 7 3" xfId="13579"/>
    <cellStyle name="Normal 17 2 5 8" xfId="13580"/>
    <cellStyle name="Normal 17 2 5 8 2" xfId="13581"/>
    <cellStyle name="Normal 17 2 5 9" xfId="13582"/>
    <cellStyle name="Normal 17 2 6" xfId="13583"/>
    <cellStyle name="Normal 17 2 6 2" xfId="13584"/>
    <cellStyle name="Normal 17 2 6 2 2" xfId="13585"/>
    <cellStyle name="Normal 17 2 6 2 2 2" xfId="13586"/>
    <cellStyle name="Normal 17 2 6 2 2 2 2" xfId="13587"/>
    <cellStyle name="Normal 17 2 6 2 2 2 2 2" xfId="13588"/>
    <cellStyle name="Normal 17 2 6 2 2 2 3" xfId="13589"/>
    <cellStyle name="Normal 17 2 6 2 2 3" xfId="13590"/>
    <cellStyle name="Normal 17 2 6 2 2 3 2" xfId="13591"/>
    <cellStyle name="Normal 17 2 6 2 2 4" xfId="13592"/>
    <cellStyle name="Normal 17 2 6 2 3" xfId="13593"/>
    <cellStyle name="Normal 17 2 6 2 3 2" xfId="13594"/>
    <cellStyle name="Normal 17 2 6 2 3 2 2" xfId="13595"/>
    <cellStyle name="Normal 17 2 6 2 3 2 2 2" xfId="13596"/>
    <cellStyle name="Normal 17 2 6 2 3 2 3" xfId="13597"/>
    <cellStyle name="Normal 17 2 6 2 3 3" xfId="13598"/>
    <cellStyle name="Normal 17 2 6 2 3 3 2" xfId="13599"/>
    <cellStyle name="Normal 17 2 6 2 3 4" xfId="13600"/>
    <cellStyle name="Normal 17 2 6 2 4" xfId="13601"/>
    <cellStyle name="Normal 17 2 6 2 4 2" xfId="13602"/>
    <cellStyle name="Normal 17 2 6 2 4 2 2" xfId="13603"/>
    <cellStyle name="Normal 17 2 6 2 4 3" xfId="13604"/>
    <cellStyle name="Normal 17 2 6 2 5" xfId="13605"/>
    <cellStyle name="Normal 17 2 6 2 5 2" xfId="13606"/>
    <cellStyle name="Normal 17 2 6 2 6" xfId="13607"/>
    <cellStyle name="Normal 17 2 6 3" xfId="13608"/>
    <cellStyle name="Normal 17 2 6 3 2" xfId="13609"/>
    <cellStyle name="Normal 17 2 6 3 2 2" xfId="13610"/>
    <cellStyle name="Normal 17 2 6 3 2 2 2" xfId="13611"/>
    <cellStyle name="Normal 17 2 6 3 2 3" xfId="13612"/>
    <cellStyle name="Normal 17 2 6 3 3" xfId="13613"/>
    <cellStyle name="Normal 17 2 6 3 3 2" xfId="13614"/>
    <cellStyle name="Normal 17 2 6 3 4" xfId="13615"/>
    <cellStyle name="Normal 17 2 6 4" xfId="13616"/>
    <cellStyle name="Normal 17 2 6 4 2" xfId="13617"/>
    <cellStyle name="Normal 17 2 6 4 2 2" xfId="13618"/>
    <cellStyle name="Normal 17 2 6 4 2 2 2" xfId="13619"/>
    <cellStyle name="Normal 17 2 6 4 2 3" xfId="13620"/>
    <cellStyle name="Normal 17 2 6 4 3" xfId="13621"/>
    <cellStyle name="Normal 17 2 6 4 3 2" xfId="13622"/>
    <cellStyle name="Normal 17 2 6 4 4" xfId="13623"/>
    <cellStyle name="Normal 17 2 6 5" xfId="13624"/>
    <cellStyle name="Normal 17 2 6 5 2" xfId="13625"/>
    <cellStyle name="Normal 17 2 6 5 2 2" xfId="13626"/>
    <cellStyle name="Normal 17 2 6 5 3" xfId="13627"/>
    <cellStyle name="Normal 17 2 6 6" xfId="13628"/>
    <cellStyle name="Normal 17 2 6 6 2" xfId="13629"/>
    <cellStyle name="Normal 17 2 6 7" xfId="13630"/>
    <cellStyle name="Normal 17 2 7" xfId="13631"/>
    <cellStyle name="Normal 17 2 7 2" xfId="13632"/>
    <cellStyle name="Normal 17 2 7 2 2" xfId="13633"/>
    <cellStyle name="Normal 17 2 7 2 2 2" xfId="13634"/>
    <cellStyle name="Normal 17 2 7 2 2 2 2" xfId="13635"/>
    <cellStyle name="Normal 17 2 7 2 2 3" xfId="13636"/>
    <cellStyle name="Normal 17 2 7 2 3" xfId="13637"/>
    <cellStyle name="Normal 17 2 7 2 3 2" xfId="13638"/>
    <cellStyle name="Normal 17 2 7 2 4" xfId="13639"/>
    <cellStyle name="Normal 17 2 7 3" xfId="13640"/>
    <cellStyle name="Normal 17 2 7 3 2" xfId="13641"/>
    <cellStyle name="Normal 17 2 7 3 2 2" xfId="13642"/>
    <cellStyle name="Normal 17 2 7 3 2 2 2" xfId="13643"/>
    <cellStyle name="Normal 17 2 7 3 2 3" xfId="13644"/>
    <cellStyle name="Normal 17 2 7 3 3" xfId="13645"/>
    <cellStyle name="Normal 17 2 7 3 3 2" xfId="13646"/>
    <cellStyle name="Normal 17 2 7 3 4" xfId="13647"/>
    <cellStyle name="Normal 17 2 7 4" xfId="13648"/>
    <cellStyle name="Normal 17 2 7 4 2" xfId="13649"/>
    <cellStyle name="Normal 17 2 7 4 2 2" xfId="13650"/>
    <cellStyle name="Normal 17 2 7 4 3" xfId="13651"/>
    <cellStyle name="Normal 17 2 7 5" xfId="13652"/>
    <cellStyle name="Normal 17 2 7 5 2" xfId="13653"/>
    <cellStyle name="Normal 17 2 7 6" xfId="13654"/>
    <cellStyle name="Normal 17 2 8" xfId="13655"/>
    <cellStyle name="Normal 17 2 8 2" xfId="13656"/>
    <cellStyle name="Normal 17 2 8 2 2" xfId="13657"/>
    <cellStyle name="Normal 17 2 8 2 2 2" xfId="13658"/>
    <cellStyle name="Normal 17 2 8 2 3" xfId="13659"/>
    <cellStyle name="Normal 17 2 8 3" xfId="13660"/>
    <cellStyle name="Normal 17 2 8 3 2" xfId="13661"/>
    <cellStyle name="Normal 17 2 8 4" xfId="13662"/>
    <cellStyle name="Normal 17 2 9" xfId="13663"/>
    <cellStyle name="Normal 17 2 9 2" xfId="13664"/>
    <cellStyle name="Normal 17 2 9 2 2" xfId="13665"/>
    <cellStyle name="Normal 17 2 9 2 2 2" xfId="13666"/>
    <cellStyle name="Normal 17 2 9 2 3" xfId="13667"/>
    <cellStyle name="Normal 17 2 9 3" xfId="13668"/>
    <cellStyle name="Normal 17 2 9 3 2" xfId="13669"/>
    <cellStyle name="Normal 17 2 9 4" xfId="13670"/>
    <cellStyle name="Normal 17 3" xfId="13671"/>
    <cellStyle name="Normal 17 3 10" xfId="13672"/>
    <cellStyle name="Normal 17 3 10 2" xfId="13673"/>
    <cellStyle name="Normal 17 3 11" xfId="13674"/>
    <cellStyle name="Normal 17 3 2" xfId="13675"/>
    <cellStyle name="Normal 17 3 2 10" xfId="13676"/>
    <cellStyle name="Normal 17 3 2 2" xfId="13677"/>
    <cellStyle name="Normal 17 3 2 2 2" xfId="13678"/>
    <cellStyle name="Normal 17 3 2 2 2 2" xfId="13679"/>
    <cellStyle name="Normal 17 3 2 2 2 2 2" xfId="13680"/>
    <cellStyle name="Normal 17 3 2 2 2 2 2 2" xfId="13681"/>
    <cellStyle name="Normal 17 3 2 2 2 2 2 2 2" xfId="13682"/>
    <cellStyle name="Normal 17 3 2 2 2 2 2 2 2 2" xfId="13683"/>
    <cellStyle name="Normal 17 3 2 2 2 2 2 2 3" xfId="13684"/>
    <cellStyle name="Normal 17 3 2 2 2 2 2 3" xfId="13685"/>
    <cellStyle name="Normal 17 3 2 2 2 2 2 3 2" xfId="13686"/>
    <cellStyle name="Normal 17 3 2 2 2 2 2 4" xfId="13687"/>
    <cellStyle name="Normal 17 3 2 2 2 2 3" xfId="13688"/>
    <cellStyle name="Normal 17 3 2 2 2 2 3 2" xfId="13689"/>
    <cellStyle name="Normal 17 3 2 2 2 2 3 2 2" xfId="13690"/>
    <cellStyle name="Normal 17 3 2 2 2 2 3 2 2 2" xfId="13691"/>
    <cellStyle name="Normal 17 3 2 2 2 2 3 2 3" xfId="13692"/>
    <cellStyle name="Normal 17 3 2 2 2 2 3 3" xfId="13693"/>
    <cellStyle name="Normal 17 3 2 2 2 2 3 3 2" xfId="13694"/>
    <cellStyle name="Normal 17 3 2 2 2 2 3 4" xfId="13695"/>
    <cellStyle name="Normal 17 3 2 2 2 2 4" xfId="13696"/>
    <cellStyle name="Normal 17 3 2 2 2 2 4 2" xfId="13697"/>
    <cellStyle name="Normal 17 3 2 2 2 2 4 2 2" xfId="13698"/>
    <cellStyle name="Normal 17 3 2 2 2 2 4 3" xfId="13699"/>
    <cellStyle name="Normal 17 3 2 2 2 2 5" xfId="13700"/>
    <cellStyle name="Normal 17 3 2 2 2 2 5 2" xfId="13701"/>
    <cellStyle name="Normal 17 3 2 2 2 2 6" xfId="13702"/>
    <cellStyle name="Normal 17 3 2 2 2 3" xfId="13703"/>
    <cellStyle name="Normal 17 3 2 2 2 3 2" xfId="13704"/>
    <cellStyle name="Normal 17 3 2 2 2 3 2 2" xfId="13705"/>
    <cellStyle name="Normal 17 3 2 2 2 3 2 2 2" xfId="13706"/>
    <cellStyle name="Normal 17 3 2 2 2 3 2 3" xfId="13707"/>
    <cellStyle name="Normal 17 3 2 2 2 3 3" xfId="13708"/>
    <cellStyle name="Normal 17 3 2 2 2 3 3 2" xfId="13709"/>
    <cellStyle name="Normal 17 3 2 2 2 3 4" xfId="13710"/>
    <cellStyle name="Normal 17 3 2 2 2 4" xfId="13711"/>
    <cellStyle name="Normal 17 3 2 2 2 4 2" xfId="13712"/>
    <cellStyle name="Normal 17 3 2 2 2 4 2 2" xfId="13713"/>
    <cellStyle name="Normal 17 3 2 2 2 4 2 2 2" xfId="13714"/>
    <cellStyle name="Normal 17 3 2 2 2 4 2 3" xfId="13715"/>
    <cellStyle name="Normal 17 3 2 2 2 4 3" xfId="13716"/>
    <cellStyle name="Normal 17 3 2 2 2 4 3 2" xfId="13717"/>
    <cellStyle name="Normal 17 3 2 2 2 4 4" xfId="13718"/>
    <cellStyle name="Normal 17 3 2 2 2 5" xfId="13719"/>
    <cellStyle name="Normal 17 3 2 2 2 5 2" xfId="13720"/>
    <cellStyle name="Normal 17 3 2 2 2 5 2 2" xfId="13721"/>
    <cellStyle name="Normal 17 3 2 2 2 5 3" xfId="13722"/>
    <cellStyle name="Normal 17 3 2 2 2 6" xfId="13723"/>
    <cellStyle name="Normal 17 3 2 2 2 6 2" xfId="13724"/>
    <cellStyle name="Normal 17 3 2 2 2 7" xfId="13725"/>
    <cellStyle name="Normal 17 3 2 2 3" xfId="13726"/>
    <cellStyle name="Normal 17 3 2 2 3 2" xfId="13727"/>
    <cellStyle name="Normal 17 3 2 2 3 2 2" xfId="13728"/>
    <cellStyle name="Normal 17 3 2 2 3 2 2 2" xfId="13729"/>
    <cellStyle name="Normal 17 3 2 2 3 2 2 2 2" xfId="13730"/>
    <cellStyle name="Normal 17 3 2 2 3 2 2 3" xfId="13731"/>
    <cellStyle name="Normal 17 3 2 2 3 2 3" xfId="13732"/>
    <cellStyle name="Normal 17 3 2 2 3 2 3 2" xfId="13733"/>
    <cellStyle name="Normal 17 3 2 2 3 2 4" xfId="13734"/>
    <cellStyle name="Normal 17 3 2 2 3 3" xfId="13735"/>
    <cellStyle name="Normal 17 3 2 2 3 3 2" xfId="13736"/>
    <cellStyle name="Normal 17 3 2 2 3 3 2 2" xfId="13737"/>
    <cellStyle name="Normal 17 3 2 2 3 3 2 2 2" xfId="13738"/>
    <cellStyle name="Normal 17 3 2 2 3 3 2 3" xfId="13739"/>
    <cellStyle name="Normal 17 3 2 2 3 3 3" xfId="13740"/>
    <cellStyle name="Normal 17 3 2 2 3 3 3 2" xfId="13741"/>
    <cellStyle name="Normal 17 3 2 2 3 3 4" xfId="13742"/>
    <cellStyle name="Normal 17 3 2 2 3 4" xfId="13743"/>
    <cellStyle name="Normal 17 3 2 2 3 4 2" xfId="13744"/>
    <cellStyle name="Normal 17 3 2 2 3 4 2 2" xfId="13745"/>
    <cellStyle name="Normal 17 3 2 2 3 4 3" xfId="13746"/>
    <cellStyle name="Normal 17 3 2 2 3 5" xfId="13747"/>
    <cellStyle name="Normal 17 3 2 2 3 5 2" xfId="13748"/>
    <cellStyle name="Normal 17 3 2 2 3 6" xfId="13749"/>
    <cellStyle name="Normal 17 3 2 2 4" xfId="13750"/>
    <cellStyle name="Normal 17 3 2 2 4 2" xfId="13751"/>
    <cellStyle name="Normal 17 3 2 2 4 2 2" xfId="13752"/>
    <cellStyle name="Normal 17 3 2 2 4 2 2 2" xfId="13753"/>
    <cellStyle name="Normal 17 3 2 2 4 2 3" xfId="13754"/>
    <cellStyle name="Normal 17 3 2 2 4 3" xfId="13755"/>
    <cellStyle name="Normal 17 3 2 2 4 3 2" xfId="13756"/>
    <cellStyle name="Normal 17 3 2 2 4 4" xfId="13757"/>
    <cellStyle name="Normal 17 3 2 2 5" xfId="13758"/>
    <cellStyle name="Normal 17 3 2 2 5 2" xfId="13759"/>
    <cellStyle name="Normal 17 3 2 2 5 2 2" xfId="13760"/>
    <cellStyle name="Normal 17 3 2 2 5 2 2 2" xfId="13761"/>
    <cellStyle name="Normal 17 3 2 2 5 2 3" xfId="13762"/>
    <cellStyle name="Normal 17 3 2 2 5 3" xfId="13763"/>
    <cellStyle name="Normal 17 3 2 2 5 3 2" xfId="13764"/>
    <cellStyle name="Normal 17 3 2 2 5 4" xfId="13765"/>
    <cellStyle name="Normal 17 3 2 2 6" xfId="13766"/>
    <cellStyle name="Normal 17 3 2 2 6 2" xfId="13767"/>
    <cellStyle name="Normal 17 3 2 2 6 2 2" xfId="13768"/>
    <cellStyle name="Normal 17 3 2 2 6 2 2 2" xfId="13769"/>
    <cellStyle name="Normal 17 3 2 2 6 2 3" xfId="13770"/>
    <cellStyle name="Normal 17 3 2 2 6 3" xfId="13771"/>
    <cellStyle name="Normal 17 3 2 2 6 3 2" xfId="13772"/>
    <cellStyle name="Normal 17 3 2 2 6 4" xfId="13773"/>
    <cellStyle name="Normal 17 3 2 2 7" xfId="13774"/>
    <cellStyle name="Normal 17 3 2 2 7 2" xfId="13775"/>
    <cellStyle name="Normal 17 3 2 2 7 2 2" xfId="13776"/>
    <cellStyle name="Normal 17 3 2 2 7 3" xfId="13777"/>
    <cellStyle name="Normal 17 3 2 2 8" xfId="13778"/>
    <cellStyle name="Normal 17 3 2 2 8 2" xfId="13779"/>
    <cellStyle name="Normal 17 3 2 2 9" xfId="13780"/>
    <cellStyle name="Normal 17 3 2 3" xfId="13781"/>
    <cellStyle name="Normal 17 3 2 3 2" xfId="13782"/>
    <cellStyle name="Normal 17 3 2 3 2 2" xfId="13783"/>
    <cellStyle name="Normal 17 3 2 3 2 2 2" xfId="13784"/>
    <cellStyle name="Normal 17 3 2 3 2 2 2 2" xfId="13785"/>
    <cellStyle name="Normal 17 3 2 3 2 2 2 2 2" xfId="13786"/>
    <cellStyle name="Normal 17 3 2 3 2 2 2 3" xfId="13787"/>
    <cellStyle name="Normal 17 3 2 3 2 2 3" xfId="13788"/>
    <cellStyle name="Normal 17 3 2 3 2 2 3 2" xfId="13789"/>
    <cellStyle name="Normal 17 3 2 3 2 2 4" xfId="13790"/>
    <cellStyle name="Normal 17 3 2 3 2 3" xfId="13791"/>
    <cellStyle name="Normal 17 3 2 3 2 3 2" xfId="13792"/>
    <cellStyle name="Normal 17 3 2 3 2 3 2 2" xfId="13793"/>
    <cellStyle name="Normal 17 3 2 3 2 3 2 2 2" xfId="13794"/>
    <cellStyle name="Normal 17 3 2 3 2 3 2 3" xfId="13795"/>
    <cellStyle name="Normal 17 3 2 3 2 3 3" xfId="13796"/>
    <cellStyle name="Normal 17 3 2 3 2 3 3 2" xfId="13797"/>
    <cellStyle name="Normal 17 3 2 3 2 3 4" xfId="13798"/>
    <cellStyle name="Normal 17 3 2 3 2 4" xfId="13799"/>
    <cellStyle name="Normal 17 3 2 3 2 4 2" xfId="13800"/>
    <cellStyle name="Normal 17 3 2 3 2 4 2 2" xfId="13801"/>
    <cellStyle name="Normal 17 3 2 3 2 4 3" xfId="13802"/>
    <cellStyle name="Normal 17 3 2 3 2 5" xfId="13803"/>
    <cellStyle name="Normal 17 3 2 3 2 5 2" xfId="13804"/>
    <cellStyle name="Normal 17 3 2 3 2 6" xfId="13805"/>
    <cellStyle name="Normal 17 3 2 3 3" xfId="13806"/>
    <cellStyle name="Normal 17 3 2 3 3 2" xfId="13807"/>
    <cellStyle name="Normal 17 3 2 3 3 2 2" xfId="13808"/>
    <cellStyle name="Normal 17 3 2 3 3 2 2 2" xfId="13809"/>
    <cellStyle name="Normal 17 3 2 3 3 2 3" xfId="13810"/>
    <cellStyle name="Normal 17 3 2 3 3 3" xfId="13811"/>
    <cellStyle name="Normal 17 3 2 3 3 3 2" xfId="13812"/>
    <cellStyle name="Normal 17 3 2 3 3 4" xfId="13813"/>
    <cellStyle name="Normal 17 3 2 3 4" xfId="13814"/>
    <cellStyle name="Normal 17 3 2 3 4 2" xfId="13815"/>
    <cellStyle name="Normal 17 3 2 3 4 2 2" xfId="13816"/>
    <cellStyle name="Normal 17 3 2 3 4 2 2 2" xfId="13817"/>
    <cellStyle name="Normal 17 3 2 3 4 2 3" xfId="13818"/>
    <cellStyle name="Normal 17 3 2 3 4 3" xfId="13819"/>
    <cellStyle name="Normal 17 3 2 3 4 3 2" xfId="13820"/>
    <cellStyle name="Normal 17 3 2 3 4 4" xfId="13821"/>
    <cellStyle name="Normal 17 3 2 3 5" xfId="13822"/>
    <cellStyle name="Normal 17 3 2 3 5 2" xfId="13823"/>
    <cellStyle name="Normal 17 3 2 3 5 2 2" xfId="13824"/>
    <cellStyle name="Normal 17 3 2 3 5 3" xfId="13825"/>
    <cellStyle name="Normal 17 3 2 3 6" xfId="13826"/>
    <cellStyle name="Normal 17 3 2 3 6 2" xfId="13827"/>
    <cellStyle name="Normal 17 3 2 3 7" xfId="13828"/>
    <cellStyle name="Normal 17 3 2 4" xfId="13829"/>
    <cellStyle name="Normal 17 3 2 4 2" xfId="13830"/>
    <cellStyle name="Normal 17 3 2 4 2 2" xfId="13831"/>
    <cellStyle name="Normal 17 3 2 4 2 2 2" xfId="13832"/>
    <cellStyle name="Normal 17 3 2 4 2 2 2 2" xfId="13833"/>
    <cellStyle name="Normal 17 3 2 4 2 2 3" xfId="13834"/>
    <cellStyle name="Normal 17 3 2 4 2 3" xfId="13835"/>
    <cellStyle name="Normal 17 3 2 4 2 3 2" xfId="13836"/>
    <cellStyle name="Normal 17 3 2 4 2 4" xfId="13837"/>
    <cellStyle name="Normal 17 3 2 4 3" xfId="13838"/>
    <cellStyle name="Normal 17 3 2 4 3 2" xfId="13839"/>
    <cellStyle name="Normal 17 3 2 4 3 2 2" xfId="13840"/>
    <cellStyle name="Normal 17 3 2 4 3 2 2 2" xfId="13841"/>
    <cellStyle name="Normal 17 3 2 4 3 2 3" xfId="13842"/>
    <cellStyle name="Normal 17 3 2 4 3 3" xfId="13843"/>
    <cellStyle name="Normal 17 3 2 4 3 3 2" xfId="13844"/>
    <cellStyle name="Normal 17 3 2 4 3 4" xfId="13845"/>
    <cellStyle name="Normal 17 3 2 4 4" xfId="13846"/>
    <cellStyle name="Normal 17 3 2 4 4 2" xfId="13847"/>
    <cellStyle name="Normal 17 3 2 4 4 2 2" xfId="13848"/>
    <cellStyle name="Normal 17 3 2 4 4 3" xfId="13849"/>
    <cellStyle name="Normal 17 3 2 4 5" xfId="13850"/>
    <cellStyle name="Normal 17 3 2 4 5 2" xfId="13851"/>
    <cellStyle name="Normal 17 3 2 4 6" xfId="13852"/>
    <cellStyle name="Normal 17 3 2 5" xfId="13853"/>
    <cellStyle name="Normal 17 3 2 5 2" xfId="13854"/>
    <cellStyle name="Normal 17 3 2 5 2 2" xfId="13855"/>
    <cellStyle name="Normal 17 3 2 5 2 2 2" xfId="13856"/>
    <cellStyle name="Normal 17 3 2 5 2 3" xfId="13857"/>
    <cellStyle name="Normal 17 3 2 5 3" xfId="13858"/>
    <cellStyle name="Normal 17 3 2 5 3 2" xfId="13859"/>
    <cellStyle name="Normal 17 3 2 5 4" xfId="13860"/>
    <cellStyle name="Normal 17 3 2 6" xfId="13861"/>
    <cellStyle name="Normal 17 3 2 6 2" xfId="13862"/>
    <cellStyle name="Normal 17 3 2 6 2 2" xfId="13863"/>
    <cellStyle name="Normal 17 3 2 6 2 2 2" xfId="13864"/>
    <cellStyle name="Normal 17 3 2 6 2 3" xfId="13865"/>
    <cellStyle name="Normal 17 3 2 6 3" xfId="13866"/>
    <cellStyle name="Normal 17 3 2 6 3 2" xfId="13867"/>
    <cellStyle name="Normal 17 3 2 6 4" xfId="13868"/>
    <cellStyle name="Normal 17 3 2 7" xfId="13869"/>
    <cellStyle name="Normal 17 3 2 7 2" xfId="13870"/>
    <cellStyle name="Normal 17 3 2 7 2 2" xfId="13871"/>
    <cellStyle name="Normal 17 3 2 7 2 2 2" xfId="13872"/>
    <cellStyle name="Normal 17 3 2 7 2 3" xfId="13873"/>
    <cellStyle name="Normal 17 3 2 7 3" xfId="13874"/>
    <cellStyle name="Normal 17 3 2 7 3 2" xfId="13875"/>
    <cellStyle name="Normal 17 3 2 7 4" xfId="13876"/>
    <cellStyle name="Normal 17 3 2 8" xfId="13877"/>
    <cellStyle name="Normal 17 3 2 8 2" xfId="13878"/>
    <cellStyle name="Normal 17 3 2 8 2 2" xfId="13879"/>
    <cellStyle name="Normal 17 3 2 8 3" xfId="13880"/>
    <cellStyle name="Normal 17 3 2 9" xfId="13881"/>
    <cellStyle name="Normal 17 3 2 9 2" xfId="13882"/>
    <cellStyle name="Normal 17 3 3" xfId="13883"/>
    <cellStyle name="Normal 17 3 3 2" xfId="13884"/>
    <cellStyle name="Normal 17 3 3 2 2" xfId="13885"/>
    <cellStyle name="Normal 17 3 3 2 2 2" xfId="13886"/>
    <cellStyle name="Normal 17 3 3 2 2 2 2" xfId="13887"/>
    <cellStyle name="Normal 17 3 3 2 2 2 2 2" xfId="13888"/>
    <cellStyle name="Normal 17 3 3 2 2 2 2 2 2" xfId="13889"/>
    <cellStyle name="Normal 17 3 3 2 2 2 2 3" xfId="13890"/>
    <cellStyle name="Normal 17 3 3 2 2 2 3" xfId="13891"/>
    <cellStyle name="Normal 17 3 3 2 2 2 3 2" xfId="13892"/>
    <cellStyle name="Normal 17 3 3 2 2 2 4" xfId="13893"/>
    <cellStyle name="Normal 17 3 3 2 2 3" xfId="13894"/>
    <cellStyle name="Normal 17 3 3 2 2 3 2" xfId="13895"/>
    <cellStyle name="Normal 17 3 3 2 2 3 2 2" xfId="13896"/>
    <cellStyle name="Normal 17 3 3 2 2 3 2 2 2" xfId="13897"/>
    <cellStyle name="Normal 17 3 3 2 2 3 2 3" xfId="13898"/>
    <cellStyle name="Normal 17 3 3 2 2 3 3" xfId="13899"/>
    <cellStyle name="Normal 17 3 3 2 2 3 3 2" xfId="13900"/>
    <cellStyle name="Normal 17 3 3 2 2 3 4" xfId="13901"/>
    <cellStyle name="Normal 17 3 3 2 2 4" xfId="13902"/>
    <cellStyle name="Normal 17 3 3 2 2 4 2" xfId="13903"/>
    <cellStyle name="Normal 17 3 3 2 2 4 2 2" xfId="13904"/>
    <cellStyle name="Normal 17 3 3 2 2 4 3" xfId="13905"/>
    <cellStyle name="Normal 17 3 3 2 2 5" xfId="13906"/>
    <cellStyle name="Normal 17 3 3 2 2 5 2" xfId="13907"/>
    <cellStyle name="Normal 17 3 3 2 2 6" xfId="13908"/>
    <cellStyle name="Normal 17 3 3 2 3" xfId="13909"/>
    <cellStyle name="Normal 17 3 3 2 3 2" xfId="13910"/>
    <cellStyle name="Normal 17 3 3 2 3 2 2" xfId="13911"/>
    <cellStyle name="Normal 17 3 3 2 3 2 2 2" xfId="13912"/>
    <cellStyle name="Normal 17 3 3 2 3 2 3" xfId="13913"/>
    <cellStyle name="Normal 17 3 3 2 3 3" xfId="13914"/>
    <cellStyle name="Normal 17 3 3 2 3 3 2" xfId="13915"/>
    <cellStyle name="Normal 17 3 3 2 3 4" xfId="13916"/>
    <cellStyle name="Normal 17 3 3 2 4" xfId="13917"/>
    <cellStyle name="Normal 17 3 3 2 4 2" xfId="13918"/>
    <cellStyle name="Normal 17 3 3 2 4 2 2" xfId="13919"/>
    <cellStyle name="Normal 17 3 3 2 4 2 2 2" xfId="13920"/>
    <cellStyle name="Normal 17 3 3 2 4 2 3" xfId="13921"/>
    <cellStyle name="Normal 17 3 3 2 4 3" xfId="13922"/>
    <cellStyle name="Normal 17 3 3 2 4 3 2" xfId="13923"/>
    <cellStyle name="Normal 17 3 3 2 4 4" xfId="13924"/>
    <cellStyle name="Normal 17 3 3 2 5" xfId="13925"/>
    <cellStyle name="Normal 17 3 3 2 5 2" xfId="13926"/>
    <cellStyle name="Normal 17 3 3 2 5 2 2" xfId="13927"/>
    <cellStyle name="Normal 17 3 3 2 5 3" xfId="13928"/>
    <cellStyle name="Normal 17 3 3 2 6" xfId="13929"/>
    <cellStyle name="Normal 17 3 3 2 6 2" xfId="13930"/>
    <cellStyle name="Normal 17 3 3 2 7" xfId="13931"/>
    <cellStyle name="Normal 17 3 3 3" xfId="13932"/>
    <cellStyle name="Normal 17 3 3 3 2" xfId="13933"/>
    <cellStyle name="Normal 17 3 3 3 2 2" xfId="13934"/>
    <cellStyle name="Normal 17 3 3 3 2 2 2" xfId="13935"/>
    <cellStyle name="Normal 17 3 3 3 2 2 2 2" xfId="13936"/>
    <cellStyle name="Normal 17 3 3 3 2 2 3" xfId="13937"/>
    <cellStyle name="Normal 17 3 3 3 2 3" xfId="13938"/>
    <cellStyle name="Normal 17 3 3 3 2 3 2" xfId="13939"/>
    <cellStyle name="Normal 17 3 3 3 2 4" xfId="13940"/>
    <cellStyle name="Normal 17 3 3 3 3" xfId="13941"/>
    <cellStyle name="Normal 17 3 3 3 3 2" xfId="13942"/>
    <cellStyle name="Normal 17 3 3 3 3 2 2" xfId="13943"/>
    <cellStyle name="Normal 17 3 3 3 3 2 2 2" xfId="13944"/>
    <cellStyle name="Normal 17 3 3 3 3 2 3" xfId="13945"/>
    <cellStyle name="Normal 17 3 3 3 3 3" xfId="13946"/>
    <cellStyle name="Normal 17 3 3 3 3 3 2" xfId="13947"/>
    <cellStyle name="Normal 17 3 3 3 3 4" xfId="13948"/>
    <cellStyle name="Normal 17 3 3 3 4" xfId="13949"/>
    <cellStyle name="Normal 17 3 3 3 4 2" xfId="13950"/>
    <cellStyle name="Normal 17 3 3 3 4 2 2" xfId="13951"/>
    <cellStyle name="Normal 17 3 3 3 4 3" xfId="13952"/>
    <cellStyle name="Normal 17 3 3 3 5" xfId="13953"/>
    <cellStyle name="Normal 17 3 3 3 5 2" xfId="13954"/>
    <cellStyle name="Normal 17 3 3 3 6" xfId="13955"/>
    <cellStyle name="Normal 17 3 3 4" xfId="13956"/>
    <cellStyle name="Normal 17 3 3 4 2" xfId="13957"/>
    <cellStyle name="Normal 17 3 3 4 2 2" xfId="13958"/>
    <cellStyle name="Normal 17 3 3 4 2 2 2" xfId="13959"/>
    <cellStyle name="Normal 17 3 3 4 2 3" xfId="13960"/>
    <cellStyle name="Normal 17 3 3 4 3" xfId="13961"/>
    <cellStyle name="Normal 17 3 3 4 3 2" xfId="13962"/>
    <cellStyle name="Normal 17 3 3 4 4" xfId="13963"/>
    <cellStyle name="Normal 17 3 3 5" xfId="13964"/>
    <cellStyle name="Normal 17 3 3 5 2" xfId="13965"/>
    <cellStyle name="Normal 17 3 3 5 2 2" xfId="13966"/>
    <cellStyle name="Normal 17 3 3 5 2 2 2" xfId="13967"/>
    <cellStyle name="Normal 17 3 3 5 2 3" xfId="13968"/>
    <cellStyle name="Normal 17 3 3 5 3" xfId="13969"/>
    <cellStyle name="Normal 17 3 3 5 3 2" xfId="13970"/>
    <cellStyle name="Normal 17 3 3 5 4" xfId="13971"/>
    <cellStyle name="Normal 17 3 3 6" xfId="13972"/>
    <cellStyle name="Normal 17 3 3 6 2" xfId="13973"/>
    <cellStyle name="Normal 17 3 3 6 2 2" xfId="13974"/>
    <cellStyle name="Normal 17 3 3 6 2 2 2" xfId="13975"/>
    <cellStyle name="Normal 17 3 3 6 2 3" xfId="13976"/>
    <cellStyle name="Normal 17 3 3 6 3" xfId="13977"/>
    <cellStyle name="Normal 17 3 3 6 3 2" xfId="13978"/>
    <cellStyle name="Normal 17 3 3 6 4" xfId="13979"/>
    <cellStyle name="Normal 17 3 3 7" xfId="13980"/>
    <cellStyle name="Normal 17 3 3 7 2" xfId="13981"/>
    <cellStyle name="Normal 17 3 3 7 2 2" xfId="13982"/>
    <cellStyle name="Normal 17 3 3 7 3" xfId="13983"/>
    <cellStyle name="Normal 17 3 3 8" xfId="13984"/>
    <cellStyle name="Normal 17 3 3 8 2" xfId="13985"/>
    <cellStyle name="Normal 17 3 3 9" xfId="13986"/>
    <cellStyle name="Normal 17 3 4" xfId="13987"/>
    <cellStyle name="Normal 17 3 4 2" xfId="13988"/>
    <cellStyle name="Normal 17 3 4 2 2" xfId="13989"/>
    <cellStyle name="Normal 17 3 4 2 2 2" xfId="13990"/>
    <cellStyle name="Normal 17 3 4 2 2 2 2" xfId="13991"/>
    <cellStyle name="Normal 17 3 4 2 2 2 2 2" xfId="13992"/>
    <cellStyle name="Normal 17 3 4 2 2 2 3" xfId="13993"/>
    <cellStyle name="Normal 17 3 4 2 2 3" xfId="13994"/>
    <cellStyle name="Normal 17 3 4 2 2 3 2" xfId="13995"/>
    <cellStyle name="Normal 17 3 4 2 2 4" xfId="13996"/>
    <cellStyle name="Normal 17 3 4 2 3" xfId="13997"/>
    <cellStyle name="Normal 17 3 4 2 3 2" xfId="13998"/>
    <cellStyle name="Normal 17 3 4 2 3 2 2" xfId="13999"/>
    <cellStyle name="Normal 17 3 4 2 3 2 2 2" xfId="14000"/>
    <cellStyle name="Normal 17 3 4 2 3 2 3" xfId="14001"/>
    <cellStyle name="Normal 17 3 4 2 3 3" xfId="14002"/>
    <cellStyle name="Normal 17 3 4 2 3 3 2" xfId="14003"/>
    <cellStyle name="Normal 17 3 4 2 3 4" xfId="14004"/>
    <cellStyle name="Normal 17 3 4 2 4" xfId="14005"/>
    <cellStyle name="Normal 17 3 4 2 4 2" xfId="14006"/>
    <cellStyle name="Normal 17 3 4 2 4 2 2" xfId="14007"/>
    <cellStyle name="Normal 17 3 4 2 4 3" xfId="14008"/>
    <cellStyle name="Normal 17 3 4 2 5" xfId="14009"/>
    <cellStyle name="Normal 17 3 4 2 5 2" xfId="14010"/>
    <cellStyle name="Normal 17 3 4 2 6" xfId="14011"/>
    <cellStyle name="Normal 17 3 4 3" xfId="14012"/>
    <cellStyle name="Normal 17 3 4 3 2" xfId="14013"/>
    <cellStyle name="Normal 17 3 4 3 2 2" xfId="14014"/>
    <cellStyle name="Normal 17 3 4 3 2 2 2" xfId="14015"/>
    <cellStyle name="Normal 17 3 4 3 2 3" xfId="14016"/>
    <cellStyle name="Normal 17 3 4 3 3" xfId="14017"/>
    <cellStyle name="Normal 17 3 4 3 3 2" xfId="14018"/>
    <cellStyle name="Normal 17 3 4 3 4" xfId="14019"/>
    <cellStyle name="Normal 17 3 4 4" xfId="14020"/>
    <cellStyle name="Normal 17 3 4 4 2" xfId="14021"/>
    <cellStyle name="Normal 17 3 4 4 2 2" xfId="14022"/>
    <cellStyle name="Normal 17 3 4 4 2 2 2" xfId="14023"/>
    <cellStyle name="Normal 17 3 4 4 2 3" xfId="14024"/>
    <cellStyle name="Normal 17 3 4 4 3" xfId="14025"/>
    <cellStyle name="Normal 17 3 4 4 3 2" xfId="14026"/>
    <cellStyle name="Normal 17 3 4 4 4" xfId="14027"/>
    <cellStyle name="Normal 17 3 4 5" xfId="14028"/>
    <cellStyle name="Normal 17 3 4 5 2" xfId="14029"/>
    <cellStyle name="Normal 17 3 4 5 2 2" xfId="14030"/>
    <cellStyle name="Normal 17 3 4 5 3" xfId="14031"/>
    <cellStyle name="Normal 17 3 4 6" xfId="14032"/>
    <cellStyle name="Normal 17 3 4 6 2" xfId="14033"/>
    <cellStyle name="Normal 17 3 4 7" xfId="14034"/>
    <cellStyle name="Normal 17 3 5" xfId="14035"/>
    <cellStyle name="Normal 17 3 5 2" xfId="14036"/>
    <cellStyle name="Normal 17 3 5 2 2" xfId="14037"/>
    <cellStyle name="Normal 17 3 5 2 2 2" xfId="14038"/>
    <cellStyle name="Normal 17 3 5 2 2 2 2" xfId="14039"/>
    <cellStyle name="Normal 17 3 5 2 2 3" xfId="14040"/>
    <cellStyle name="Normal 17 3 5 2 3" xfId="14041"/>
    <cellStyle name="Normal 17 3 5 2 3 2" xfId="14042"/>
    <cellStyle name="Normal 17 3 5 2 4" xfId="14043"/>
    <cellStyle name="Normal 17 3 5 3" xfId="14044"/>
    <cellStyle name="Normal 17 3 5 3 2" xfId="14045"/>
    <cellStyle name="Normal 17 3 5 3 2 2" xfId="14046"/>
    <cellStyle name="Normal 17 3 5 3 2 2 2" xfId="14047"/>
    <cellStyle name="Normal 17 3 5 3 2 3" xfId="14048"/>
    <cellStyle name="Normal 17 3 5 3 3" xfId="14049"/>
    <cellStyle name="Normal 17 3 5 3 3 2" xfId="14050"/>
    <cellStyle name="Normal 17 3 5 3 4" xfId="14051"/>
    <cellStyle name="Normal 17 3 5 4" xfId="14052"/>
    <cellStyle name="Normal 17 3 5 4 2" xfId="14053"/>
    <cellStyle name="Normal 17 3 5 4 2 2" xfId="14054"/>
    <cellStyle name="Normal 17 3 5 4 3" xfId="14055"/>
    <cellStyle name="Normal 17 3 5 5" xfId="14056"/>
    <cellStyle name="Normal 17 3 5 5 2" xfId="14057"/>
    <cellStyle name="Normal 17 3 5 6" xfId="14058"/>
    <cellStyle name="Normal 17 3 6" xfId="14059"/>
    <cellStyle name="Normal 17 3 6 2" xfId="14060"/>
    <cellStyle name="Normal 17 3 6 2 2" xfId="14061"/>
    <cellStyle name="Normal 17 3 6 2 2 2" xfId="14062"/>
    <cellStyle name="Normal 17 3 6 2 3" xfId="14063"/>
    <cellStyle name="Normal 17 3 6 3" xfId="14064"/>
    <cellStyle name="Normal 17 3 6 3 2" xfId="14065"/>
    <cellStyle name="Normal 17 3 6 4" xfId="14066"/>
    <cellStyle name="Normal 17 3 7" xfId="14067"/>
    <cellStyle name="Normal 17 3 7 2" xfId="14068"/>
    <cellStyle name="Normal 17 3 7 2 2" xfId="14069"/>
    <cellStyle name="Normal 17 3 7 2 2 2" xfId="14070"/>
    <cellStyle name="Normal 17 3 7 2 3" xfId="14071"/>
    <cellStyle name="Normal 17 3 7 3" xfId="14072"/>
    <cellStyle name="Normal 17 3 7 3 2" xfId="14073"/>
    <cellStyle name="Normal 17 3 7 4" xfId="14074"/>
    <cellStyle name="Normal 17 3 8" xfId="14075"/>
    <cellStyle name="Normal 17 3 8 2" xfId="14076"/>
    <cellStyle name="Normal 17 3 8 2 2" xfId="14077"/>
    <cellStyle name="Normal 17 3 8 2 2 2" xfId="14078"/>
    <cellStyle name="Normal 17 3 8 2 3" xfId="14079"/>
    <cellStyle name="Normal 17 3 8 3" xfId="14080"/>
    <cellStyle name="Normal 17 3 8 3 2" xfId="14081"/>
    <cellStyle name="Normal 17 3 8 4" xfId="14082"/>
    <cellStyle name="Normal 17 3 9" xfId="14083"/>
    <cellStyle name="Normal 17 3 9 2" xfId="14084"/>
    <cellStyle name="Normal 17 3 9 2 2" xfId="14085"/>
    <cellStyle name="Normal 17 3 9 3" xfId="14086"/>
    <cellStyle name="Normal 17 4" xfId="14087"/>
    <cellStyle name="Normal 17 4 10" xfId="14088"/>
    <cellStyle name="Normal 17 4 2" xfId="14089"/>
    <cellStyle name="Normal 17 4 2 2" xfId="14090"/>
    <cellStyle name="Normal 17 4 2 2 2" xfId="14091"/>
    <cellStyle name="Normal 17 4 2 2 2 2" xfId="14092"/>
    <cellStyle name="Normal 17 4 2 2 2 2 2" xfId="14093"/>
    <cellStyle name="Normal 17 4 2 2 2 2 2 2" xfId="14094"/>
    <cellStyle name="Normal 17 4 2 2 2 2 2 2 2" xfId="14095"/>
    <cellStyle name="Normal 17 4 2 2 2 2 2 3" xfId="14096"/>
    <cellStyle name="Normal 17 4 2 2 2 2 3" xfId="14097"/>
    <cellStyle name="Normal 17 4 2 2 2 2 3 2" xfId="14098"/>
    <cellStyle name="Normal 17 4 2 2 2 2 4" xfId="14099"/>
    <cellStyle name="Normal 17 4 2 2 2 3" xfId="14100"/>
    <cellStyle name="Normal 17 4 2 2 2 3 2" xfId="14101"/>
    <cellStyle name="Normal 17 4 2 2 2 3 2 2" xfId="14102"/>
    <cellStyle name="Normal 17 4 2 2 2 3 2 2 2" xfId="14103"/>
    <cellStyle name="Normal 17 4 2 2 2 3 2 3" xfId="14104"/>
    <cellStyle name="Normal 17 4 2 2 2 3 3" xfId="14105"/>
    <cellStyle name="Normal 17 4 2 2 2 3 3 2" xfId="14106"/>
    <cellStyle name="Normal 17 4 2 2 2 3 4" xfId="14107"/>
    <cellStyle name="Normal 17 4 2 2 2 4" xfId="14108"/>
    <cellStyle name="Normal 17 4 2 2 2 4 2" xfId="14109"/>
    <cellStyle name="Normal 17 4 2 2 2 4 2 2" xfId="14110"/>
    <cellStyle name="Normal 17 4 2 2 2 4 3" xfId="14111"/>
    <cellStyle name="Normal 17 4 2 2 2 5" xfId="14112"/>
    <cellStyle name="Normal 17 4 2 2 2 5 2" xfId="14113"/>
    <cellStyle name="Normal 17 4 2 2 2 6" xfId="14114"/>
    <cellStyle name="Normal 17 4 2 2 3" xfId="14115"/>
    <cellStyle name="Normal 17 4 2 2 3 2" xfId="14116"/>
    <cellStyle name="Normal 17 4 2 2 3 2 2" xfId="14117"/>
    <cellStyle name="Normal 17 4 2 2 3 2 2 2" xfId="14118"/>
    <cellStyle name="Normal 17 4 2 2 3 2 3" xfId="14119"/>
    <cellStyle name="Normal 17 4 2 2 3 3" xfId="14120"/>
    <cellStyle name="Normal 17 4 2 2 3 3 2" xfId="14121"/>
    <cellStyle name="Normal 17 4 2 2 3 4" xfId="14122"/>
    <cellStyle name="Normal 17 4 2 2 4" xfId="14123"/>
    <cellStyle name="Normal 17 4 2 2 4 2" xfId="14124"/>
    <cellStyle name="Normal 17 4 2 2 4 2 2" xfId="14125"/>
    <cellStyle name="Normal 17 4 2 2 4 2 2 2" xfId="14126"/>
    <cellStyle name="Normal 17 4 2 2 4 2 3" xfId="14127"/>
    <cellStyle name="Normal 17 4 2 2 4 3" xfId="14128"/>
    <cellStyle name="Normal 17 4 2 2 4 3 2" xfId="14129"/>
    <cellStyle name="Normal 17 4 2 2 4 4" xfId="14130"/>
    <cellStyle name="Normal 17 4 2 2 5" xfId="14131"/>
    <cellStyle name="Normal 17 4 2 2 5 2" xfId="14132"/>
    <cellStyle name="Normal 17 4 2 2 5 2 2" xfId="14133"/>
    <cellStyle name="Normal 17 4 2 2 5 3" xfId="14134"/>
    <cellStyle name="Normal 17 4 2 2 6" xfId="14135"/>
    <cellStyle name="Normal 17 4 2 2 6 2" xfId="14136"/>
    <cellStyle name="Normal 17 4 2 2 7" xfId="14137"/>
    <cellStyle name="Normal 17 4 2 3" xfId="14138"/>
    <cellStyle name="Normal 17 4 2 3 2" xfId="14139"/>
    <cellStyle name="Normal 17 4 2 3 2 2" xfId="14140"/>
    <cellStyle name="Normal 17 4 2 3 2 2 2" xfId="14141"/>
    <cellStyle name="Normal 17 4 2 3 2 2 2 2" xfId="14142"/>
    <cellStyle name="Normal 17 4 2 3 2 2 3" xfId="14143"/>
    <cellStyle name="Normal 17 4 2 3 2 3" xfId="14144"/>
    <cellStyle name="Normal 17 4 2 3 2 3 2" xfId="14145"/>
    <cellStyle name="Normal 17 4 2 3 2 4" xfId="14146"/>
    <cellStyle name="Normal 17 4 2 3 3" xfId="14147"/>
    <cellStyle name="Normal 17 4 2 3 3 2" xfId="14148"/>
    <cellStyle name="Normal 17 4 2 3 3 2 2" xfId="14149"/>
    <cellStyle name="Normal 17 4 2 3 3 2 2 2" xfId="14150"/>
    <cellStyle name="Normal 17 4 2 3 3 2 3" xfId="14151"/>
    <cellStyle name="Normal 17 4 2 3 3 3" xfId="14152"/>
    <cellStyle name="Normal 17 4 2 3 3 3 2" xfId="14153"/>
    <cellStyle name="Normal 17 4 2 3 3 4" xfId="14154"/>
    <cellStyle name="Normal 17 4 2 3 4" xfId="14155"/>
    <cellStyle name="Normal 17 4 2 3 4 2" xfId="14156"/>
    <cellStyle name="Normal 17 4 2 3 4 2 2" xfId="14157"/>
    <cellStyle name="Normal 17 4 2 3 4 3" xfId="14158"/>
    <cellStyle name="Normal 17 4 2 3 5" xfId="14159"/>
    <cellStyle name="Normal 17 4 2 3 5 2" xfId="14160"/>
    <cellStyle name="Normal 17 4 2 3 6" xfId="14161"/>
    <cellStyle name="Normal 17 4 2 4" xfId="14162"/>
    <cellStyle name="Normal 17 4 2 4 2" xfId="14163"/>
    <cellStyle name="Normal 17 4 2 4 2 2" xfId="14164"/>
    <cellStyle name="Normal 17 4 2 4 2 2 2" xfId="14165"/>
    <cellStyle name="Normal 17 4 2 4 2 3" xfId="14166"/>
    <cellStyle name="Normal 17 4 2 4 3" xfId="14167"/>
    <cellStyle name="Normal 17 4 2 4 3 2" xfId="14168"/>
    <cellStyle name="Normal 17 4 2 4 4" xfId="14169"/>
    <cellStyle name="Normal 17 4 2 5" xfId="14170"/>
    <cellStyle name="Normal 17 4 2 5 2" xfId="14171"/>
    <cellStyle name="Normal 17 4 2 5 2 2" xfId="14172"/>
    <cellStyle name="Normal 17 4 2 5 2 2 2" xfId="14173"/>
    <cellStyle name="Normal 17 4 2 5 2 3" xfId="14174"/>
    <cellStyle name="Normal 17 4 2 5 3" xfId="14175"/>
    <cellStyle name="Normal 17 4 2 5 3 2" xfId="14176"/>
    <cellStyle name="Normal 17 4 2 5 4" xfId="14177"/>
    <cellStyle name="Normal 17 4 2 6" xfId="14178"/>
    <cellStyle name="Normal 17 4 2 6 2" xfId="14179"/>
    <cellStyle name="Normal 17 4 2 6 2 2" xfId="14180"/>
    <cellStyle name="Normal 17 4 2 6 2 2 2" xfId="14181"/>
    <cellStyle name="Normal 17 4 2 6 2 3" xfId="14182"/>
    <cellStyle name="Normal 17 4 2 6 3" xfId="14183"/>
    <cellStyle name="Normal 17 4 2 6 3 2" xfId="14184"/>
    <cellStyle name="Normal 17 4 2 6 4" xfId="14185"/>
    <cellStyle name="Normal 17 4 2 7" xfId="14186"/>
    <cellStyle name="Normal 17 4 2 7 2" xfId="14187"/>
    <cellStyle name="Normal 17 4 2 7 2 2" xfId="14188"/>
    <cellStyle name="Normal 17 4 2 7 3" xfId="14189"/>
    <cellStyle name="Normal 17 4 2 8" xfId="14190"/>
    <cellStyle name="Normal 17 4 2 8 2" xfId="14191"/>
    <cellStyle name="Normal 17 4 2 9" xfId="14192"/>
    <cellStyle name="Normal 17 4 3" xfId="14193"/>
    <cellStyle name="Normal 17 4 3 2" xfId="14194"/>
    <cellStyle name="Normal 17 4 3 2 2" xfId="14195"/>
    <cellStyle name="Normal 17 4 3 2 2 2" xfId="14196"/>
    <cellStyle name="Normal 17 4 3 2 2 2 2" xfId="14197"/>
    <cellStyle name="Normal 17 4 3 2 2 2 2 2" xfId="14198"/>
    <cellStyle name="Normal 17 4 3 2 2 2 3" xfId="14199"/>
    <cellStyle name="Normal 17 4 3 2 2 3" xfId="14200"/>
    <cellStyle name="Normal 17 4 3 2 2 3 2" xfId="14201"/>
    <cellStyle name="Normal 17 4 3 2 2 4" xfId="14202"/>
    <cellStyle name="Normal 17 4 3 2 3" xfId="14203"/>
    <cellStyle name="Normal 17 4 3 2 3 2" xfId="14204"/>
    <cellStyle name="Normal 17 4 3 2 3 2 2" xfId="14205"/>
    <cellStyle name="Normal 17 4 3 2 3 2 2 2" xfId="14206"/>
    <cellStyle name="Normal 17 4 3 2 3 2 3" xfId="14207"/>
    <cellStyle name="Normal 17 4 3 2 3 3" xfId="14208"/>
    <cellStyle name="Normal 17 4 3 2 3 3 2" xfId="14209"/>
    <cellStyle name="Normal 17 4 3 2 3 4" xfId="14210"/>
    <cellStyle name="Normal 17 4 3 2 4" xfId="14211"/>
    <cellStyle name="Normal 17 4 3 2 4 2" xfId="14212"/>
    <cellStyle name="Normal 17 4 3 2 4 2 2" xfId="14213"/>
    <cellStyle name="Normal 17 4 3 2 4 3" xfId="14214"/>
    <cellStyle name="Normal 17 4 3 2 5" xfId="14215"/>
    <cellStyle name="Normal 17 4 3 2 5 2" xfId="14216"/>
    <cellStyle name="Normal 17 4 3 2 6" xfId="14217"/>
    <cellStyle name="Normal 17 4 3 3" xfId="14218"/>
    <cellStyle name="Normal 17 4 3 3 2" xfId="14219"/>
    <cellStyle name="Normal 17 4 3 3 2 2" xfId="14220"/>
    <cellStyle name="Normal 17 4 3 3 2 2 2" xfId="14221"/>
    <cellStyle name="Normal 17 4 3 3 2 3" xfId="14222"/>
    <cellStyle name="Normal 17 4 3 3 3" xfId="14223"/>
    <cellStyle name="Normal 17 4 3 3 3 2" xfId="14224"/>
    <cellStyle name="Normal 17 4 3 3 4" xfId="14225"/>
    <cellStyle name="Normal 17 4 3 4" xfId="14226"/>
    <cellStyle name="Normal 17 4 3 4 2" xfId="14227"/>
    <cellStyle name="Normal 17 4 3 4 2 2" xfId="14228"/>
    <cellStyle name="Normal 17 4 3 4 2 2 2" xfId="14229"/>
    <cellStyle name="Normal 17 4 3 4 2 3" xfId="14230"/>
    <cellStyle name="Normal 17 4 3 4 3" xfId="14231"/>
    <cellStyle name="Normal 17 4 3 4 3 2" xfId="14232"/>
    <cellStyle name="Normal 17 4 3 4 4" xfId="14233"/>
    <cellStyle name="Normal 17 4 3 5" xfId="14234"/>
    <cellStyle name="Normal 17 4 3 5 2" xfId="14235"/>
    <cellStyle name="Normal 17 4 3 5 2 2" xfId="14236"/>
    <cellStyle name="Normal 17 4 3 5 3" xfId="14237"/>
    <cellStyle name="Normal 17 4 3 6" xfId="14238"/>
    <cellStyle name="Normal 17 4 3 6 2" xfId="14239"/>
    <cellStyle name="Normal 17 4 3 7" xfId="14240"/>
    <cellStyle name="Normal 17 4 4" xfId="14241"/>
    <cellStyle name="Normal 17 4 4 2" xfId="14242"/>
    <cellStyle name="Normal 17 4 4 2 2" xfId="14243"/>
    <cellStyle name="Normal 17 4 4 2 2 2" xfId="14244"/>
    <cellStyle name="Normal 17 4 4 2 2 2 2" xfId="14245"/>
    <cellStyle name="Normal 17 4 4 2 2 3" xfId="14246"/>
    <cellStyle name="Normal 17 4 4 2 3" xfId="14247"/>
    <cellStyle name="Normal 17 4 4 2 3 2" xfId="14248"/>
    <cellStyle name="Normal 17 4 4 2 4" xfId="14249"/>
    <cellStyle name="Normal 17 4 4 3" xfId="14250"/>
    <cellStyle name="Normal 17 4 4 3 2" xfId="14251"/>
    <cellStyle name="Normal 17 4 4 3 2 2" xfId="14252"/>
    <cellStyle name="Normal 17 4 4 3 2 2 2" xfId="14253"/>
    <cellStyle name="Normal 17 4 4 3 2 3" xfId="14254"/>
    <cellStyle name="Normal 17 4 4 3 3" xfId="14255"/>
    <cellStyle name="Normal 17 4 4 3 3 2" xfId="14256"/>
    <cellStyle name="Normal 17 4 4 3 4" xfId="14257"/>
    <cellStyle name="Normal 17 4 4 4" xfId="14258"/>
    <cellStyle name="Normal 17 4 4 4 2" xfId="14259"/>
    <cellStyle name="Normal 17 4 4 4 2 2" xfId="14260"/>
    <cellStyle name="Normal 17 4 4 4 3" xfId="14261"/>
    <cellStyle name="Normal 17 4 4 5" xfId="14262"/>
    <cellStyle name="Normal 17 4 4 5 2" xfId="14263"/>
    <cellStyle name="Normal 17 4 4 6" xfId="14264"/>
    <cellStyle name="Normal 17 4 5" xfId="14265"/>
    <cellStyle name="Normal 17 4 5 2" xfId="14266"/>
    <cellStyle name="Normal 17 4 5 2 2" xfId="14267"/>
    <cellStyle name="Normal 17 4 5 2 2 2" xfId="14268"/>
    <cellStyle name="Normal 17 4 5 2 3" xfId="14269"/>
    <cellStyle name="Normal 17 4 5 3" xfId="14270"/>
    <cellStyle name="Normal 17 4 5 3 2" xfId="14271"/>
    <cellStyle name="Normal 17 4 5 4" xfId="14272"/>
    <cellStyle name="Normal 17 4 6" xfId="14273"/>
    <cellStyle name="Normal 17 4 6 2" xfId="14274"/>
    <cellStyle name="Normal 17 4 6 2 2" xfId="14275"/>
    <cellStyle name="Normal 17 4 6 2 2 2" xfId="14276"/>
    <cellStyle name="Normal 17 4 6 2 3" xfId="14277"/>
    <cellStyle name="Normal 17 4 6 3" xfId="14278"/>
    <cellStyle name="Normal 17 4 6 3 2" xfId="14279"/>
    <cellStyle name="Normal 17 4 6 4" xfId="14280"/>
    <cellStyle name="Normal 17 4 7" xfId="14281"/>
    <cellStyle name="Normal 17 4 7 2" xfId="14282"/>
    <cellStyle name="Normal 17 4 7 2 2" xfId="14283"/>
    <cellStyle name="Normal 17 4 7 2 2 2" xfId="14284"/>
    <cellStyle name="Normal 17 4 7 2 3" xfId="14285"/>
    <cellStyle name="Normal 17 4 7 3" xfId="14286"/>
    <cellStyle name="Normal 17 4 7 3 2" xfId="14287"/>
    <cellStyle name="Normal 17 4 7 4" xfId="14288"/>
    <cellStyle name="Normal 17 4 8" xfId="14289"/>
    <cellStyle name="Normal 17 4 8 2" xfId="14290"/>
    <cellStyle name="Normal 17 4 8 2 2" xfId="14291"/>
    <cellStyle name="Normal 17 4 8 3" xfId="14292"/>
    <cellStyle name="Normal 17 4 9" xfId="14293"/>
    <cellStyle name="Normal 17 4 9 2" xfId="14294"/>
    <cellStyle name="Normal 17 5" xfId="14295"/>
    <cellStyle name="Normal 17 5 10" xfId="14296"/>
    <cellStyle name="Normal 17 5 2" xfId="14297"/>
    <cellStyle name="Normal 17 5 2 2" xfId="14298"/>
    <cellStyle name="Normal 17 5 2 2 2" xfId="14299"/>
    <cellStyle name="Normal 17 5 2 2 2 2" xfId="14300"/>
    <cellStyle name="Normal 17 5 2 2 2 2 2" xfId="14301"/>
    <cellStyle name="Normal 17 5 2 2 2 2 2 2" xfId="14302"/>
    <cellStyle name="Normal 17 5 2 2 2 2 2 2 2" xfId="14303"/>
    <cellStyle name="Normal 17 5 2 2 2 2 2 3" xfId="14304"/>
    <cellStyle name="Normal 17 5 2 2 2 2 3" xfId="14305"/>
    <cellStyle name="Normal 17 5 2 2 2 2 3 2" xfId="14306"/>
    <cellStyle name="Normal 17 5 2 2 2 2 4" xfId="14307"/>
    <cellStyle name="Normal 17 5 2 2 2 3" xfId="14308"/>
    <cellStyle name="Normal 17 5 2 2 2 3 2" xfId="14309"/>
    <cellStyle name="Normal 17 5 2 2 2 3 2 2" xfId="14310"/>
    <cellStyle name="Normal 17 5 2 2 2 3 2 2 2" xfId="14311"/>
    <cellStyle name="Normal 17 5 2 2 2 3 2 3" xfId="14312"/>
    <cellStyle name="Normal 17 5 2 2 2 3 3" xfId="14313"/>
    <cellStyle name="Normal 17 5 2 2 2 3 3 2" xfId="14314"/>
    <cellStyle name="Normal 17 5 2 2 2 3 4" xfId="14315"/>
    <cellStyle name="Normal 17 5 2 2 2 4" xfId="14316"/>
    <cellStyle name="Normal 17 5 2 2 2 4 2" xfId="14317"/>
    <cellStyle name="Normal 17 5 2 2 2 4 2 2" xfId="14318"/>
    <cellStyle name="Normal 17 5 2 2 2 4 3" xfId="14319"/>
    <cellStyle name="Normal 17 5 2 2 2 5" xfId="14320"/>
    <cellStyle name="Normal 17 5 2 2 2 5 2" xfId="14321"/>
    <cellStyle name="Normal 17 5 2 2 2 6" xfId="14322"/>
    <cellStyle name="Normal 17 5 2 2 3" xfId="14323"/>
    <cellStyle name="Normal 17 5 2 2 3 2" xfId="14324"/>
    <cellStyle name="Normal 17 5 2 2 3 2 2" xfId="14325"/>
    <cellStyle name="Normal 17 5 2 2 3 2 2 2" xfId="14326"/>
    <cellStyle name="Normal 17 5 2 2 3 2 3" xfId="14327"/>
    <cellStyle name="Normal 17 5 2 2 3 3" xfId="14328"/>
    <cellStyle name="Normal 17 5 2 2 3 3 2" xfId="14329"/>
    <cellStyle name="Normal 17 5 2 2 3 4" xfId="14330"/>
    <cellStyle name="Normal 17 5 2 2 4" xfId="14331"/>
    <cellStyle name="Normal 17 5 2 2 4 2" xfId="14332"/>
    <cellStyle name="Normal 17 5 2 2 4 2 2" xfId="14333"/>
    <cellStyle name="Normal 17 5 2 2 4 2 2 2" xfId="14334"/>
    <cellStyle name="Normal 17 5 2 2 4 2 3" xfId="14335"/>
    <cellStyle name="Normal 17 5 2 2 4 3" xfId="14336"/>
    <cellStyle name="Normal 17 5 2 2 4 3 2" xfId="14337"/>
    <cellStyle name="Normal 17 5 2 2 4 4" xfId="14338"/>
    <cellStyle name="Normal 17 5 2 2 5" xfId="14339"/>
    <cellStyle name="Normal 17 5 2 2 5 2" xfId="14340"/>
    <cellStyle name="Normal 17 5 2 2 5 2 2" xfId="14341"/>
    <cellStyle name="Normal 17 5 2 2 5 3" xfId="14342"/>
    <cellStyle name="Normal 17 5 2 2 6" xfId="14343"/>
    <cellStyle name="Normal 17 5 2 2 6 2" xfId="14344"/>
    <cellStyle name="Normal 17 5 2 2 7" xfId="14345"/>
    <cellStyle name="Normal 17 5 2 3" xfId="14346"/>
    <cellStyle name="Normal 17 5 2 3 2" xfId="14347"/>
    <cellStyle name="Normal 17 5 2 3 2 2" xfId="14348"/>
    <cellStyle name="Normal 17 5 2 3 2 2 2" xfId="14349"/>
    <cellStyle name="Normal 17 5 2 3 2 2 2 2" xfId="14350"/>
    <cellStyle name="Normal 17 5 2 3 2 2 3" xfId="14351"/>
    <cellStyle name="Normal 17 5 2 3 2 3" xfId="14352"/>
    <cellStyle name="Normal 17 5 2 3 2 3 2" xfId="14353"/>
    <cellStyle name="Normal 17 5 2 3 2 4" xfId="14354"/>
    <cellStyle name="Normal 17 5 2 3 3" xfId="14355"/>
    <cellStyle name="Normal 17 5 2 3 3 2" xfId="14356"/>
    <cellStyle name="Normal 17 5 2 3 3 2 2" xfId="14357"/>
    <cellStyle name="Normal 17 5 2 3 3 2 2 2" xfId="14358"/>
    <cellStyle name="Normal 17 5 2 3 3 2 3" xfId="14359"/>
    <cellStyle name="Normal 17 5 2 3 3 3" xfId="14360"/>
    <cellStyle name="Normal 17 5 2 3 3 3 2" xfId="14361"/>
    <cellStyle name="Normal 17 5 2 3 3 4" xfId="14362"/>
    <cellStyle name="Normal 17 5 2 3 4" xfId="14363"/>
    <cellStyle name="Normal 17 5 2 3 4 2" xfId="14364"/>
    <cellStyle name="Normal 17 5 2 3 4 2 2" xfId="14365"/>
    <cellStyle name="Normal 17 5 2 3 4 3" xfId="14366"/>
    <cellStyle name="Normal 17 5 2 3 5" xfId="14367"/>
    <cellStyle name="Normal 17 5 2 3 5 2" xfId="14368"/>
    <cellStyle name="Normal 17 5 2 3 6" xfId="14369"/>
    <cellStyle name="Normal 17 5 2 4" xfId="14370"/>
    <cellStyle name="Normal 17 5 2 4 2" xfId="14371"/>
    <cellStyle name="Normal 17 5 2 4 2 2" xfId="14372"/>
    <cellStyle name="Normal 17 5 2 4 2 2 2" xfId="14373"/>
    <cellStyle name="Normal 17 5 2 4 2 3" xfId="14374"/>
    <cellStyle name="Normal 17 5 2 4 3" xfId="14375"/>
    <cellStyle name="Normal 17 5 2 4 3 2" xfId="14376"/>
    <cellStyle name="Normal 17 5 2 4 4" xfId="14377"/>
    <cellStyle name="Normal 17 5 2 5" xfId="14378"/>
    <cellStyle name="Normal 17 5 2 5 2" xfId="14379"/>
    <cellStyle name="Normal 17 5 2 5 2 2" xfId="14380"/>
    <cellStyle name="Normal 17 5 2 5 2 2 2" xfId="14381"/>
    <cellStyle name="Normal 17 5 2 5 2 3" xfId="14382"/>
    <cellStyle name="Normal 17 5 2 5 3" xfId="14383"/>
    <cellStyle name="Normal 17 5 2 5 3 2" xfId="14384"/>
    <cellStyle name="Normal 17 5 2 5 4" xfId="14385"/>
    <cellStyle name="Normal 17 5 2 6" xfId="14386"/>
    <cellStyle name="Normal 17 5 2 6 2" xfId="14387"/>
    <cellStyle name="Normal 17 5 2 6 2 2" xfId="14388"/>
    <cellStyle name="Normal 17 5 2 6 2 2 2" xfId="14389"/>
    <cellStyle name="Normal 17 5 2 6 2 3" xfId="14390"/>
    <cellStyle name="Normal 17 5 2 6 3" xfId="14391"/>
    <cellStyle name="Normal 17 5 2 6 3 2" xfId="14392"/>
    <cellStyle name="Normal 17 5 2 6 4" xfId="14393"/>
    <cellStyle name="Normal 17 5 2 7" xfId="14394"/>
    <cellStyle name="Normal 17 5 2 7 2" xfId="14395"/>
    <cellStyle name="Normal 17 5 2 7 2 2" xfId="14396"/>
    <cellStyle name="Normal 17 5 2 7 3" xfId="14397"/>
    <cellStyle name="Normal 17 5 2 8" xfId="14398"/>
    <cellStyle name="Normal 17 5 2 8 2" xfId="14399"/>
    <cellStyle name="Normal 17 5 2 9" xfId="14400"/>
    <cellStyle name="Normal 17 5 3" xfId="14401"/>
    <cellStyle name="Normal 17 5 3 2" xfId="14402"/>
    <cellStyle name="Normal 17 5 3 2 2" xfId="14403"/>
    <cellStyle name="Normal 17 5 3 2 2 2" xfId="14404"/>
    <cellStyle name="Normal 17 5 3 2 2 2 2" xfId="14405"/>
    <cellStyle name="Normal 17 5 3 2 2 2 2 2" xfId="14406"/>
    <cellStyle name="Normal 17 5 3 2 2 2 3" xfId="14407"/>
    <cellStyle name="Normal 17 5 3 2 2 3" xfId="14408"/>
    <cellStyle name="Normal 17 5 3 2 2 3 2" xfId="14409"/>
    <cellStyle name="Normal 17 5 3 2 2 4" xfId="14410"/>
    <cellStyle name="Normal 17 5 3 2 3" xfId="14411"/>
    <cellStyle name="Normal 17 5 3 2 3 2" xfId="14412"/>
    <cellStyle name="Normal 17 5 3 2 3 2 2" xfId="14413"/>
    <cellStyle name="Normal 17 5 3 2 3 2 2 2" xfId="14414"/>
    <cellStyle name="Normal 17 5 3 2 3 2 3" xfId="14415"/>
    <cellStyle name="Normal 17 5 3 2 3 3" xfId="14416"/>
    <cellStyle name="Normal 17 5 3 2 3 3 2" xfId="14417"/>
    <cellStyle name="Normal 17 5 3 2 3 4" xfId="14418"/>
    <cellStyle name="Normal 17 5 3 2 4" xfId="14419"/>
    <cellStyle name="Normal 17 5 3 2 4 2" xfId="14420"/>
    <cellStyle name="Normal 17 5 3 2 4 2 2" xfId="14421"/>
    <cellStyle name="Normal 17 5 3 2 4 3" xfId="14422"/>
    <cellStyle name="Normal 17 5 3 2 5" xfId="14423"/>
    <cellStyle name="Normal 17 5 3 2 5 2" xfId="14424"/>
    <cellStyle name="Normal 17 5 3 2 6" xfId="14425"/>
    <cellStyle name="Normal 17 5 3 3" xfId="14426"/>
    <cellStyle name="Normal 17 5 3 3 2" xfId="14427"/>
    <cellStyle name="Normal 17 5 3 3 2 2" xfId="14428"/>
    <cellStyle name="Normal 17 5 3 3 2 2 2" xfId="14429"/>
    <cellStyle name="Normal 17 5 3 3 2 3" xfId="14430"/>
    <cellStyle name="Normal 17 5 3 3 3" xfId="14431"/>
    <cellStyle name="Normal 17 5 3 3 3 2" xfId="14432"/>
    <cellStyle name="Normal 17 5 3 3 4" xfId="14433"/>
    <cellStyle name="Normal 17 5 3 4" xfId="14434"/>
    <cellStyle name="Normal 17 5 3 4 2" xfId="14435"/>
    <cellStyle name="Normal 17 5 3 4 2 2" xfId="14436"/>
    <cellStyle name="Normal 17 5 3 4 2 2 2" xfId="14437"/>
    <cellStyle name="Normal 17 5 3 4 2 3" xfId="14438"/>
    <cellStyle name="Normal 17 5 3 4 3" xfId="14439"/>
    <cellStyle name="Normal 17 5 3 4 3 2" xfId="14440"/>
    <cellStyle name="Normal 17 5 3 4 4" xfId="14441"/>
    <cellStyle name="Normal 17 5 3 5" xfId="14442"/>
    <cellStyle name="Normal 17 5 3 5 2" xfId="14443"/>
    <cellStyle name="Normal 17 5 3 5 2 2" xfId="14444"/>
    <cellStyle name="Normal 17 5 3 5 3" xfId="14445"/>
    <cellStyle name="Normal 17 5 3 6" xfId="14446"/>
    <cellStyle name="Normal 17 5 3 6 2" xfId="14447"/>
    <cellStyle name="Normal 17 5 3 7" xfId="14448"/>
    <cellStyle name="Normal 17 5 4" xfId="14449"/>
    <cellStyle name="Normal 17 5 4 2" xfId="14450"/>
    <cellStyle name="Normal 17 5 4 2 2" xfId="14451"/>
    <cellStyle name="Normal 17 5 4 2 2 2" xfId="14452"/>
    <cellStyle name="Normal 17 5 4 2 2 2 2" xfId="14453"/>
    <cellStyle name="Normal 17 5 4 2 2 3" xfId="14454"/>
    <cellStyle name="Normal 17 5 4 2 3" xfId="14455"/>
    <cellStyle name="Normal 17 5 4 2 3 2" xfId="14456"/>
    <cellStyle name="Normal 17 5 4 2 4" xfId="14457"/>
    <cellStyle name="Normal 17 5 4 3" xfId="14458"/>
    <cellStyle name="Normal 17 5 4 3 2" xfId="14459"/>
    <cellStyle name="Normal 17 5 4 3 2 2" xfId="14460"/>
    <cellStyle name="Normal 17 5 4 3 2 2 2" xfId="14461"/>
    <cellStyle name="Normal 17 5 4 3 2 3" xfId="14462"/>
    <cellStyle name="Normal 17 5 4 3 3" xfId="14463"/>
    <cellStyle name="Normal 17 5 4 3 3 2" xfId="14464"/>
    <cellStyle name="Normal 17 5 4 3 4" xfId="14465"/>
    <cellStyle name="Normal 17 5 4 4" xfId="14466"/>
    <cellStyle name="Normal 17 5 4 4 2" xfId="14467"/>
    <cellStyle name="Normal 17 5 4 4 2 2" xfId="14468"/>
    <cellStyle name="Normal 17 5 4 4 3" xfId="14469"/>
    <cellStyle name="Normal 17 5 4 5" xfId="14470"/>
    <cellStyle name="Normal 17 5 4 5 2" xfId="14471"/>
    <cellStyle name="Normal 17 5 4 6" xfId="14472"/>
    <cellStyle name="Normal 17 5 5" xfId="14473"/>
    <cellStyle name="Normal 17 5 5 2" xfId="14474"/>
    <cellStyle name="Normal 17 5 5 2 2" xfId="14475"/>
    <cellStyle name="Normal 17 5 5 2 2 2" xfId="14476"/>
    <cellStyle name="Normal 17 5 5 2 3" xfId="14477"/>
    <cellStyle name="Normal 17 5 5 3" xfId="14478"/>
    <cellStyle name="Normal 17 5 5 3 2" xfId="14479"/>
    <cellStyle name="Normal 17 5 5 4" xfId="14480"/>
    <cellStyle name="Normal 17 5 6" xfId="14481"/>
    <cellStyle name="Normal 17 5 6 2" xfId="14482"/>
    <cellStyle name="Normal 17 5 6 2 2" xfId="14483"/>
    <cellStyle name="Normal 17 5 6 2 2 2" xfId="14484"/>
    <cellStyle name="Normal 17 5 6 2 3" xfId="14485"/>
    <cellStyle name="Normal 17 5 6 3" xfId="14486"/>
    <cellStyle name="Normal 17 5 6 3 2" xfId="14487"/>
    <cellStyle name="Normal 17 5 6 4" xfId="14488"/>
    <cellStyle name="Normal 17 5 7" xfId="14489"/>
    <cellStyle name="Normal 17 5 7 2" xfId="14490"/>
    <cellStyle name="Normal 17 5 7 2 2" xfId="14491"/>
    <cellStyle name="Normal 17 5 7 2 2 2" xfId="14492"/>
    <cellStyle name="Normal 17 5 7 2 3" xfId="14493"/>
    <cellStyle name="Normal 17 5 7 3" xfId="14494"/>
    <cellStyle name="Normal 17 5 7 3 2" xfId="14495"/>
    <cellStyle name="Normal 17 5 7 4" xfId="14496"/>
    <cellStyle name="Normal 17 5 8" xfId="14497"/>
    <cellStyle name="Normal 17 5 8 2" xfId="14498"/>
    <cellStyle name="Normal 17 5 8 2 2" xfId="14499"/>
    <cellStyle name="Normal 17 5 8 3" xfId="14500"/>
    <cellStyle name="Normal 17 5 9" xfId="14501"/>
    <cellStyle name="Normal 17 5 9 2" xfId="14502"/>
    <cellStyle name="Normal 17 6" xfId="14503"/>
    <cellStyle name="Normal 17 6 2" xfId="14504"/>
    <cellStyle name="Normal 17 6 2 2" xfId="14505"/>
    <cellStyle name="Normal 17 6 2 2 2" xfId="14506"/>
    <cellStyle name="Normal 17 6 2 2 2 2" xfId="14507"/>
    <cellStyle name="Normal 17 6 2 2 2 2 2" xfId="14508"/>
    <cellStyle name="Normal 17 6 2 2 2 2 2 2" xfId="14509"/>
    <cellStyle name="Normal 17 6 2 2 2 2 3" xfId="14510"/>
    <cellStyle name="Normal 17 6 2 2 2 3" xfId="14511"/>
    <cellStyle name="Normal 17 6 2 2 2 3 2" xfId="14512"/>
    <cellStyle name="Normal 17 6 2 2 2 4" xfId="14513"/>
    <cellStyle name="Normal 17 6 2 2 3" xfId="14514"/>
    <cellStyle name="Normal 17 6 2 2 3 2" xfId="14515"/>
    <cellStyle name="Normal 17 6 2 2 3 2 2" xfId="14516"/>
    <cellStyle name="Normal 17 6 2 2 3 2 2 2" xfId="14517"/>
    <cellStyle name="Normal 17 6 2 2 3 2 3" xfId="14518"/>
    <cellStyle name="Normal 17 6 2 2 3 3" xfId="14519"/>
    <cellStyle name="Normal 17 6 2 2 3 3 2" xfId="14520"/>
    <cellStyle name="Normal 17 6 2 2 3 4" xfId="14521"/>
    <cellStyle name="Normal 17 6 2 2 4" xfId="14522"/>
    <cellStyle name="Normal 17 6 2 2 4 2" xfId="14523"/>
    <cellStyle name="Normal 17 6 2 2 4 2 2" xfId="14524"/>
    <cellStyle name="Normal 17 6 2 2 4 3" xfId="14525"/>
    <cellStyle name="Normal 17 6 2 2 5" xfId="14526"/>
    <cellStyle name="Normal 17 6 2 2 5 2" xfId="14527"/>
    <cellStyle name="Normal 17 6 2 2 6" xfId="14528"/>
    <cellStyle name="Normal 17 6 2 3" xfId="14529"/>
    <cellStyle name="Normal 17 6 2 3 2" xfId="14530"/>
    <cellStyle name="Normal 17 6 2 3 2 2" xfId="14531"/>
    <cellStyle name="Normal 17 6 2 3 2 2 2" xfId="14532"/>
    <cellStyle name="Normal 17 6 2 3 2 3" xfId="14533"/>
    <cellStyle name="Normal 17 6 2 3 3" xfId="14534"/>
    <cellStyle name="Normal 17 6 2 3 3 2" xfId="14535"/>
    <cellStyle name="Normal 17 6 2 3 4" xfId="14536"/>
    <cellStyle name="Normal 17 6 2 4" xfId="14537"/>
    <cellStyle name="Normal 17 6 2 4 2" xfId="14538"/>
    <cellStyle name="Normal 17 6 2 4 2 2" xfId="14539"/>
    <cellStyle name="Normal 17 6 2 4 2 2 2" xfId="14540"/>
    <cellStyle name="Normal 17 6 2 4 2 3" xfId="14541"/>
    <cellStyle name="Normal 17 6 2 4 3" xfId="14542"/>
    <cellStyle name="Normal 17 6 2 4 3 2" xfId="14543"/>
    <cellStyle name="Normal 17 6 2 4 4" xfId="14544"/>
    <cellStyle name="Normal 17 6 2 5" xfId="14545"/>
    <cellStyle name="Normal 17 6 2 5 2" xfId="14546"/>
    <cellStyle name="Normal 17 6 2 5 2 2" xfId="14547"/>
    <cellStyle name="Normal 17 6 2 5 3" xfId="14548"/>
    <cellStyle name="Normal 17 6 2 6" xfId="14549"/>
    <cellStyle name="Normal 17 6 2 6 2" xfId="14550"/>
    <cellStyle name="Normal 17 6 2 7" xfId="14551"/>
    <cellStyle name="Normal 17 6 3" xfId="14552"/>
    <cellStyle name="Normal 17 6 3 2" xfId="14553"/>
    <cellStyle name="Normal 17 6 3 2 2" xfId="14554"/>
    <cellStyle name="Normal 17 6 3 2 2 2" xfId="14555"/>
    <cellStyle name="Normal 17 6 3 2 2 2 2" xfId="14556"/>
    <cellStyle name="Normal 17 6 3 2 2 3" xfId="14557"/>
    <cellStyle name="Normal 17 6 3 2 3" xfId="14558"/>
    <cellStyle name="Normal 17 6 3 2 3 2" xfId="14559"/>
    <cellStyle name="Normal 17 6 3 2 4" xfId="14560"/>
    <cellStyle name="Normal 17 6 3 3" xfId="14561"/>
    <cellStyle name="Normal 17 6 3 3 2" xfId="14562"/>
    <cellStyle name="Normal 17 6 3 3 2 2" xfId="14563"/>
    <cellStyle name="Normal 17 6 3 3 2 2 2" xfId="14564"/>
    <cellStyle name="Normal 17 6 3 3 2 3" xfId="14565"/>
    <cellStyle name="Normal 17 6 3 3 3" xfId="14566"/>
    <cellStyle name="Normal 17 6 3 3 3 2" xfId="14567"/>
    <cellStyle name="Normal 17 6 3 3 4" xfId="14568"/>
    <cellStyle name="Normal 17 6 3 4" xfId="14569"/>
    <cellStyle name="Normal 17 6 3 4 2" xfId="14570"/>
    <cellStyle name="Normal 17 6 3 4 2 2" xfId="14571"/>
    <cellStyle name="Normal 17 6 3 4 3" xfId="14572"/>
    <cellStyle name="Normal 17 6 3 5" xfId="14573"/>
    <cellStyle name="Normal 17 6 3 5 2" xfId="14574"/>
    <cellStyle name="Normal 17 6 3 6" xfId="14575"/>
    <cellStyle name="Normal 17 6 4" xfId="14576"/>
    <cellStyle name="Normal 17 6 4 2" xfId="14577"/>
    <cellStyle name="Normal 17 6 4 2 2" xfId="14578"/>
    <cellStyle name="Normal 17 6 4 2 2 2" xfId="14579"/>
    <cellStyle name="Normal 17 6 4 2 3" xfId="14580"/>
    <cellStyle name="Normal 17 6 4 3" xfId="14581"/>
    <cellStyle name="Normal 17 6 4 3 2" xfId="14582"/>
    <cellStyle name="Normal 17 6 4 4" xfId="14583"/>
    <cellStyle name="Normal 17 6 5" xfId="14584"/>
    <cellStyle name="Normal 17 6 5 2" xfId="14585"/>
    <cellStyle name="Normal 17 6 5 2 2" xfId="14586"/>
    <cellStyle name="Normal 17 6 5 2 2 2" xfId="14587"/>
    <cellStyle name="Normal 17 6 5 2 3" xfId="14588"/>
    <cellStyle name="Normal 17 6 5 3" xfId="14589"/>
    <cellStyle name="Normal 17 6 5 3 2" xfId="14590"/>
    <cellStyle name="Normal 17 6 5 4" xfId="14591"/>
    <cellStyle name="Normal 17 6 6" xfId="14592"/>
    <cellStyle name="Normal 17 6 6 2" xfId="14593"/>
    <cellStyle name="Normal 17 6 6 2 2" xfId="14594"/>
    <cellStyle name="Normal 17 6 6 2 2 2" xfId="14595"/>
    <cellStyle name="Normal 17 6 6 2 3" xfId="14596"/>
    <cellStyle name="Normal 17 6 6 3" xfId="14597"/>
    <cellStyle name="Normal 17 6 6 3 2" xfId="14598"/>
    <cellStyle name="Normal 17 6 6 4" xfId="14599"/>
    <cellStyle name="Normal 17 6 7" xfId="14600"/>
    <cellStyle name="Normal 17 6 7 2" xfId="14601"/>
    <cellStyle name="Normal 17 6 7 2 2" xfId="14602"/>
    <cellStyle name="Normal 17 6 7 3" xfId="14603"/>
    <cellStyle name="Normal 17 6 8" xfId="14604"/>
    <cellStyle name="Normal 17 6 8 2" xfId="14605"/>
    <cellStyle name="Normal 17 6 9" xfId="14606"/>
    <cellStyle name="Normal 17 7" xfId="14607"/>
    <cellStyle name="Normal 17 7 2" xfId="14608"/>
    <cellStyle name="Normal 17 7 2 2" xfId="14609"/>
    <cellStyle name="Normal 17 7 2 2 2" xfId="14610"/>
    <cellStyle name="Normal 17 7 2 2 2 2" xfId="14611"/>
    <cellStyle name="Normal 17 7 2 2 2 2 2" xfId="14612"/>
    <cellStyle name="Normal 17 7 2 2 2 3" xfId="14613"/>
    <cellStyle name="Normal 17 7 2 2 3" xfId="14614"/>
    <cellStyle name="Normal 17 7 2 2 3 2" xfId="14615"/>
    <cellStyle name="Normal 17 7 2 2 4" xfId="14616"/>
    <cellStyle name="Normal 17 7 2 3" xfId="14617"/>
    <cellStyle name="Normal 17 7 2 3 2" xfId="14618"/>
    <cellStyle name="Normal 17 7 2 3 2 2" xfId="14619"/>
    <cellStyle name="Normal 17 7 2 3 2 2 2" xfId="14620"/>
    <cellStyle name="Normal 17 7 2 3 2 3" xfId="14621"/>
    <cellStyle name="Normal 17 7 2 3 3" xfId="14622"/>
    <cellStyle name="Normal 17 7 2 3 3 2" xfId="14623"/>
    <cellStyle name="Normal 17 7 2 3 4" xfId="14624"/>
    <cellStyle name="Normal 17 7 2 4" xfId="14625"/>
    <cellStyle name="Normal 17 7 2 4 2" xfId="14626"/>
    <cellStyle name="Normal 17 7 2 4 2 2" xfId="14627"/>
    <cellStyle name="Normal 17 7 2 4 3" xfId="14628"/>
    <cellStyle name="Normal 17 7 2 5" xfId="14629"/>
    <cellStyle name="Normal 17 7 2 5 2" xfId="14630"/>
    <cellStyle name="Normal 17 7 2 6" xfId="14631"/>
    <cellStyle name="Normal 17 7 3" xfId="14632"/>
    <cellStyle name="Normal 17 7 3 2" xfId="14633"/>
    <cellStyle name="Normal 17 7 3 2 2" xfId="14634"/>
    <cellStyle name="Normal 17 7 3 2 2 2" xfId="14635"/>
    <cellStyle name="Normal 17 7 3 2 3" xfId="14636"/>
    <cellStyle name="Normal 17 7 3 3" xfId="14637"/>
    <cellStyle name="Normal 17 7 3 3 2" xfId="14638"/>
    <cellStyle name="Normal 17 7 3 4" xfId="14639"/>
    <cellStyle name="Normal 17 7 4" xfId="14640"/>
    <cellStyle name="Normal 17 7 4 2" xfId="14641"/>
    <cellStyle name="Normal 17 7 4 2 2" xfId="14642"/>
    <cellStyle name="Normal 17 7 4 2 2 2" xfId="14643"/>
    <cellStyle name="Normal 17 7 4 2 3" xfId="14644"/>
    <cellStyle name="Normal 17 7 4 3" xfId="14645"/>
    <cellStyle name="Normal 17 7 4 3 2" xfId="14646"/>
    <cellStyle name="Normal 17 7 4 4" xfId="14647"/>
    <cellStyle name="Normal 17 7 5" xfId="14648"/>
    <cellStyle name="Normal 17 7 5 2" xfId="14649"/>
    <cellStyle name="Normal 17 7 5 2 2" xfId="14650"/>
    <cellStyle name="Normal 17 7 5 3" xfId="14651"/>
    <cellStyle name="Normal 17 7 6" xfId="14652"/>
    <cellStyle name="Normal 17 7 6 2" xfId="14653"/>
    <cellStyle name="Normal 17 7 7" xfId="14654"/>
    <cellStyle name="Normal 17 8" xfId="14655"/>
    <cellStyle name="Normal 17 8 2" xfId="14656"/>
    <cellStyle name="Normal 17 8 2 2" xfId="14657"/>
    <cellStyle name="Normal 17 8 2 2 2" xfId="14658"/>
    <cellStyle name="Normal 17 8 2 2 2 2" xfId="14659"/>
    <cellStyle name="Normal 17 8 2 2 3" xfId="14660"/>
    <cellStyle name="Normal 17 8 2 3" xfId="14661"/>
    <cellStyle name="Normal 17 8 2 3 2" xfId="14662"/>
    <cellStyle name="Normal 17 8 2 4" xfId="14663"/>
    <cellStyle name="Normal 17 8 3" xfId="14664"/>
    <cellStyle name="Normal 17 8 3 2" xfId="14665"/>
    <cellStyle name="Normal 17 8 3 2 2" xfId="14666"/>
    <cellStyle name="Normal 17 8 3 2 2 2" xfId="14667"/>
    <cellStyle name="Normal 17 8 3 2 3" xfId="14668"/>
    <cellStyle name="Normal 17 8 3 3" xfId="14669"/>
    <cellStyle name="Normal 17 8 3 3 2" xfId="14670"/>
    <cellStyle name="Normal 17 8 3 4" xfId="14671"/>
    <cellStyle name="Normal 17 8 4" xfId="14672"/>
    <cellStyle name="Normal 17 8 4 2" xfId="14673"/>
    <cellStyle name="Normal 17 8 4 2 2" xfId="14674"/>
    <cellStyle name="Normal 17 8 4 3" xfId="14675"/>
    <cellStyle name="Normal 17 8 5" xfId="14676"/>
    <cellStyle name="Normal 17 8 5 2" xfId="14677"/>
    <cellStyle name="Normal 17 8 6" xfId="14678"/>
    <cellStyle name="Normal 17 9" xfId="14679"/>
    <cellStyle name="Normal 17 9 2" xfId="14680"/>
    <cellStyle name="Normal 17 9 2 2" xfId="14681"/>
    <cellStyle name="Normal 17 9 2 2 2" xfId="14682"/>
    <cellStyle name="Normal 17 9 2 3" xfId="14683"/>
    <cellStyle name="Normal 17 9 3" xfId="14684"/>
    <cellStyle name="Normal 17 9 3 2" xfId="14685"/>
    <cellStyle name="Normal 17 9 4" xfId="14686"/>
    <cellStyle name="Normal 18" xfId="14687"/>
    <cellStyle name="Normal 18 10" xfId="14688"/>
    <cellStyle name="Normal 18 10 2" xfId="14689"/>
    <cellStyle name="Normal 18 10 2 2" xfId="14690"/>
    <cellStyle name="Normal 18 10 2 2 2" xfId="14691"/>
    <cellStyle name="Normal 18 10 2 3" xfId="14692"/>
    <cellStyle name="Normal 18 10 3" xfId="14693"/>
    <cellStyle name="Normal 18 10 3 2" xfId="14694"/>
    <cellStyle name="Normal 18 10 4" xfId="14695"/>
    <cellStyle name="Normal 18 11" xfId="14696"/>
    <cellStyle name="Normal 18 11 2" xfId="14697"/>
    <cellStyle name="Normal 18 11 2 2" xfId="14698"/>
    <cellStyle name="Normal 18 11 2 2 2" xfId="14699"/>
    <cellStyle name="Normal 18 11 2 3" xfId="14700"/>
    <cellStyle name="Normal 18 11 3" xfId="14701"/>
    <cellStyle name="Normal 18 11 3 2" xfId="14702"/>
    <cellStyle name="Normal 18 11 4" xfId="14703"/>
    <cellStyle name="Normal 18 12" xfId="14704"/>
    <cellStyle name="Normal 18 12 2" xfId="14705"/>
    <cellStyle name="Normal 18 12 2 2" xfId="14706"/>
    <cellStyle name="Normal 18 12 3" xfId="14707"/>
    <cellStyle name="Normal 18 13" xfId="14708"/>
    <cellStyle name="Normal 18 13 2" xfId="14709"/>
    <cellStyle name="Normal 18 14" xfId="14710"/>
    <cellStyle name="Normal 18 2" xfId="14711"/>
    <cellStyle name="Normal 18 2 10" xfId="14712"/>
    <cellStyle name="Normal 18 2 10 2" xfId="14713"/>
    <cellStyle name="Normal 18 2 10 2 2" xfId="14714"/>
    <cellStyle name="Normal 18 2 10 2 2 2" xfId="14715"/>
    <cellStyle name="Normal 18 2 10 2 3" xfId="14716"/>
    <cellStyle name="Normal 18 2 10 3" xfId="14717"/>
    <cellStyle name="Normal 18 2 10 3 2" xfId="14718"/>
    <cellStyle name="Normal 18 2 10 4" xfId="14719"/>
    <cellStyle name="Normal 18 2 11" xfId="14720"/>
    <cellStyle name="Normal 18 2 11 2" xfId="14721"/>
    <cellStyle name="Normal 18 2 11 2 2" xfId="14722"/>
    <cellStyle name="Normal 18 2 11 3" xfId="14723"/>
    <cellStyle name="Normal 18 2 12" xfId="14724"/>
    <cellStyle name="Normal 18 2 12 2" xfId="14725"/>
    <cellStyle name="Normal 18 2 13" xfId="14726"/>
    <cellStyle name="Normal 18 2 2" xfId="14727"/>
    <cellStyle name="Normal 18 2 2 10" xfId="14728"/>
    <cellStyle name="Normal 18 2 2 10 2" xfId="14729"/>
    <cellStyle name="Normal 18 2 2 11" xfId="14730"/>
    <cellStyle name="Normal 18 2 2 2" xfId="14731"/>
    <cellStyle name="Normal 18 2 2 2 10" xfId="14732"/>
    <cellStyle name="Normal 18 2 2 2 2" xfId="14733"/>
    <cellStyle name="Normal 18 2 2 2 2 2" xfId="14734"/>
    <cellStyle name="Normal 18 2 2 2 2 2 2" xfId="14735"/>
    <cellStyle name="Normal 18 2 2 2 2 2 2 2" xfId="14736"/>
    <cellStyle name="Normal 18 2 2 2 2 2 2 2 2" xfId="14737"/>
    <cellStyle name="Normal 18 2 2 2 2 2 2 2 2 2" xfId="14738"/>
    <cellStyle name="Normal 18 2 2 2 2 2 2 2 2 2 2" xfId="14739"/>
    <cellStyle name="Normal 18 2 2 2 2 2 2 2 2 3" xfId="14740"/>
    <cellStyle name="Normal 18 2 2 2 2 2 2 2 3" xfId="14741"/>
    <cellStyle name="Normal 18 2 2 2 2 2 2 2 3 2" xfId="14742"/>
    <cellStyle name="Normal 18 2 2 2 2 2 2 2 4" xfId="14743"/>
    <cellStyle name="Normal 18 2 2 2 2 2 2 3" xfId="14744"/>
    <cellStyle name="Normal 18 2 2 2 2 2 2 3 2" xfId="14745"/>
    <cellStyle name="Normal 18 2 2 2 2 2 2 3 2 2" xfId="14746"/>
    <cellStyle name="Normal 18 2 2 2 2 2 2 3 2 2 2" xfId="14747"/>
    <cellStyle name="Normal 18 2 2 2 2 2 2 3 2 3" xfId="14748"/>
    <cellStyle name="Normal 18 2 2 2 2 2 2 3 3" xfId="14749"/>
    <cellStyle name="Normal 18 2 2 2 2 2 2 3 3 2" xfId="14750"/>
    <cellStyle name="Normal 18 2 2 2 2 2 2 3 4" xfId="14751"/>
    <cellStyle name="Normal 18 2 2 2 2 2 2 4" xfId="14752"/>
    <cellStyle name="Normal 18 2 2 2 2 2 2 4 2" xfId="14753"/>
    <cellStyle name="Normal 18 2 2 2 2 2 2 4 2 2" xfId="14754"/>
    <cellStyle name="Normal 18 2 2 2 2 2 2 4 3" xfId="14755"/>
    <cellStyle name="Normal 18 2 2 2 2 2 2 5" xfId="14756"/>
    <cellStyle name="Normal 18 2 2 2 2 2 2 5 2" xfId="14757"/>
    <cellStyle name="Normal 18 2 2 2 2 2 2 6" xfId="14758"/>
    <cellStyle name="Normal 18 2 2 2 2 2 3" xfId="14759"/>
    <cellStyle name="Normal 18 2 2 2 2 2 3 2" xfId="14760"/>
    <cellStyle name="Normal 18 2 2 2 2 2 3 2 2" xfId="14761"/>
    <cellStyle name="Normal 18 2 2 2 2 2 3 2 2 2" xfId="14762"/>
    <cellStyle name="Normal 18 2 2 2 2 2 3 2 3" xfId="14763"/>
    <cellStyle name="Normal 18 2 2 2 2 2 3 3" xfId="14764"/>
    <cellStyle name="Normal 18 2 2 2 2 2 3 3 2" xfId="14765"/>
    <cellStyle name="Normal 18 2 2 2 2 2 3 4" xfId="14766"/>
    <cellStyle name="Normal 18 2 2 2 2 2 4" xfId="14767"/>
    <cellStyle name="Normal 18 2 2 2 2 2 4 2" xfId="14768"/>
    <cellStyle name="Normal 18 2 2 2 2 2 4 2 2" xfId="14769"/>
    <cellStyle name="Normal 18 2 2 2 2 2 4 2 2 2" xfId="14770"/>
    <cellStyle name="Normal 18 2 2 2 2 2 4 2 3" xfId="14771"/>
    <cellStyle name="Normal 18 2 2 2 2 2 4 3" xfId="14772"/>
    <cellStyle name="Normal 18 2 2 2 2 2 4 3 2" xfId="14773"/>
    <cellStyle name="Normal 18 2 2 2 2 2 4 4" xfId="14774"/>
    <cellStyle name="Normal 18 2 2 2 2 2 5" xfId="14775"/>
    <cellStyle name="Normal 18 2 2 2 2 2 5 2" xfId="14776"/>
    <cellStyle name="Normal 18 2 2 2 2 2 5 2 2" xfId="14777"/>
    <cellStyle name="Normal 18 2 2 2 2 2 5 3" xfId="14778"/>
    <cellStyle name="Normal 18 2 2 2 2 2 6" xfId="14779"/>
    <cellStyle name="Normal 18 2 2 2 2 2 6 2" xfId="14780"/>
    <cellStyle name="Normal 18 2 2 2 2 2 7" xfId="14781"/>
    <cellStyle name="Normal 18 2 2 2 2 3" xfId="14782"/>
    <cellStyle name="Normal 18 2 2 2 2 3 2" xfId="14783"/>
    <cellStyle name="Normal 18 2 2 2 2 3 2 2" xfId="14784"/>
    <cellStyle name="Normal 18 2 2 2 2 3 2 2 2" xfId="14785"/>
    <cellStyle name="Normal 18 2 2 2 2 3 2 2 2 2" xfId="14786"/>
    <cellStyle name="Normal 18 2 2 2 2 3 2 2 3" xfId="14787"/>
    <cellStyle name="Normal 18 2 2 2 2 3 2 3" xfId="14788"/>
    <cellStyle name="Normal 18 2 2 2 2 3 2 3 2" xfId="14789"/>
    <cellStyle name="Normal 18 2 2 2 2 3 2 4" xfId="14790"/>
    <cellStyle name="Normal 18 2 2 2 2 3 3" xfId="14791"/>
    <cellStyle name="Normal 18 2 2 2 2 3 3 2" xfId="14792"/>
    <cellStyle name="Normal 18 2 2 2 2 3 3 2 2" xfId="14793"/>
    <cellStyle name="Normal 18 2 2 2 2 3 3 2 2 2" xfId="14794"/>
    <cellStyle name="Normal 18 2 2 2 2 3 3 2 3" xfId="14795"/>
    <cellStyle name="Normal 18 2 2 2 2 3 3 3" xfId="14796"/>
    <cellStyle name="Normal 18 2 2 2 2 3 3 3 2" xfId="14797"/>
    <cellStyle name="Normal 18 2 2 2 2 3 3 4" xfId="14798"/>
    <cellStyle name="Normal 18 2 2 2 2 3 4" xfId="14799"/>
    <cellStyle name="Normal 18 2 2 2 2 3 4 2" xfId="14800"/>
    <cellStyle name="Normal 18 2 2 2 2 3 4 2 2" xfId="14801"/>
    <cellStyle name="Normal 18 2 2 2 2 3 4 3" xfId="14802"/>
    <cellStyle name="Normal 18 2 2 2 2 3 5" xfId="14803"/>
    <cellStyle name="Normal 18 2 2 2 2 3 5 2" xfId="14804"/>
    <cellStyle name="Normal 18 2 2 2 2 3 6" xfId="14805"/>
    <cellStyle name="Normal 18 2 2 2 2 4" xfId="14806"/>
    <cellStyle name="Normal 18 2 2 2 2 4 2" xfId="14807"/>
    <cellStyle name="Normal 18 2 2 2 2 4 2 2" xfId="14808"/>
    <cellStyle name="Normal 18 2 2 2 2 4 2 2 2" xfId="14809"/>
    <cellStyle name="Normal 18 2 2 2 2 4 2 3" xfId="14810"/>
    <cellStyle name="Normal 18 2 2 2 2 4 3" xfId="14811"/>
    <cellStyle name="Normal 18 2 2 2 2 4 3 2" xfId="14812"/>
    <cellStyle name="Normal 18 2 2 2 2 4 4" xfId="14813"/>
    <cellStyle name="Normal 18 2 2 2 2 5" xfId="14814"/>
    <cellStyle name="Normal 18 2 2 2 2 5 2" xfId="14815"/>
    <cellStyle name="Normal 18 2 2 2 2 5 2 2" xfId="14816"/>
    <cellStyle name="Normal 18 2 2 2 2 5 2 2 2" xfId="14817"/>
    <cellStyle name="Normal 18 2 2 2 2 5 2 3" xfId="14818"/>
    <cellStyle name="Normal 18 2 2 2 2 5 3" xfId="14819"/>
    <cellStyle name="Normal 18 2 2 2 2 5 3 2" xfId="14820"/>
    <cellStyle name="Normal 18 2 2 2 2 5 4" xfId="14821"/>
    <cellStyle name="Normal 18 2 2 2 2 6" xfId="14822"/>
    <cellStyle name="Normal 18 2 2 2 2 6 2" xfId="14823"/>
    <cellStyle name="Normal 18 2 2 2 2 6 2 2" xfId="14824"/>
    <cellStyle name="Normal 18 2 2 2 2 6 2 2 2" xfId="14825"/>
    <cellStyle name="Normal 18 2 2 2 2 6 2 3" xfId="14826"/>
    <cellStyle name="Normal 18 2 2 2 2 6 3" xfId="14827"/>
    <cellStyle name="Normal 18 2 2 2 2 6 3 2" xfId="14828"/>
    <cellStyle name="Normal 18 2 2 2 2 6 4" xfId="14829"/>
    <cellStyle name="Normal 18 2 2 2 2 7" xfId="14830"/>
    <cellStyle name="Normal 18 2 2 2 2 7 2" xfId="14831"/>
    <cellStyle name="Normal 18 2 2 2 2 7 2 2" xfId="14832"/>
    <cellStyle name="Normal 18 2 2 2 2 7 3" xfId="14833"/>
    <cellStyle name="Normal 18 2 2 2 2 8" xfId="14834"/>
    <cellStyle name="Normal 18 2 2 2 2 8 2" xfId="14835"/>
    <cellStyle name="Normal 18 2 2 2 2 9" xfId="14836"/>
    <cellStyle name="Normal 18 2 2 2 3" xfId="14837"/>
    <cellStyle name="Normal 18 2 2 2 3 2" xfId="14838"/>
    <cellStyle name="Normal 18 2 2 2 3 2 2" xfId="14839"/>
    <cellStyle name="Normal 18 2 2 2 3 2 2 2" xfId="14840"/>
    <cellStyle name="Normal 18 2 2 2 3 2 2 2 2" xfId="14841"/>
    <cellStyle name="Normal 18 2 2 2 3 2 2 2 2 2" xfId="14842"/>
    <cellStyle name="Normal 18 2 2 2 3 2 2 2 3" xfId="14843"/>
    <cellStyle name="Normal 18 2 2 2 3 2 2 3" xfId="14844"/>
    <cellStyle name="Normal 18 2 2 2 3 2 2 3 2" xfId="14845"/>
    <cellStyle name="Normal 18 2 2 2 3 2 2 4" xfId="14846"/>
    <cellStyle name="Normal 18 2 2 2 3 2 3" xfId="14847"/>
    <cellStyle name="Normal 18 2 2 2 3 2 3 2" xfId="14848"/>
    <cellStyle name="Normal 18 2 2 2 3 2 3 2 2" xfId="14849"/>
    <cellStyle name="Normal 18 2 2 2 3 2 3 2 2 2" xfId="14850"/>
    <cellStyle name="Normal 18 2 2 2 3 2 3 2 3" xfId="14851"/>
    <cellStyle name="Normal 18 2 2 2 3 2 3 3" xfId="14852"/>
    <cellStyle name="Normal 18 2 2 2 3 2 3 3 2" xfId="14853"/>
    <cellStyle name="Normal 18 2 2 2 3 2 3 4" xfId="14854"/>
    <cellStyle name="Normal 18 2 2 2 3 2 4" xfId="14855"/>
    <cellStyle name="Normal 18 2 2 2 3 2 4 2" xfId="14856"/>
    <cellStyle name="Normal 18 2 2 2 3 2 4 2 2" xfId="14857"/>
    <cellStyle name="Normal 18 2 2 2 3 2 4 3" xfId="14858"/>
    <cellStyle name="Normal 18 2 2 2 3 2 5" xfId="14859"/>
    <cellStyle name="Normal 18 2 2 2 3 2 5 2" xfId="14860"/>
    <cellStyle name="Normal 18 2 2 2 3 2 6" xfId="14861"/>
    <cellStyle name="Normal 18 2 2 2 3 3" xfId="14862"/>
    <cellStyle name="Normal 18 2 2 2 3 3 2" xfId="14863"/>
    <cellStyle name="Normal 18 2 2 2 3 3 2 2" xfId="14864"/>
    <cellStyle name="Normal 18 2 2 2 3 3 2 2 2" xfId="14865"/>
    <cellStyle name="Normal 18 2 2 2 3 3 2 3" xfId="14866"/>
    <cellStyle name="Normal 18 2 2 2 3 3 3" xfId="14867"/>
    <cellStyle name="Normal 18 2 2 2 3 3 3 2" xfId="14868"/>
    <cellStyle name="Normal 18 2 2 2 3 3 4" xfId="14869"/>
    <cellStyle name="Normal 18 2 2 2 3 4" xfId="14870"/>
    <cellStyle name="Normal 18 2 2 2 3 4 2" xfId="14871"/>
    <cellStyle name="Normal 18 2 2 2 3 4 2 2" xfId="14872"/>
    <cellStyle name="Normal 18 2 2 2 3 4 2 2 2" xfId="14873"/>
    <cellStyle name="Normal 18 2 2 2 3 4 2 3" xfId="14874"/>
    <cellStyle name="Normal 18 2 2 2 3 4 3" xfId="14875"/>
    <cellStyle name="Normal 18 2 2 2 3 4 3 2" xfId="14876"/>
    <cellStyle name="Normal 18 2 2 2 3 4 4" xfId="14877"/>
    <cellStyle name="Normal 18 2 2 2 3 5" xfId="14878"/>
    <cellStyle name="Normal 18 2 2 2 3 5 2" xfId="14879"/>
    <cellStyle name="Normal 18 2 2 2 3 5 2 2" xfId="14880"/>
    <cellStyle name="Normal 18 2 2 2 3 5 3" xfId="14881"/>
    <cellStyle name="Normal 18 2 2 2 3 6" xfId="14882"/>
    <cellStyle name="Normal 18 2 2 2 3 6 2" xfId="14883"/>
    <cellStyle name="Normal 18 2 2 2 3 7" xfId="14884"/>
    <cellStyle name="Normal 18 2 2 2 4" xfId="14885"/>
    <cellStyle name="Normal 18 2 2 2 4 2" xfId="14886"/>
    <cellStyle name="Normal 18 2 2 2 4 2 2" xfId="14887"/>
    <cellStyle name="Normal 18 2 2 2 4 2 2 2" xfId="14888"/>
    <cellStyle name="Normal 18 2 2 2 4 2 2 2 2" xfId="14889"/>
    <cellStyle name="Normal 18 2 2 2 4 2 2 3" xfId="14890"/>
    <cellStyle name="Normal 18 2 2 2 4 2 3" xfId="14891"/>
    <cellStyle name="Normal 18 2 2 2 4 2 3 2" xfId="14892"/>
    <cellStyle name="Normal 18 2 2 2 4 2 4" xfId="14893"/>
    <cellStyle name="Normal 18 2 2 2 4 3" xfId="14894"/>
    <cellStyle name="Normal 18 2 2 2 4 3 2" xfId="14895"/>
    <cellStyle name="Normal 18 2 2 2 4 3 2 2" xfId="14896"/>
    <cellStyle name="Normal 18 2 2 2 4 3 2 2 2" xfId="14897"/>
    <cellStyle name="Normal 18 2 2 2 4 3 2 3" xfId="14898"/>
    <cellStyle name="Normal 18 2 2 2 4 3 3" xfId="14899"/>
    <cellStyle name="Normal 18 2 2 2 4 3 3 2" xfId="14900"/>
    <cellStyle name="Normal 18 2 2 2 4 3 4" xfId="14901"/>
    <cellStyle name="Normal 18 2 2 2 4 4" xfId="14902"/>
    <cellStyle name="Normal 18 2 2 2 4 4 2" xfId="14903"/>
    <cellStyle name="Normal 18 2 2 2 4 4 2 2" xfId="14904"/>
    <cellStyle name="Normal 18 2 2 2 4 4 3" xfId="14905"/>
    <cellStyle name="Normal 18 2 2 2 4 5" xfId="14906"/>
    <cellStyle name="Normal 18 2 2 2 4 5 2" xfId="14907"/>
    <cellStyle name="Normal 18 2 2 2 4 6" xfId="14908"/>
    <cellStyle name="Normal 18 2 2 2 5" xfId="14909"/>
    <cellStyle name="Normal 18 2 2 2 5 2" xfId="14910"/>
    <cellStyle name="Normal 18 2 2 2 5 2 2" xfId="14911"/>
    <cellStyle name="Normal 18 2 2 2 5 2 2 2" xfId="14912"/>
    <cellStyle name="Normal 18 2 2 2 5 2 3" xfId="14913"/>
    <cellStyle name="Normal 18 2 2 2 5 3" xfId="14914"/>
    <cellStyle name="Normal 18 2 2 2 5 3 2" xfId="14915"/>
    <cellStyle name="Normal 18 2 2 2 5 4" xfId="14916"/>
    <cellStyle name="Normal 18 2 2 2 6" xfId="14917"/>
    <cellStyle name="Normal 18 2 2 2 6 2" xfId="14918"/>
    <cellStyle name="Normal 18 2 2 2 6 2 2" xfId="14919"/>
    <cellStyle name="Normal 18 2 2 2 6 2 2 2" xfId="14920"/>
    <cellStyle name="Normal 18 2 2 2 6 2 3" xfId="14921"/>
    <cellStyle name="Normal 18 2 2 2 6 3" xfId="14922"/>
    <cellStyle name="Normal 18 2 2 2 6 3 2" xfId="14923"/>
    <cellStyle name="Normal 18 2 2 2 6 4" xfId="14924"/>
    <cellStyle name="Normal 18 2 2 2 7" xfId="14925"/>
    <cellStyle name="Normal 18 2 2 2 7 2" xfId="14926"/>
    <cellStyle name="Normal 18 2 2 2 7 2 2" xfId="14927"/>
    <cellStyle name="Normal 18 2 2 2 7 2 2 2" xfId="14928"/>
    <cellStyle name="Normal 18 2 2 2 7 2 3" xfId="14929"/>
    <cellStyle name="Normal 18 2 2 2 7 3" xfId="14930"/>
    <cellStyle name="Normal 18 2 2 2 7 3 2" xfId="14931"/>
    <cellStyle name="Normal 18 2 2 2 7 4" xfId="14932"/>
    <cellStyle name="Normal 18 2 2 2 8" xfId="14933"/>
    <cellStyle name="Normal 18 2 2 2 8 2" xfId="14934"/>
    <cellStyle name="Normal 18 2 2 2 8 2 2" xfId="14935"/>
    <cellStyle name="Normal 18 2 2 2 8 3" xfId="14936"/>
    <cellStyle name="Normal 18 2 2 2 9" xfId="14937"/>
    <cellStyle name="Normal 18 2 2 2 9 2" xfId="14938"/>
    <cellStyle name="Normal 18 2 2 3" xfId="14939"/>
    <cellStyle name="Normal 18 2 2 3 2" xfId="14940"/>
    <cellStyle name="Normal 18 2 2 3 2 2" xfId="14941"/>
    <cellStyle name="Normal 18 2 2 3 2 2 2" xfId="14942"/>
    <cellStyle name="Normal 18 2 2 3 2 2 2 2" xfId="14943"/>
    <cellStyle name="Normal 18 2 2 3 2 2 2 2 2" xfId="14944"/>
    <cellStyle name="Normal 18 2 2 3 2 2 2 2 2 2" xfId="14945"/>
    <cellStyle name="Normal 18 2 2 3 2 2 2 2 3" xfId="14946"/>
    <cellStyle name="Normal 18 2 2 3 2 2 2 3" xfId="14947"/>
    <cellStyle name="Normal 18 2 2 3 2 2 2 3 2" xfId="14948"/>
    <cellStyle name="Normal 18 2 2 3 2 2 2 4" xfId="14949"/>
    <cellStyle name="Normal 18 2 2 3 2 2 3" xfId="14950"/>
    <cellStyle name="Normal 18 2 2 3 2 2 3 2" xfId="14951"/>
    <cellStyle name="Normal 18 2 2 3 2 2 3 2 2" xfId="14952"/>
    <cellStyle name="Normal 18 2 2 3 2 2 3 2 2 2" xfId="14953"/>
    <cellStyle name="Normal 18 2 2 3 2 2 3 2 3" xfId="14954"/>
    <cellStyle name="Normal 18 2 2 3 2 2 3 3" xfId="14955"/>
    <cellStyle name="Normal 18 2 2 3 2 2 3 3 2" xfId="14956"/>
    <cellStyle name="Normal 18 2 2 3 2 2 3 4" xfId="14957"/>
    <cellStyle name="Normal 18 2 2 3 2 2 4" xfId="14958"/>
    <cellStyle name="Normal 18 2 2 3 2 2 4 2" xfId="14959"/>
    <cellStyle name="Normal 18 2 2 3 2 2 4 2 2" xfId="14960"/>
    <cellStyle name="Normal 18 2 2 3 2 2 4 3" xfId="14961"/>
    <cellStyle name="Normal 18 2 2 3 2 2 5" xfId="14962"/>
    <cellStyle name="Normal 18 2 2 3 2 2 5 2" xfId="14963"/>
    <cellStyle name="Normal 18 2 2 3 2 2 6" xfId="14964"/>
    <cellStyle name="Normal 18 2 2 3 2 3" xfId="14965"/>
    <cellStyle name="Normal 18 2 2 3 2 3 2" xfId="14966"/>
    <cellStyle name="Normal 18 2 2 3 2 3 2 2" xfId="14967"/>
    <cellStyle name="Normal 18 2 2 3 2 3 2 2 2" xfId="14968"/>
    <cellStyle name="Normal 18 2 2 3 2 3 2 3" xfId="14969"/>
    <cellStyle name="Normal 18 2 2 3 2 3 3" xfId="14970"/>
    <cellStyle name="Normal 18 2 2 3 2 3 3 2" xfId="14971"/>
    <cellStyle name="Normal 18 2 2 3 2 3 4" xfId="14972"/>
    <cellStyle name="Normal 18 2 2 3 2 4" xfId="14973"/>
    <cellStyle name="Normal 18 2 2 3 2 4 2" xfId="14974"/>
    <cellStyle name="Normal 18 2 2 3 2 4 2 2" xfId="14975"/>
    <cellStyle name="Normal 18 2 2 3 2 4 2 2 2" xfId="14976"/>
    <cellStyle name="Normal 18 2 2 3 2 4 2 3" xfId="14977"/>
    <cellStyle name="Normal 18 2 2 3 2 4 3" xfId="14978"/>
    <cellStyle name="Normal 18 2 2 3 2 4 3 2" xfId="14979"/>
    <cellStyle name="Normal 18 2 2 3 2 4 4" xfId="14980"/>
    <cellStyle name="Normal 18 2 2 3 2 5" xfId="14981"/>
    <cellStyle name="Normal 18 2 2 3 2 5 2" xfId="14982"/>
    <cellStyle name="Normal 18 2 2 3 2 5 2 2" xfId="14983"/>
    <cellStyle name="Normal 18 2 2 3 2 5 3" xfId="14984"/>
    <cellStyle name="Normal 18 2 2 3 2 6" xfId="14985"/>
    <cellStyle name="Normal 18 2 2 3 2 6 2" xfId="14986"/>
    <cellStyle name="Normal 18 2 2 3 2 7" xfId="14987"/>
    <cellStyle name="Normal 18 2 2 3 3" xfId="14988"/>
    <cellStyle name="Normal 18 2 2 3 3 2" xfId="14989"/>
    <cellStyle name="Normal 18 2 2 3 3 2 2" xfId="14990"/>
    <cellStyle name="Normal 18 2 2 3 3 2 2 2" xfId="14991"/>
    <cellStyle name="Normal 18 2 2 3 3 2 2 2 2" xfId="14992"/>
    <cellStyle name="Normal 18 2 2 3 3 2 2 3" xfId="14993"/>
    <cellStyle name="Normal 18 2 2 3 3 2 3" xfId="14994"/>
    <cellStyle name="Normal 18 2 2 3 3 2 3 2" xfId="14995"/>
    <cellStyle name="Normal 18 2 2 3 3 2 4" xfId="14996"/>
    <cellStyle name="Normal 18 2 2 3 3 3" xfId="14997"/>
    <cellStyle name="Normal 18 2 2 3 3 3 2" xfId="14998"/>
    <cellStyle name="Normal 18 2 2 3 3 3 2 2" xfId="14999"/>
    <cellStyle name="Normal 18 2 2 3 3 3 2 2 2" xfId="15000"/>
    <cellStyle name="Normal 18 2 2 3 3 3 2 3" xfId="15001"/>
    <cellStyle name="Normal 18 2 2 3 3 3 3" xfId="15002"/>
    <cellStyle name="Normal 18 2 2 3 3 3 3 2" xfId="15003"/>
    <cellStyle name="Normal 18 2 2 3 3 3 4" xfId="15004"/>
    <cellStyle name="Normal 18 2 2 3 3 4" xfId="15005"/>
    <cellStyle name="Normal 18 2 2 3 3 4 2" xfId="15006"/>
    <cellStyle name="Normal 18 2 2 3 3 4 2 2" xfId="15007"/>
    <cellStyle name="Normal 18 2 2 3 3 4 3" xfId="15008"/>
    <cellStyle name="Normal 18 2 2 3 3 5" xfId="15009"/>
    <cellStyle name="Normal 18 2 2 3 3 5 2" xfId="15010"/>
    <cellStyle name="Normal 18 2 2 3 3 6" xfId="15011"/>
    <cellStyle name="Normal 18 2 2 3 4" xfId="15012"/>
    <cellStyle name="Normal 18 2 2 3 4 2" xfId="15013"/>
    <cellStyle name="Normal 18 2 2 3 4 2 2" xfId="15014"/>
    <cellStyle name="Normal 18 2 2 3 4 2 2 2" xfId="15015"/>
    <cellStyle name="Normal 18 2 2 3 4 2 3" xfId="15016"/>
    <cellStyle name="Normal 18 2 2 3 4 3" xfId="15017"/>
    <cellStyle name="Normal 18 2 2 3 4 3 2" xfId="15018"/>
    <cellStyle name="Normal 18 2 2 3 4 4" xfId="15019"/>
    <cellStyle name="Normal 18 2 2 3 5" xfId="15020"/>
    <cellStyle name="Normal 18 2 2 3 5 2" xfId="15021"/>
    <cellStyle name="Normal 18 2 2 3 5 2 2" xfId="15022"/>
    <cellStyle name="Normal 18 2 2 3 5 2 2 2" xfId="15023"/>
    <cellStyle name="Normal 18 2 2 3 5 2 3" xfId="15024"/>
    <cellStyle name="Normal 18 2 2 3 5 3" xfId="15025"/>
    <cellStyle name="Normal 18 2 2 3 5 3 2" xfId="15026"/>
    <cellStyle name="Normal 18 2 2 3 5 4" xfId="15027"/>
    <cellStyle name="Normal 18 2 2 3 6" xfId="15028"/>
    <cellStyle name="Normal 18 2 2 3 6 2" xfId="15029"/>
    <cellStyle name="Normal 18 2 2 3 6 2 2" xfId="15030"/>
    <cellStyle name="Normal 18 2 2 3 6 2 2 2" xfId="15031"/>
    <cellStyle name="Normal 18 2 2 3 6 2 3" xfId="15032"/>
    <cellStyle name="Normal 18 2 2 3 6 3" xfId="15033"/>
    <cellStyle name="Normal 18 2 2 3 6 3 2" xfId="15034"/>
    <cellStyle name="Normal 18 2 2 3 6 4" xfId="15035"/>
    <cellStyle name="Normal 18 2 2 3 7" xfId="15036"/>
    <cellStyle name="Normal 18 2 2 3 7 2" xfId="15037"/>
    <cellStyle name="Normal 18 2 2 3 7 2 2" xfId="15038"/>
    <cellStyle name="Normal 18 2 2 3 7 3" xfId="15039"/>
    <cellStyle name="Normal 18 2 2 3 8" xfId="15040"/>
    <cellStyle name="Normal 18 2 2 3 8 2" xfId="15041"/>
    <cellStyle name="Normal 18 2 2 3 9" xfId="15042"/>
    <cellStyle name="Normal 18 2 2 4" xfId="15043"/>
    <cellStyle name="Normal 18 2 2 4 2" xfId="15044"/>
    <cellStyle name="Normal 18 2 2 4 2 2" xfId="15045"/>
    <cellStyle name="Normal 18 2 2 4 2 2 2" xfId="15046"/>
    <cellStyle name="Normal 18 2 2 4 2 2 2 2" xfId="15047"/>
    <cellStyle name="Normal 18 2 2 4 2 2 2 2 2" xfId="15048"/>
    <cellStyle name="Normal 18 2 2 4 2 2 2 3" xfId="15049"/>
    <cellStyle name="Normal 18 2 2 4 2 2 3" xfId="15050"/>
    <cellStyle name="Normal 18 2 2 4 2 2 3 2" xfId="15051"/>
    <cellStyle name="Normal 18 2 2 4 2 2 4" xfId="15052"/>
    <cellStyle name="Normal 18 2 2 4 2 3" xfId="15053"/>
    <cellStyle name="Normal 18 2 2 4 2 3 2" xfId="15054"/>
    <cellStyle name="Normal 18 2 2 4 2 3 2 2" xfId="15055"/>
    <cellStyle name="Normal 18 2 2 4 2 3 2 2 2" xfId="15056"/>
    <cellStyle name="Normal 18 2 2 4 2 3 2 3" xfId="15057"/>
    <cellStyle name="Normal 18 2 2 4 2 3 3" xfId="15058"/>
    <cellStyle name="Normal 18 2 2 4 2 3 3 2" xfId="15059"/>
    <cellStyle name="Normal 18 2 2 4 2 3 4" xfId="15060"/>
    <cellStyle name="Normal 18 2 2 4 2 4" xfId="15061"/>
    <cellStyle name="Normal 18 2 2 4 2 4 2" xfId="15062"/>
    <cellStyle name="Normal 18 2 2 4 2 4 2 2" xfId="15063"/>
    <cellStyle name="Normal 18 2 2 4 2 4 3" xfId="15064"/>
    <cellStyle name="Normal 18 2 2 4 2 5" xfId="15065"/>
    <cellStyle name="Normal 18 2 2 4 2 5 2" xfId="15066"/>
    <cellStyle name="Normal 18 2 2 4 2 6" xfId="15067"/>
    <cellStyle name="Normal 18 2 2 4 3" xfId="15068"/>
    <cellStyle name="Normal 18 2 2 4 3 2" xfId="15069"/>
    <cellStyle name="Normal 18 2 2 4 3 2 2" xfId="15070"/>
    <cellStyle name="Normal 18 2 2 4 3 2 2 2" xfId="15071"/>
    <cellStyle name="Normal 18 2 2 4 3 2 3" xfId="15072"/>
    <cellStyle name="Normal 18 2 2 4 3 3" xfId="15073"/>
    <cellStyle name="Normal 18 2 2 4 3 3 2" xfId="15074"/>
    <cellStyle name="Normal 18 2 2 4 3 4" xfId="15075"/>
    <cellStyle name="Normal 18 2 2 4 4" xfId="15076"/>
    <cellStyle name="Normal 18 2 2 4 4 2" xfId="15077"/>
    <cellStyle name="Normal 18 2 2 4 4 2 2" xfId="15078"/>
    <cellStyle name="Normal 18 2 2 4 4 2 2 2" xfId="15079"/>
    <cellStyle name="Normal 18 2 2 4 4 2 3" xfId="15080"/>
    <cellStyle name="Normal 18 2 2 4 4 3" xfId="15081"/>
    <cellStyle name="Normal 18 2 2 4 4 3 2" xfId="15082"/>
    <cellStyle name="Normal 18 2 2 4 4 4" xfId="15083"/>
    <cellStyle name="Normal 18 2 2 4 5" xfId="15084"/>
    <cellStyle name="Normal 18 2 2 4 5 2" xfId="15085"/>
    <cellStyle name="Normal 18 2 2 4 5 2 2" xfId="15086"/>
    <cellStyle name="Normal 18 2 2 4 5 3" xfId="15087"/>
    <cellStyle name="Normal 18 2 2 4 6" xfId="15088"/>
    <cellStyle name="Normal 18 2 2 4 6 2" xfId="15089"/>
    <cellStyle name="Normal 18 2 2 4 7" xfId="15090"/>
    <cellStyle name="Normal 18 2 2 5" xfId="15091"/>
    <cellStyle name="Normal 18 2 2 5 2" xfId="15092"/>
    <cellStyle name="Normal 18 2 2 5 2 2" xfId="15093"/>
    <cellStyle name="Normal 18 2 2 5 2 2 2" xfId="15094"/>
    <cellStyle name="Normal 18 2 2 5 2 2 2 2" xfId="15095"/>
    <cellStyle name="Normal 18 2 2 5 2 2 3" xfId="15096"/>
    <cellStyle name="Normal 18 2 2 5 2 3" xfId="15097"/>
    <cellStyle name="Normal 18 2 2 5 2 3 2" xfId="15098"/>
    <cellStyle name="Normal 18 2 2 5 2 4" xfId="15099"/>
    <cellStyle name="Normal 18 2 2 5 3" xfId="15100"/>
    <cellStyle name="Normal 18 2 2 5 3 2" xfId="15101"/>
    <cellStyle name="Normal 18 2 2 5 3 2 2" xfId="15102"/>
    <cellStyle name="Normal 18 2 2 5 3 2 2 2" xfId="15103"/>
    <cellStyle name="Normal 18 2 2 5 3 2 3" xfId="15104"/>
    <cellStyle name="Normal 18 2 2 5 3 3" xfId="15105"/>
    <cellStyle name="Normal 18 2 2 5 3 3 2" xfId="15106"/>
    <cellStyle name="Normal 18 2 2 5 3 4" xfId="15107"/>
    <cellStyle name="Normal 18 2 2 5 4" xfId="15108"/>
    <cellStyle name="Normal 18 2 2 5 4 2" xfId="15109"/>
    <cellStyle name="Normal 18 2 2 5 4 2 2" xfId="15110"/>
    <cellStyle name="Normal 18 2 2 5 4 3" xfId="15111"/>
    <cellStyle name="Normal 18 2 2 5 5" xfId="15112"/>
    <cellStyle name="Normal 18 2 2 5 5 2" xfId="15113"/>
    <cellStyle name="Normal 18 2 2 5 6" xfId="15114"/>
    <cellStyle name="Normal 18 2 2 6" xfId="15115"/>
    <cellStyle name="Normal 18 2 2 6 2" xfId="15116"/>
    <cellStyle name="Normal 18 2 2 6 2 2" xfId="15117"/>
    <cellStyle name="Normal 18 2 2 6 2 2 2" xfId="15118"/>
    <cellStyle name="Normal 18 2 2 6 2 3" xfId="15119"/>
    <cellStyle name="Normal 18 2 2 6 3" xfId="15120"/>
    <cellStyle name="Normal 18 2 2 6 3 2" xfId="15121"/>
    <cellStyle name="Normal 18 2 2 6 4" xfId="15122"/>
    <cellStyle name="Normal 18 2 2 7" xfId="15123"/>
    <cellStyle name="Normal 18 2 2 7 2" xfId="15124"/>
    <cellStyle name="Normal 18 2 2 7 2 2" xfId="15125"/>
    <cellStyle name="Normal 18 2 2 7 2 2 2" xfId="15126"/>
    <cellStyle name="Normal 18 2 2 7 2 3" xfId="15127"/>
    <cellStyle name="Normal 18 2 2 7 3" xfId="15128"/>
    <cellStyle name="Normal 18 2 2 7 3 2" xfId="15129"/>
    <cellStyle name="Normal 18 2 2 7 4" xfId="15130"/>
    <cellStyle name="Normal 18 2 2 8" xfId="15131"/>
    <cellStyle name="Normal 18 2 2 8 2" xfId="15132"/>
    <cellStyle name="Normal 18 2 2 8 2 2" xfId="15133"/>
    <cellStyle name="Normal 18 2 2 8 2 2 2" xfId="15134"/>
    <cellStyle name="Normal 18 2 2 8 2 3" xfId="15135"/>
    <cellStyle name="Normal 18 2 2 8 3" xfId="15136"/>
    <cellStyle name="Normal 18 2 2 8 3 2" xfId="15137"/>
    <cellStyle name="Normal 18 2 2 8 4" xfId="15138"/>
    <cellStyle name="Normal 18 2 2 9" xfId="15139"/>
    <cellStyle name="Normal 18 2 2 9 2" xfId="15140"/>
    <cellStyle name="Normal 18 2 2 9 2 2" xfId="15141"/>
    <cellStyle name="Normal 18 2 2 9 3" xfId="15142"/>
    <cellStyle name="Normal 18 2 3" xfId="15143"/>
    <cellStyle name="Normal 18 2 3 10" xfId="15144"/>
    <cellStyle name="Normal 18 2 3 2" xfId="15145"/>
    <cellStyle name="Normal 18 2 3 2 2" xfId="15146"/>
    <cellStyle name="Normal 18 2 3 2 2 2" xfId="15147"/>
    <cellStyle name="Normal 18 2 3 2 2 2 2" xfId="15148"/>
    <cellStyle name="Normal 18 2 3 2 2 2 2 2" xfId="15149"/>
    <cellStyle name="Normal 18 2 3 2 2 2 2 2 2" xfId="15150"/>
    <cellStyle name="Normal 18 2 3 2 2 2 2 2 2 2" xfId="15151"/>
    <cellStyle name="Normal 18 2 3 2 2 2 2 2 3" xfId="15152"/>
    <cellStyle name="Normal 18 2 3 2 2 2 2 3" xfId="15153"/>
    <cellStyle name="Normal 18 2 3 2 2 2 2 3 2" xfId="15154"/>
    <cellStyle name="Normal 18 2 3 2 2 2 2 4" xfId="15155"/>
    <cellStyle name="Normal 18 2 3 2 2 2 3" xfId="15156"/>
    <cellStyle name="Normal 18 2 3 2 2 2 3 2" xfId="15157"/>
    <cellStyle name="Normal 18 2 3 2 2 2 3 2 2" xfId="15158"/>
    <cellStyle name="Normal 18 2 3 2 2 2 3 2 2 2" xfId="15159"/>
    <cellStyle name="Normal 18 2 3 2 2 2 3 2 3" xfId="15160"/>
    <cellStyle name="Normal 18 2 3 2 2 2 3 3" xfId="15161"/>
    <cellStyle name="Normal 18 2 3 2 2 2 3 3 2" xfId="15162"/>
    <cellStyle name="Normal 18 2 3 2 2 2 3 4" xfId="15163"/>
    <cellStyle name="Normal 18 2 3 2 2 2 4" xfId="15164"/>
    <cellStyle name="Normal 18 2 3 2 2 2 4 2" xfId="15165"/>
    <cellStyle name="Normal 18 2 3 2 2 2 4 2 2" xfId="15166"/>
    <cellStyle name="Normal 18 2 3 2 2 2 4 3" xfId="15167"/>
    <cellStyle name="Normal 18 2 3 2 2 2 5" xfId="15168"/>
    <cellStyle name="Normal 18 2 3 2 2 2 5 2" xfId="15169"/>
    <cellStyle name="Normal 18 2 3 2 2 2 6" xfId="15170"/>
    <cellStyle name="Normal 18 2 3 2 2 3" xfId="15171"/>
    <cellStyle name="Normal 18 2 3 2 2 3 2" xfId="15172"/>
    <cellStyle name="Normal 18 2 3 2 2 3 2 2" xfId="15173"/>
    <cellStyle name="Normal 18 2 3 2 2 3 2 2 2" xfId="15174"/>
    <cellStyle name="Normal 18 2 3 2 2 3 2 3" xfId="15175"/>
    <cellStyle name="Normal 18 2 3 2 2 3 3" xfId="15176"/>
    <cellStyle name="Normal 18 2 3 2 2 3 3 2" xfId="15177"/>
    <cellStyle name="Normal 18 2 3 2 2 3 4" xfId="15178"/>
    <cellStyle name="Normal 18 2 3 2 2 4" xfId="15179"/>
    <cellStyle name="Normal 18 2 3 2 2 4 2" xfId="15180"/>
    <cellStyle name="Normal 18 2 3 2 2 4 2 2" xfId="15181"/>
    <cellStyle name="Normal 18 2 3 2 2 4 2 2 2" xfId="15182"/>
    <cellStyle name="Normal 18 2 3 2 2 4 2 3" xfId="15183"/>
    <cellStyle name="Normal 18 2 3 2 2 4 3" xfId="15184"/>
    <cellStyle name="Normal 18 2 3 2 2 4 3 2" xfId="15185"/>
    <cellStyle name="Normal 18 2 3 2 2 4 4" xfId="15186"/>
    <cellStyle name="Normal 18 2 3 2 2 5" xfId="15187"/>
    <cellStyle name="Normal 18 2 3 2 2 5 2" xfId="15188"/>
    <cellStyle name="Normal 18 2 3 2 2 5 2 2" xfId="15189"/>
    <cellStyle name="Normal 18 2 3 2 2 5 3" xfId="15190"/>
    <cellStyle name="Normal 18 2 3 2 2 6" xfId="15191"/>
    <cellStyle name="Normal 18 2 3 2 2 6 2" xfId="15192"/>
    <cellStyle name="Normal 18 2 3 2 2 7" xfId="15193"/>
    <cellStyle name="Normal 18 2 3 2 3" xfId="15194"/>
    <cellStyle name="Normal 18 2 3 2 3 2" xfId="15195"/>
    <cellStyle name="Normal 18 2 3 2 3 2 2" xfId="15196"/>
    <cellStyle name="Normal 18 2 3 2 3 2 2 2" xfId="15197"/>
    <cellStyle name="Normal 18 2 3 2 3 2 2 2 2" xfId="15198"/>
    <cellStyle name="Normal 18 2 3 2 3 2 2 3" xfId="15199"/>
    <cellStyle name="Normal 18 2 3 2 3 2 3" xfId="15200"/>
    <cellStyle name="Normal 18 2 3 2 3 2 3 2" xfId="15201"/>
    <cellStyle name="Normal 18 2 3 2 3 2 4" xfId="15202"/>
    <cellStyle name="Normal 18 2 3 2 3 3" xfId="15203"/>
    <cellStyle name="Normal 18 2 3 2 3 3 2" xfId="15204"/>
    <cellStyle name="Normal 18 2 3 2 3 3 2 2" xfId="15205"/>
    <cellStyle name="Normal 18 2 3 2 3 3 2 2 2" xfId="15206"/>
    <cellStyle name="Normal 18 2 3 2 3 3 2 3" xfId="15207"/>
    <cellStyle name="Normal 18 2 3 2 3 3 3" xfId="15208"/>
    <cellStyle name="Normal 18 2 3 2 3 3 3 2" xfId="15209"/>
    <cellStyle name="Normal 18 2 3 2 3 3 4" xfId="15210"/>
    <cellStyle name="Normal 18 2 3 2 3 4" xfId="15211"/>
    <cellStyle name="Normal 18 2 3 2 3 4 2" xfId="15212"/>
    <cellStyle name="Normal 18 2 3 2 3 4 2 2" xfId="15213"/>
    <cellStyle name="Normal 18 2 3 2 3 4 3" xfId="15214"/>
    <cellStyle name="Normal 18 2 3 2 3 5" xfId="15215"/>
    <cellStyle name="Normal 18 2 3 2 3 5 2" xfId="15216"/>
    <cellStyle name="Normal 18 2 3 2 3 6" xfId="15217"/>
    <cellStyle name="Normal 18 2 3 2 4" xfId="15218"/>
    <cellStyle name="Normal 18 2 3 2 4 2" xfId="15219"/>
    <cellStyle name="Normal 18 2 3 2 4 2 2" xfId="15220"/>
    <cellStyle name="Normal 18 2 3 2 4 2 2 2" xfId="15221"/>
    <cellStyle name="Normal 18 2 3 2 4 2 3" xfId="15222"/>
    <cellStyle name="Normal 18 2 3 2 4 3" xfId="15223"/>
    <cellStyle name="Normal 18 2 3 2 4 3 2" xfId="15224"/>
    <cellStyle name="Normal 18 2 3 2 4 4" xfId="15225"/>
    <cellStyle name="Normal 18 2 3 2 5" xfId="15226"/>
    <cellStyle name="Normal 18 2 3 2 5 2" xfId="15227"/>
    <cellStyle name="Normal 18 2 3 2 5 2 2" xfId="15228"/>
    <cellStyle name="Normal 18 2 3 2 5 2 2 2" xfId="15229"/>
    <cellStyle name="Normal 18 2 3 2 5 2 3" xfId="15230"/>
    <cellStyle name="Normal 18 2 3 2 5 3" xfId="15231"/>
    <cellStyle name="Normal 18 2 3 2 5 3 2" xfId="15232"/>
    <cellStyle name="Normal 18 2 3 2 5 4" xfId="15233"/>
    <cellStyle name="Normal 18 2 3 2 6" xfId="15234"/>
    <cellStyle name="Normal 18 2 3 2 6 2" xfId="15235"/>
    <cellStyle name="Normal 18 2 3 2 6 2 2" xfId="15236"/>
    <cellStyle name="Normal 18 2 3 2 6 2 2 2" xfId="15237"/>
    <cellStyle name="Normal 18 2 3 2 6 2 3" xfId="15238"/>
    <cellStyle name="Normal 18 2 3 2 6 3" xfId="15239"/>
    <cellStyle name="Normal 18 2 3 2 6 3 2" xfId="15240"/>
    <cellStyle name="Normal 18 2 3 2 6 4" xfId="15241"/>
    <cellStyle name="Normal 18 2 3 2 7" xfId="15242"/>
    <cellStyle name="Normal 18 2 3 2 7 2" xfId="15243"/>
    <cellStyle name="Normal 18 2 3 2 7 2 2" xfId="15244"/>
    <cellStyle name="Normal 18 2 3 2 7 3" xfId="15245"/>
    <cellStyle name="Normal 18 2 3 2 8" xfId="15246"/>
    <cellStyle name="Normal 18 2 3 2 8 2" xfId="15247"/>
    <cellStyle name="Normal 18 2 3 2 9" xfId="15248"/>
    <cellStyle name="Normal 18 2 3 3" xfId="15249"/>
    <cellStyle name="Normal 18 2 3 3 2" xfId="15250"/>
    <cellStyle name="Normal 18 2 3 3 2 2" xfId="15251"/>
    <cellStyle name="Normal 18 2 3 3 2 2 2" xfId="15252"/>
    <cellStyle name="Normal 18 2 3 3 2 2 2 2" xfId="15253"/>
    <cellStyle name="Normal 18 2 3 3 2 2 2 2 2" xfId="15254"/>
    <cellStyle name="Normal 18 2 3 3 2 2 2 3" xfId="15255"/>
    <cellStyle name="Normal 18 2 3 3 2 2 3" xfId="15256"/>
    <cellStyle name="Normal 18 2 3 3 2 2 3 2" xfId="15257"/>
    <cellStyle name="Normal 18 2 3 3 2 2 4" xfId="15258"/>
    <cellStyle name="Normal 18 2 3 3 2 3" xfId="15259"/>
    <cellStyle name="Normal 18 2 3 3 2 3 2" xfId="15260"/>
    <cellStyle name="Normal 18 2 3 3 2 3 2 2" xfId="15261"/>
    <cellStyle name="Normal 18 2 3 3 2 3 2 2 2" xfId="15262"/>
    <cellStyle name="Normal 18 2 3 3 2 3 2 3" xfId="15263"/>
    <cellStyle name="Normal 18 2 3 3 2 3 3" xfId="15264"/>
    <cellStyle name="Normal 18 2 3 3 2 3 3 2" xfId="15265"/>
    <cellStyle name="Normal 18 2 3 3 2 3 4" xfId="15266"/>
    <cellStyle name="Normal 18 2 3 3 2 4" xfId="15267"/>
    <cellStyle name="Normal 18 2 3 3 2 4 2" xfId="15268"/>
    <cellStyle name="Normal 18 2 3 3 2 4 2 2" xfId="15269"/>
    <cellStyle name="Normal 18 2 3 3 2 4 3" xfId="15270"/>
    <cellStyle name="Normal 18 2 3 3 2 5" xfId="15271"/>
    <cellStyle name="Normal 18 2 3 3 2 5 2" xfId="15272"/>
    <cellStyle name="Normal 18 2 3 3 2 6" xfId="15273"/>
    <cellStyle name="Normal 18 2 3 3 3" xfId="15274"/>
    <cellStyle name="Normal 18 2 3 3 3 2" xfId="15275"/>
    <cellStyle name="Normal 18 2 3 3 3 2 2" xfId="15276"/>
    <cellStyle name="Normal 18 2 3 3 3 2 2 2" xfId="15277"/>
    <cellStyle name="Normal 18 2 3 3 3 2 3" xfId="15278"/>
    <cellStyle name="Normal 18 2 3 3 3 3" xfId="15279"/>
    <cellStyle name="Normal 18 2 3 3 3 3 2" xfId="15280"/>
    <cellStyle name="Normal 18 2 3 3 3 4" xfId="15281"/>
    <cellStyle name="Normal 18 2 3 3 4" xfId="15282"/>
    <cellStyle name="Normal 18 2 3 3 4 2" xfId="15283"/>
    <cellStyle name="Normal 18 2 3 3 4 2 2" xfId="15284"/>
    <cellStyle name="Normal 18 2 3 3 4 2 2 2" xfId="15285"/>
    <cellStyle name="Normal 18 2 3 3 4 2 3" xfId="15286"/>
    <cellStyle name="Normal 18 2 3 3 4 3" xfId="15287"/>
    <cellStyle name="Normal 18 2 3 3 4 3 2" xfId="15288"/>
    <cellStyle name="Normal 18 2 3 3 4 4" xfId="15289"/>
    <cellStyle name="Normal 18 2 3 3 5" xfId="15290"/>
    <cellStyle name="Normal 18 2 3 3 5 2" xfId="15291"/>
    <cellStyle name="Normal 18 2 3 3 5 2 2" xfId="15292"/>
    <cellStyle name="Normal 18 2 3 3 5 3" xfId="15293"/>
    <cellStyle name="Normal 18 2 3 3 6" xfId="15294"/>
    <cellStyle name="Normal 18 2 3 3 6 2" xfId="15295"/>
    <cellStyle name="Normal 18 2 3 3 7" xfId="15296"/>
    <cellStyle name="Normal 18 2 3 4" xfId="15297"/>
    <cellStyle name="Normal 18 2 3 4 2" xfId="15298"/>
    <cellStyle name="Normal 18 2 3 4 2 2" xfId="15299"/>
    <cellStyle name="Normal 18 2 3 4 2 2 2" xfId="15300"/>
    <cellStyle name="Normal 18 2 3 4 2 2 2 2" xfId="15301"/>
    <cellStyle name="Normal 18 2 3 4 2 2 3" xfId="15302"/>
    <cellStyle name="Normal 18 2 3 4 2 3" xfId="15303"/>
    <cellStyle name="Normal 18 2 3 4 2 3 2" xfId="15304"/>
    <cellStyle name="Normal 18 2 3 4 2 4" xfId="15305"/>
    <cellStyle name="Normal 18 2 3 4 3" xfId="15306"/>
    <cellStyle name="Normal 18 2 3 4 3 2" xfId="15307"/>
    <cellStyle name="Normal 18 2 3 4 3 2 2" xfId="15308"/>
    <cellStyle name="Normal 18 2 3 4 3 2 2 2" xfId="15309"/>
    <cellStyle name="Normal 18 2 3 4 3 2 3" xfId="15310"/>
    <cellStyle name="Normal 18 2 3 4 3 3" xfId="15311"/>
    <cellStyle name="Normal 18 2 3 4 3 3 2" xfId="15312"/>
    <cellStyle name="Normal 18 2 3 4 3 4" xfId="15313"/>
    <cellStyle name="Normal 18 2 3 4 4" xfId="15314"/>
    <cellStyle name="Normal 18 2 3 4 4 2" xfId="15315"/>
    <cellStyle name="Normal 18 2 3 4 4 2 2" xfId="15316"/>
    <cellStyle name="Normal 18 2 3 4 4 3" xfId="15317"/>
    <cellStyle name="Normal 18 2 3 4 5" xfId="15318"/>
    <cellStyle name="Normal 18 2 3 4 5 2" xfId="15319"/>
    <cellStyle name="Normal 18 2 3 4 6" xfId="15320"/>
    <cellStyle name="Normal 18 2 3 5" xfId="15321"/>
    <cellStyle name="Normal 18 2 3 5 2" xfId="15322"/>
    <cellStyle name="Normal 18 2 3 5 2 2" xfId="15323"/>
    <cellStyle name="Normal 18 2 3 5 2 2 2" xfId="15324"/>
    <cellStyle name="Normal 18 2 3 5 2 3" xfId="15325"/>
    <cellStyle name="Normal 18 2 3 5 3" xfId="15326"/>
    <cellStyle name="Normal 18 2 3 5 3 2" xfId="15327"/>
    <cellStyle name="Normal 18 2 3 5 4" xfId="15328"/>
    <cellStyle name="Normal 18 2 3 6" xfId="15329"/>
    <cellStyle name="Normal 18 2 3 6 2" xfId="15330"/>
    <cellStyle name="Normal 18 2 3 6 2 2" xfId="15331"/>
    <cellStyle name="Normal 18 2 3 6 2 2 2" xfId="15332"/>
    <cellStyle name="Normal 18 2 3 6 2 3" xfId="15333"/>
    <cellStyle name="Normal 18 2 3 6 3" xfId="15334"/>
    <cellStyle name="Normal 18 2 3 6 3 2" xfId="15335"/>
    <cellStyle name="Normal 18 2 3 6 4" xfId="15336"/>
    <cellStyle name="Normal 18 2 3 7" xfId="15337"/>
    <cellStyle name="Normal 18 2 3 7 2" xfId="15338"/>
    <cellStyle name="Normal 18 2 3 7 2 2" xfId="15339"/>
    <cellStyle name="Normal 18 2 3 7 2 2 2" xfId="15340"/>
    <cellStyle name="Normal 18 2 3 7 2 3" xfId="15341"/>
    <cellStyle name="Normal 18 2 3 7 3" xfId="15342"/>
    <cellStyle name="Normal 18 2 3 7 3 2" xfId="15343"/>
    <cellStyle name="Normal 18 2 3 7 4" xfId="15344"/>
    <cellStyle name="Normal 18 2 3 8" xfId="15345"/>
    <cellStyle name="Normal 18 2 3 8 2" xfId="15346"/>
    <cellStyle name="Normal 18 2 3 8 2 2" xfId="15347"/>
    <cellStyle name="Normal 18 2 3 8 3" xfId="15348"/>
    <cellStyle name="Normal 18 2 3 9" xfId="15349"/>
    <cellStyle name="Normal 18 2 3 9 2" xfId="15350"/>
    <cellStyle name="Normal 18 2 4" xfId="15351"/>
    <cellStyle name="Normal 18 2 4 10" xfId="15352"/>
    <cellStyle name="Normal 18 2 4 2" xfId="15353"/>
    <cellStyle name="Normal 18 2 4 2 2" xfId="15354"/>
    <cellStyle name="Normal 18 2 4 2 2 2" xfId="15355"/>
    <cellStyle name="Normal 18 2 4 2 2 2 2" xfId="15356"/>
    <cellStyle name="Normal 18 2 4 2 2 2 2 2" xfId="15357"/>
    <cellStyle name="Normal 18 2 4 2 2 2 2 2 2" xfId="15358"/>
    <cellStyle name="Normal 18 2 4 2 2 2 2 2 2 2" xfId="15359"/>
    <cellStyle name="Normal 18 2 4 2 2 2 2 2 3" xfId="15360"/>
    <cellStyle name="Normal 18 2 4 2 2 2 2 3" xfId="15361"/>
    <cellStyle name="Normal 18 2 4 2 2 2 2 3 2" xfId="15362"/>
    <cellStyle name="Normal 18 2 4 2 2 2 2 4" xfId="15363"/>
    <cellStyle name="Normal 18 2 4 2 2 2 3" xfId="15364"/>
    <cellStyle name="Normal 18 2 4 2 2 2 3 2" xfId="15365"/>
    <cellStyle name="Normal 18 2 4 2 2 2 3 2 2" xfId="15366"/>
    <cellStyle name="Normal 18 2 4 2 2 2 3 2 2 2" xfId="15367"/>
    <cellStyle name="Normal 18 2 4 2 2 2 3 2 3" xfId="15368"/>
    <cellStyle name="Normal 18 2 4 2 2 2 3 3" xfId="15369"/>
    <cellStyle name="Normal 18 2 4 2 2 2 3 3 2" xfId="15370"/>
    <cellStyle name="Normal 18 2 4 2 2 2 3 4" xfId="15371"/>
    <cellStyle name="Normal 18 2 4 2 2 2 4" xfId="15372"/>
    <cellStyle name="Normal 18 2 4 2 2 2 4 2" xfId="15373"/>
    <cellStyle name="Normal 18 2 4 2 2 2 4 2 2" xfId="15374"/>
    <cellStyle name="Normal 18 2 4 2 2 2 4 3" xfId="15375"/>
    <cellStyle name="Normal 18 2 4 2 2 2 5" xfId="15376"/>
    <cellStyle name="Normal 18 2 4 2 2 2 5 2" xfId="15377"/>
    <cellStyle name="Normal 18 2 4 2 2 2 6" xfId="15378"/>
    <cellStyle name="Normal 18 2 4 2 2 3" xfId="15379"/>
    <cellStyle name="Normal 18 2 4 2 2 3 2" xfId="15380"/>
    <cellStyle name="Normal 18 2 4 2 2 3 2 2" xfId="15381"/>
    <cellStyle name="Normal 18 2 4 2 2 3 2 2 2" xfId="15382"/>
    <cellStyle name="Normal 18 2 4 2 2 3 2 3" xfId="15383"/>
    <cellStyle name="Normal 18 2 4 2 2 3 3" xfId="15384"/>
    <cellStyle name="Normal 18 2 4 2 2 3 3 2" xfId="15385"/>
    <cellStyle name="Normal 18 2 4 2 2 3 4" xfId="15386"/>
    <cellStyle name="Normal 18 2 4 2 2 4" xfId="15387"/>
    <cellStyle name="Normal 18 2 4 2 2 4 2" xfId="15388"/>
    <cellStyle name="Normal 18 2 4 2 2 4 2 2" xfId="15389"/>
    <cellStyle name="Normal 18 2 4 2 2 4 2 2 2" xfId="15390"/>
    <cellStyle name="Normal 18 2 4 2 2 4 2 3" xfId="15391"/>
    <cellStyle name="Normal 18 2 4 2 2 4 3" xfId="15392"/>
    <cellStyle name="Normal 18 2 4 2 2 4 3 2" xfId="15393"/>
    <cellStyle name="Normal 18 2 4 2 2 4 4" xfId="15394"/>
    <cellStyle name="Normal 18 2 4 2 2 5" xfId="15395"/>
    <cellStyle name="Normal 18 2 4 2 2 5 2" xfId="15396"/>
    <cellStyle name="Normal 18 2 4 2 2 5 2 2" xfId="15397"/>
    <cellStyle name="Normal 18 2 4 2 2 5 3" xfId="15398"/>
    <cellStyle name="Normal 18 2 4 2 2 6" xfId="15399"/>
    <cellStyle name="Normal 18 2 4 2 2 6 2" xfId="15400"/>
    <cellStyle name="Normal 18 2 4 2 2 7" xfId="15401"/>
    <cellStyle name="Normal 18 2 4 2 3" xfId="15402"/>
    <cellStyle name="Normal 18 2 4 2 3 2" xfId="15403"/>
    <cellStyle name="Normal 18 2 4 2 3 2 2" xfId="15404"/>
    <cellStyle name="Normal 18 2 4 2 3 2 2 2" xfId="15405"/>
    <cellStyle name="Normal 18 2 4 2 3 2 2 2 2" xfId="15406"/>
    <cellStyle name="Normal 18 2 4 2 3 2 2 3" xfId="15407"/>
    <cellStyle name="Normal 18 2 4 2 3 2 3" xfId="15408"/>
    <cellStyle name="Normal 18 2 4 2 3 2 3 2" xfId="15409"/>
    <cellStyle name="Normal 18 2 4 2 3 2 4" xfId="15410"/>
    <cellStyle name="Normal 18 2 4 2 3 3" xfId="15411"/>
    <cellStyle name="Normal 18 2 4 2 3 3 2" xfId="15412"/>
    <cellStyle name="Normal 18 2 4 2 3 3 2 2" xfId="15413"/>
    <cellStyle name="Normal 18 2 4 2 3 3 2 2 2" xfId="15414"/>
    <cellStyle name="Normal 18 2 4 2 3 3 2 3" xfId="15415"/>
    <cellStyle name="Normal 18 2 4 2 3 3 3" xfId="15416"/>
    <cellStyle name="Normal 18 2 4 2 3 3 3 2" xfId="15417"/>
    <cellStyle name="Normal 18 2 4 2 3 3 4" xfId="15418"/>
    <cellStyle name="Normal 18 2 4 2 3 4" xfId="15419"/>
    <cellStyle name="Normal 18 2 4 2 3 4 2" xfId="15420"/>
    <cellStyle name="Normal 18 2 4 2 3 4 2 2" xfId="15421"/>
    <cellStyle name="Normal 18 2 4 2 3 4 3" xfId="15422"/>
    <cellStyle name="Normal 18 2 4 2 3 5" xfId="15423"/>
    <cellStyle name="Normal 18 2 4 2 3 5 2" xfId="15424"/>
    <cellStyle name="Normal 18 2 4 2 3 6" xfId="15425"/>
    <cellStyle name="Normal 18 2 4 2 4" xfId="15426"/>
    <cellStyle name="Normal 18 2 4 2 4 2" xfId="15427"/>
    <cellStyle name="Normal 18 2 4 2 4 2 2" xfId="15428"/>
    <cellStyle name="Normal 18 2 4 2 4 2 2 2" xfId="15429"/>
    <cellStyle name="Normal 18 2 4 2 4 2 3" xfId="15430"/>
    <cellStyle name="Normal 18 2 4 2 4 3" xfId="15431"/>
    <cellStyle name="Normal 18 2 4 2 4 3 2" xfId="15432"/>
    <cellStyle name="Normal 18 2 4 2 4 4" xfId="15433"/>
    <cellStyle name="Normal 18 2 4 2 5" xfId="15434"/>
    <cellStyle name="Normal 18 2 4 2 5 2" xfId="15435"/>
    <cellStyle name="Normal 18 2 4 2 5 2 2" xfId="15436"/>
    <cellStyle name="Normal 18 2 4 2 5 2 2 2" xfId="15437"/>
    <cellStyle name="Normal 18 2 4 2 5 2 3" xfId="15438"/>
    <cellStyle name="Normal 18 2 4 2 5 3" xfId="15439"/>
    <cellStyle name="Normal 18 2 4 2 5 3 2" xfId="15440"/>
    <cellStyle name="Normal 18 2 4 2 5 4" xfId="15441"/>
    <cellStyle name="Normal 18 2 4 2 6" xfId="15442"/>
    <cellStyle name="Normal 18 2 4 2 6 2" xfId="15443"/>
    <cellStyle name="Normal 18 2 4 2 6 2 2" xfId="15444"/>
    <cellStyle name="Normal 18 2 4 2 6 2 2 2" xfId="15445"/>
    <cellStyle name="Normal 18 2 4 2 6 2 3" xfId="15446"/>
    <cellStyle name="Normal 18 2 4 2 6 3" xfId="15447"/>
    <cellStyle name="Normal 18 2 4 2 6 3 2" xfId="15448"/>
    <cellStyle name="Normal 18 2 4 2 6 4" xfId="15449"/>
    <cellStyle name="Normal 18 2 4 2 7" xfId="15450"/>
    <cellStyle name="Normal 18 2 4 2 7 2" xfId="15451"/>
    <cellStyle name="Normal 18 2 4 2 7 2 2" xfId="15452"/>
    <cellStyle name="Normal 18 2 4 2 7 3" xfId="15453"/>
    <cellStyle name="Normal 18 2 4 2 8" xfId="15454"/>
    <cellStyle name="Normal 18 2 4 2 8 2" xfId="15455"/>
    <cellStyle name="Normal 18 2 4 2 9" xfId="15456"/>
    <cellStyle name="Normal 18 2 4 3" xfId="15457"/>
    <cellStyle name="Normal 18 2 4 3 2" xfId="15458"/>
    <cellStyle name="Normal 18 2 4 3 2 2" xfId="15459"/>
    <cellStyle name="Normal 18 2 4 3 2 2 2" xfId="15460"/>
    <cellStyle name="Normal 18 2 4 3 2 2 2 2" xfId="15461"/>
    <cellStyle name="Normal 18 2 4 3 2 2 2 2 2" xfId="15462"/>
    <cellStyle name="Normal 18 2 4 3 2 2 2 3" xfId="15463"/>
    <cellStyle name="Normal 18 2 4 3 2 2 3" xfId="15464"/>
    <cellStyle name="Normal 18 2 4 3 2 2 3 2" xfId="15465"/>
    <cellStyle name="Normal 18 2 4 3 2 2 4" xfId="15466"/>
    <cellStyle name="Normal 18 2 4 3 2 3" xfId="15467"/>
    <cellStyle name="Normal 18 2 4 3 2 3 2" xfId="15468"/>
    <cellStyle name="Normal 18 2 4 3 2 3 2 2" xfId="15469"/>
    <cellStyle name="Normal 18 2 4 3 2 3 2 2 2" xfId="15470"/>
    <cellStyle name="Normal 18 2 4 3 2 3 2 3" xfId="15471"/>
    <cellStyle name="Normal 18 2 4 3 2 3 3" xfId="15472"/>
    <cellStyle name="Normal 18 2 4 3 2 3 3 2" xfId="15473"/>
    <cellStyle name="Normal 18 2 4 3 2 3 4" xfId="15474"/>
    <cellStyle name="Normal 18 2 4 3 2 4" xfId="15475"/>
    <cellStyle name="Normal 18 2 4 3 2 4 2" xfId="15476"/>
    <cellStyle name="Normal 18 2 4 3 2 4 2 2" xfId="15477"/>
    <cellStyle name="Normal 18 2 4 3 2 4 3" xfId="15478"/>
    <cellStyle name="Normal 18 2 4 3 2 5" xfId="15479"/>
    <cellStyle name="Normal 18 2 4 3 2 5 2" xfId="15480"/>
    <cellStyle name="Normal 18 2 4 3 2 6" xfId="15481"/>
    <cellStyle name="Normal 18 2 4 3 3" xfId="15482"/>
    <cellStyle name="Normal 18 2 4 3 3 2" xfId="15483"/>
    <cellStyle name="Normal 18 2 4 3 3 2 2" xfId="15484"/>
    <cellStyle name="Normal 18 2 4 3 3 2 2 2" xfId="15485"/>
    <cellStyle name="Normal 18 2 4 3 3 2 3" xfId="15486"/>
    <cellStyle name="Normal 18 2 4 3 3 3" xfId="15487"/>
    <cellStyle name="Normal 18 2 4 3 3 3 2" xfId="15488"/>
    <cellStyle name="Normal 18 2 4 3 3 4" xfId="15489"/>
    <cellStyle name="Normal 18 2 4 3 4" xfId="15490"/>
    <cellStyle name="Normal 18 2 4 3 4 2" xfId="15491"/>
    <cellStyle name="Normal 18 2 4 3 4 2 2" xfId="15492"/>
    <cellStyle name="Normal 18 2 4 3 4 2 2 2" xfId="15493"/>
    <cellStyle name="Normal 18 2 4 3 4 2 3" xfId="15494"/>
    <cellStyle name="Normal 18 2 4 3 4 3" xfId="15495"/>
    <cellStyle name="Normal 18 2 4 3 4 3 2" xfId="15496"/>
    <cellStyle name="Normal 18 2 4 3 4 4" xfId="15497"/>
    <cellStyle name="Normal 18 2 4 3 5" xfId="15498"/>
    <cellStyle name="Normal 18 2 4 3 5 2" xfId="15499"/>
    <cellStyle name="Normal 18 2 4 3 5 2 2" xfId="15500"/>
    <cellStyle name="Normal 18 2 4 3 5 3" xfId="15501"/>
    <cellStyle name="Normal 18 2 4 3 6" xfId="15502"/>
    <cellStyle name="Normal 18 2 4 3 6 2" xfId="15503"/>
    <cellStyle name="Normal 18 2 4 3 7" xfId="15504"/>
    <cellStyle name="Normal 18 2 4 4" xfId="15505"/>
    <cellStyle name="Normal 18 2 4 4 2" xfId="15506"/>
    <cellStyle name="Normal 18 2 4 4 2 2" xfId="15507"/>
    <cellStyle name="Normal 18 2 4 4 2 2 2" xfId="15508"/>
    <cellStyle name="Normal 18 2 4 4 2 2 2 2" xfId="15509"/>
    <cellStyle name="Normal 18 2 4 4 2 2 3" xfId="15510"/>
    <cellStyle name="Normal 18 2 4 4 2 3" xfId="15511"/>
    <cellStyle name="Normal 18 2 4 4 2 3 2" xfId="15512"/>
    <cellStyle name="Normal 18 2 4 4 2 4" xfId="15513"/>
    <cellStyle name="Normal 18 2 4 4 3" xfId="15514"/>
    <cellStyle name="Normal 18 2 4 4 3 2" xfId="15515"/>
    <cellStyle name="Normal 18 2 4 4 3 2 2" xfId="15516"/>
    <cellStyle name="Normal 18 2 4 4 3 2 2 2" xfId="15517"/>
    <cellStyle name="Normal 18 2 4 4 3 2 3" xfId="15518"/>
    <cellStyle name="Normal 18 2 4 4 3 3" xfId="15519"/>
    <cellStyle name="Normal 18 2 4 4 3 3 2" xfId="15520"/>
    <cellStyle name="Normal 18 2 4 4 3 4" xfId="15521"/>
    <cellStyle name="Normal 18 2 4 4 4" xfId="15522"/>
    <cellStyle name="Normal 18 2 4 4 4 2" xfId="15523"/>
    <cellStyle name="Normal 18 2 4 4 4 2 2" xfId="15524"/>
    <cellStyle name="Normal 18 2 4 4 4 3" xfId="15525"/>
    <cellStyle name="Normal 18 2 4 4 5" xfId="15526"/>
    <cellStyle name="Normal 18 2 4 4 5 2" xfId="15527"/>
    <cellStyle name="Normal 18 2 4 4 6" xfId="15528"/>
    <cellStyle name="Normal 18 2 4 5" xfId="15529"/>
    <cellStyle name="Normal 18 2 4 5 2" xfId="15530"/>
    <cellStyle name="Normal 18 2 4 5 2 2" xfId="15531"/>
    <cellStyle name="Normal 18 2 4 5 2 2 2" xfId="15532"/>
    <cellStyle name="Normal 18 2 4 5 2 3" xfId="15533"/>
    <cellStyle name="Normal 18 2 4 5 3" xfId="15534"/>
    <cellStyle name="Normal 18 2 4 5 3 2" xfId="15535"/>
    <cellStyle name="Normal 18 2 4 5 4" xfId="15536"/>
    <cellStyle name="Normal 18 2 4 6" xfId="15537"/>
    <cellStyle name="Normal 18 2 4 6 2" xfId="15538"/>
    <cellStyle name="Normal 18 2 4 6 2 2" xfId="15539"/>
    <cellStyle name="Normal 18 2 4 6 2 2 2" xfId="15540"/>
    <cellStyle name="Normal 18 2 4 6 2 3" xfId="15541"/>
    <cellStyle name="Normal 18 2 4 6 3" xfId="15542"/>
    <cellStyle name="Normal 18 2 4 6 3 2" xfId="15543"/>
    <cellStyle name="Normal 18 2 4 6 4" xfId="15544"/>
    <cellStyle name="Normal 18 2 4 7" xfId="15545"/>
    <cellStyle name="Normal 18 2 4 7 2" xfId="15546"/>
    <cellStyle name="Normal 18 2 4 7 2 2" xfId="15547"/>
    <cellStyle name="Normal 18 2 4 7 2 2 2" xfId="15548"/>
    <cellStyle name="Normal 18 2 4 7 2 3" xfId="15549"/>
    <cellStyle name="Normal 18 2 4 7 3" xfId="15550"/>
    <cellStyle name="Normal 18 2 4 7 3 2" xfId="15551"/>
    <cellStyle name="Normal 18 2 4 7 4" xfId="15552"/>
    <cellStyle name="Normal 18 2 4 8" xfId="15553"/>
    <cellStyle name="Normal 18 2 4 8 2" xfId="15554"/>
    <cellStyle name="Normal 18 2 4 8 2 2" xfId="15555"/>
    <cellStyle name="Normal 18 2 4 8 3" xfId="15556"/>
    <cellStyle name="Normal 18 2 4 9" xfId="15557"/>
    <cellStyle name="Normal 18 2 4 9 2" xfId="15558"/>
    <cellStyle name="Normal 18 2 5" xfId="15559"/>
    <cellStyle name="Normal 18 2 5 2" xfId="15560"/>
    <cellStyle name="Normal 18 2 5 2 2" xfId="15561"/>
    <cellStyle name="Normal 18 2 5 2 2 2" xfId="15562"/>
    <cellStyle name="Normal 18 2 5 2 2 2 2" xfId="15563"/>
    <cellStyle name="Normal 18 2 5 2 2 2 2 2" xfId="15564"/>
    <cellStyle name="Normal 18 2 5 2 2 2 2 2 2" xfId="15565"/>
    <cellStyle name="Normal 18 2 5 2 2 2 2 3" xfId="15566"/>
    <cellStyle name="Normal 18 2 5 2 2 2 3" xfId="15567"/>
    <cellStyle name="Normal 18 2 5 2 2 2 3 2" xfId="15568"/>
    <cellStyle name="Normal 18 2 5 2 2 2 4" xfId="15569"/>
    <cellStyle name="Normal 18 2 5 2 2 3" xfId="15570"/>
    <cellStyle name="Normal 18 2 5 2 2 3 2" xfId="15571"/>
    <cellStyle name="Normal 18 2 5 2 2 3 2 2" xfId="15572"/>
    <cellStyle name="Normal 18 2 5 2 2 3 2 2 2" xfId="15573"/>
    <cellStyle name="Normal 18 2 5 2 2 3 2 3" xfId="15574"/>
    <cellStyle name="Normal 18 2 5 2 2 3 3" xfId="15575"/>
    <cellStyle name="Normal 18 2 5 2 2 3 3 2" xfId="15576"/>
    <cellStyle name="Normal 18 2 5 2 2 3 4" xfId="15577"/>
    <cellStyle name="Normal 18 2 5 2 2 4" xfId="15578"/>
    <cellStyle name="Normal 18 2 5 2 2 4 2" xfId="15579"/>
    <cellStyle name="Normal 18 2 5 2 2 4 2 2" xfId="15580"/>
    <cellStyle name="Normal 18 2 5 2 2 4 3" xfId="15581"/>
    <cellStyle name="Normal 18 2 5 2 2 5" xfId="15582"/>
    <cellStyle name="Normal 18 2 5 2 2 5 2" xfId="15583"/>
    <cellStyle name="Normal 18 2 5 2 2 6" xfId="15584"/>
    <cellStyle name="Normal 18 2 5 2 3" xfId="15585"/>
    <cellStyle name="Normal 18 2 5 2 3 2" xfId="15586"/>
    <cellStyle name="Normal 18 2 5 2 3 2 2" xfId="15587"/>
    <cellStyle name="Normal 18 2 5 2 3 2 2 2" xfId="15588"/>
    <cellStyle name="Normal 18 2 5 2 3 2 3" xfId="15589"/>
    <cellStyle name="Normal 18 2 5 2 3 3" xfId="15590"/>
    <cellStyle name="Normal 18 2 5 2 3 3 2" xfId="15591"/>
    <cellStyle name="Normal 18 2 5 2 3 4" xfId="15592"/>
    <cellStyle name="Normal 18 2 5 2 4" xfId="15593"/>
    <cellStyle name="Normal 18 2 5 2 4 2" xfId="15594"/>
    <cellStyle name="Normal 18 2 5 2 4 2 2" xfId="15595"/>
    <cellStyle name="Normal 18 2 5 2 4 2 2 2" xfId="15596"/>
    <cellStyle name="Normal 18 2 5 2 4 2 3" xfId="15597"/>
    <cellStyle name="Normal 18 2 5 2 4 3" xfId="15598"/>
    <cellStyle name="Normal 18 2 5 2 4 3 2" xfId="15599"/>
    <cellStyle name="Normal 18 2 5 2 4 4" xfId="15600"/>
    <cellStyle name="Normal 18 2 5 2 5" xfId="15601"/>
    <cellStyle name="Normal 18 2 5 2 5 2" xfId="15602"/>
    <cellStyle name="Normal 18 2 5 2 5 2 2" xfId="15603"/>
    <cellStyle name="Normal 18 2 5 2 5 3" xfId="15604"/>
    <cellStyle name="Normal 18 2 5 2 6" xfId="15605"/>
    <cellStyle name="Normal 18 2 5 2 6 2" xfId="15606"/>
    <cellStyle name="Normal 18 2 5 2 7" xfId="15607"/>
    <cellStyle name="Normal 18 2 5 3" xfId="15608"/>
    <cellStyle name="Normal 18 2 5 3 2" xfId="15609"/>
    <cellStyle name="Normal 18 2 5 3 2 2" xfId="15610"/>
    <cellStyle name="Normal 18 2 5 3 2 2 2" xfId="15611"/>
    <cellStyle name="Normal 18 2 5 3 2 2 2 2" xfId="15612"/>
    <cellStyle name="Normal 18 2 5 3 2 2 3" xfId="15613"/>
    <cellStyle name="Normal 18 2 5 3 2 3" xfId="15614"/>
    <cellStyle name="Normal 18 2 5 3 2 3 2" xfId="15615"/>
    <cellStyle name="Normal 18 2 5 3 2 4" xfId="15616"/>
    <cellStyle name="Normal 18 2 5 3 3" xfId="15617"/>
    <cellStyle name="Normal 18 2 5 3 3 2" xfId="15618"/>
    <cellStyle name="Normal 18 2 5 3 3 2 2" xfId="15619"/>
    <cellStyle name="Normal 18 2 5 3 3 2 2 2" xfId="15620"/>
    <cellStyle name="Normal 18 2 5 3 3 2 3" xfId="15621"/>
    <cellStyle name="Normal 18 2 5 3 3 3" xfId="15622"/>
    <cellStyle name="Normal 18 2 5 3 3 3 2" xfId="15623"/>
    <cellStyle name="Normal 18 2 5 3 3 4" xfId="15624"/>
    <cellStyle name="Normal 18 2 5 3 4" xfId="15625"/>
    <cellStyle name="Normal 18 2 5 3 4 2" xfId="15626"/>
    <cellStyle name="Normal 18 2 5 3 4 2 2" xfId="15627"/>
    <cellStyle name="Normal 18 2 5 3 4 3" xfId="15628"/>
    <cellStyle name="Normal 18 2 5 3 5" xfId="15629"/>
    <cellStyle name="Normal 18 2 5 3 5 2" xfId="15630"/>
    <cellStyle name="Normal 18 2 5 3 6" xfId="15631"/>
    <cellStyle name="Normal 18 2 5 4" xfId="15632"/>
    <cellStyle name="Normal 18 2 5 4 2" xfId="15633"/>
    <cellStyle name="Normal 18 2 5 4 2 2" xfId="15634"/>
    <cellStyle name="Normal 18 2 5 4 2 2 2" xfId="15635"/>
    <cellStyle name="Normal 18 2 5 4 2 3" xfId="15636"/>
    <cellStyle name="Normal 18 2 5 4 3" xfId="15637"/>
    <cellStyle name="Normal 18 2 5 4 3 2" xfId="15638"/>
    <cellStyle name="Normal 18 2 5 4 4" xfId="15639"/>
    <cellStyle name="Normal 18 2 5 5" xfId="15640"/>
    <cellStyle name="Normal 18 2 5 5 2" xfId="15641"/>
    <cellStyle name="Normal 18 2 5 5 2 2" xfId="15642"/>
    <cellStyle name="Normal 18 2 5 5 2 2 2" xfId="15643"/>
    <cellStyle name="Normal 18 2 5 5 2 3" xfId="15644"/>
    <cellStyle name="Normal 18 2 5 5 3" xfId="15645"/>
    <cellStyle name="Normal 18 2 5 5 3 2" xfId="15646"/>
    <cellStyle name="Normal 18 2 5 5 4" xfId="15647"/>
    <cellStyle name="Normal 18 2 5 6" xfId="15648"/>
    <cellStyle name="Normal 18 2 5 6 2" xfId="15649"/>
    <cellStyle name="Normal 18 2 5 6 2 2" xfId="15650"/>
    <cellStyle name="Normal 18 2 5 6 2 2 2" xfId="15651"/>
    <cellStyle name="Normal 18 2 5 6 2 3" xfId="15652"/>
    <cellStyle name="Normal 18 2 5 6 3" xfId="15653"/>
    <cellStyle name="Normal 18 2 5 6 3 2" xfId="15654"/>
    <cellStyle name="Normal 18 2 5 6 4" xfId="15655"/>
    <cellStyle name="Normal 18 2 5 7" xfId="15656"/>
    <cellStyle name="Normal 18 2 5 7 2" xfId="15657"/>
    <cellStyle name="Normal 18 2 5 7 2 2" xfId="15658"/>
    <cellStyle name="Normal 18 2 5 7 3" xfId="15659"/>
    <cellStyle name="Normal 18 2 5 8" xfId="15660"/>
    <cellStyle name="Normal 18 2 5 8 2" xfId="15661"/>
    <cellStyle name="Normal 18 2 5 9" xfId="15662"/>
    <cellStyle name="Normal 18 2 6" xfId="15663"/>
    <cellStyle name="Normal 18 2 6 2" xfId="15664"/>
    <cellStyle name="Normal 18 2 6 2 2" xfId="15665"/>
    <cellStyle name="Normal 18 2 6 2 2 2" xfId="15666"/>
    <cellStyle name="Normal 18 2 6 2 2 2 2" xfId="15667"/>
    <cellStyle name="Normal 18 2 6 2 2 2 2 2" xfId="15668"/>
    <cellStyle name="Normal 18 2 6 2 2 2 3" xfId="15669"/>
    <cellStyle name="Normal 18 2 6 2 2 3" xfId="15670"/>
    <cellStyle name="Normal 18 2 6 2 2 3 2" xfId="15671"/>
    <cellStyle name="Normal 18 2 6 2 2 4" xfId="15672"/>
    <cellStyle name="Normal 18 2 6 2 3" xfId="15673"/>
    <cellStyle name="Normal 18 2 6 2 3 2" xfId="15674"/>
    <cellStyle name="Normal 18 2 6 2 3 2 2" xfId="15675"/>
    <cellStyle name="Normal 18 2 6 2 3 2 2 2" xfId="15676"/>
    <cellStyle name="Normal 18 2 6 2 3 2 3" xfId="15677"/>
    <cellStyle name="Normal 18 2 6 2 3 3" xfId="15678"/>
    <cellStyle name="Normal 18 2 6 2 3 3 2" xfId="15679"/>
    <cellStyle name="Normal 18 2 6 2 3 4" xfId="15680"/>
    <cellStyle name="Normal 18 2 6 2 4" xfId="15681"/>
    <cellStyle name="Normal 18 2 6 2 4 2" xfId="15682"/>
    <cellStyle name="Normal 18 2 6 2 4 2 2" xfId="15683"/>
    <cellStyle name="Normal 18 2 6 2 4 3" xfId="15684"/>
    <cellStyle name="Normal 18 2 6 2 5" xfId="15685"/>
    <cellStyle name="Normal 18 2 6 2 5 2" xfId="15686"/>
    <cellStyle name="Normal 18 2 6 2 6" xfId="15687"/>
    <cellStyle name="Normal 18 2 6 3" xfId="15688"/>
    <cellStyle name="Normal 18 2 6 3 2" xfId="15689"/>
    <cellStyle name="Normal 18 2 6 3 2 2" xfId="15690"/>
    <cellStyle name="Normal 18 2 6 3 2 2 2" xfId="15691"/>
    <cellStyle name="Normal 18 2 6 3 2 3" xfId="15692"/>
    <cellStyle name="Normal 18 2 6 3 3" xfId="15693"/>
    <cellStyle name="Normal 18 2 6 3 3 2" xfId="15694"/>
    <cellStyle name="Normal 18 2 6 3 4" xfId="15695"/>
    <cellStyle name="Normal 18 2 6 4" xfId="15696"/>
    <cellStyle name="Normal 18 2 6 4 2" xfId="15697"/>
    <cellStyle name="Normal 18 2 6 4 2 2" xfId="15698"/>
    <cellStyle name="Normal 18 2 6 4 2 2 2" xfId="15699"/>
    <cellStyle name="Normal 18 2 6 4 2 3" xfId="15700"/>
    <cellStyle name="Normal 18 2 6 4 3" xfId="15701"/>
    <cellStyle name="Normal 18 2 6 4 3 2" xfId="15702"/>
    <cellStyle name="Normal 18 2 6 4 4" xfId="15703"/>
    <cellStyle name="Normal 18 2 6 5" xfId="15704"/>
    <cellStyle name="Normal 18 2 6 5 2" xfId="15705"/>
    <cellStyle name="Normal 18 2 6 5 2 2" xfId="15706"/>
    <cellStyle name="Normal 18 2 6 5 3" xfId="15707"/>
    <cellStyle name="Normal 18 2 6 6" xfId="15708"/>
    <cellStyle name="Normal 18 2 6 6 2" xfId="15709"/>
    <cellStyle name="Normal 18 2 6 7" xfId="15710"/>
    <cellStyle name="Normal 18 2 7" xfId="15711"/>
    <cellStyle name="Normal 18 2 7 2" xfId="15712"/>
    <cellStyle name="Normal 18 2 7 2 2" xfId="15713"/>
    <cellStyle name="Normal 18 2 7 2 2 2" xfId="15714"/>
    <cellStyle name="Normal 18 2 7 2 2 2 2" xfId="15715"/>
    <cellStyle name="Normal 18 2 7 2 2 3" xfId="15716"/>
    <cellStyle name="Normal 18 2 7 2 3" xfId="15717"/>
    <cellStyle name="Normal 18 2 7 2 3 2" xfId="15718"/>
    <cellStyle name="Normal 18 2 7 2 4" xfId="15719"/>
    <cellStyle name="Normal 18 2 7 3" xfId="15720"/>
    <cellStyle name="Normal 18 2 7 3 2" xfId="15721"/>
    <cellStyle name="Normal 18 2 7 3 2 2" xfId="15722"/>
    <cellStyle name="Normal 18 2 7 3 2 2 2" xfId="15723"/>
    <cellStyle name="Normal 18 2 7 3 2 3" xfId="15724"/>
    <cellStyle name="Normal 18 2 7 3 3" xfId="15725"/>
    <cellStyle name="Normal 18 2 7 3 3 2" xfId="15726"/>
    <cellStyle name="Normal 18 2 7 3 4" xfId="15727"/>
    <cellStyle name="Normal 18 2 7 4" xfId="15728"/>
    <cellStyle name="Normal 18 2 7 4 2" xfId="15729"/>
    <cellStyle name="Normal 18 2 7 4 2 2" xfId="15730"/>
    <cellStyle name="Normal 18 2 7 4 3" xfId="15731"/>
    <cellStyle name="Normal 18 2 7 5" xfId="15732"/>
    <cellStyle name="Normal 18 2 7 5 2" xfId="15733"/>
    <cellStyle name="Normal 18 2 7 6" xfId="15734"/>
    <cellStyle name="Normal 18 2 8" xfId="15735"/>
    <cellStyle name="Normal 18 2 8 2" xfId="15736"/>
    <cellStyle name="Normal 18 2 8 2 2" xfId="15737"/>
    <cellStyle name="Normal 18 2 8 2 2 2" xfId="15738"/>
    <cellStyle name="Normal 18 2 8 2 3" xfId="15739"/>
    <cellStyle name="Normal 18 2 8 3" xfId="15740"/>
    <cellStyle name="Normal 18 2 8 3 2" xfId="15741"/>
    <cellStyle name="Normal 18 2 8 4" xfId="15742"/>
    <cellStyle name="Normal 18 2 9" xfId="15743"/>
    <cellStyle name="Normal 18 2 9 2" xfId="15744"/>
    <cellStyle name="Normal 18 2 9 2 2" xfId="15745"/>
    <cellStyle name="Normal 18 2 9 2 2 2" xfId="15746"/>
    <cellStyle name="Normal 18 2 9 2 3" xfId="15747"/>
    <cellStyle name="Normal 18 2 9 3" xfId="15748"/>
    <cellStyle name="Normal 18 2 9 3 2" xfId="15749"/>
    <cellStyle name="Normal 18 2 9 4" xfId="15750"/>
    <cellStyle name="Normal 18 3" xfId="15751"/>
    <cellStyle name="Normal 18 3 10" xfId="15752"/>
    <cellStyle name="Normal 18 3 10 2" xfId="15753"/>
    <cellStyle name="Normal 18 3 11" xfId="15754"/>
    <cellStyle name="Normal 18 3 2" xfId="15755"/>
    <cellStyle name="Normal 18 3 2 10" xfId="15756"/>
    <cellStyle name="Normal 18 3 2 2" xfId="15757"/>
    <cellStyle name="Normal 18 3 2 2 2" xfId="15758"/>
    <cellStyle name="Normal 18 3 2 2 2 2" xfId="15759"/>
    <cellStyle name="Normal 18 3 2 2 2 2 2" xfId="15760"/>
    <cellStyle name="Normal 18 3 2 2 2 2 2 2" xfId="15761"/>
    <cellStyle name="Normal 18 3 2 2 2 2 2 2 2" xfId="15762"/>
    <cellStyle name="Normal 18 3 2 2 2 2 2 2 2 2" xfId="15763"/>
    <cellStyle name="Normal 18 3 2 2 2 2 2 2 3" xfId="15764"/>
    <cellStyle name="Normal 18 3 2 2 2 2 2 3" xfId="15765"/>
    <cellStyle name="Normal 18 3 2 2 2 2 2 3 2" xfId="15766"/>
    <cellStyle name="Normal 18 3 2 2 2 2 2 4" xfId="15767"/>
    <cellStyle name="Normal 18 3 2 2 2 2 3" xfId="15768"/>
    <cellStyle name="Normal 18 3 2 2 2 2 3 2" xfId="15769"/>
    <cellStyle name="Normal 18 3 2 2 2 2 3 2 2" xfId="15770"/>
    <cellStyle name="Normal 18 3 2 2 2 2 3 2 2 2" xfId="15771"/>
    <cellStyle name="Normal 18 3 2 2 2 2 3 2 3" xfId="15772"/>
    <cellStyle name="Normal 18 3 2 2 2 2 3 3" xfId="15773"/>
    <cellStyle name="Normal 18 3 2 2 2 2 3 3 2" xfId="15774"/>
    <cellStyle name="Normal 18 3 2 2 2 2 3 4" xfId="15775"/>
    <cellStyle name="Normal 18 3 2 2 2 2 4" xfId="15776"/>
    <cellStyle name="Normal 18 3 2 2 2 2 4 2" xfId="15777"/>
    <cellStyle name="Normal 18 3 2 2 2 2 4 2 2" xfId="15778"/>
    <cellStyle name="Normal 18 3 2 2 2 2 4 3" xfId="15779"/>
    <cellStyle name="Normal 18 3 2 2 2 2 5" xfId="15780"/>
    <cellStyle name="Normal 18 3 2 2 2 2 5 2" xfId="15781"/>
    <cellStyle name="Normal 18 3 2 2 2 2 6" xfId="15782"/>
    <cellStyle name="Normal 18 3 2 2 2 3" xfId="15783"/>
    <cellStyle name="Normal 18 3 2 2 2 3 2" xfId="15784"/>
    <cellStyle name="Normal 18 3 2 2 2 3 2 2" xfId="15785"/>
    <cellStyle name="Normal 18 3 2 2 2 3 2 2 2" xfId="15786"/>
    <cellStyle name="Normal 18 3 2 2 2 3 2 3" xfId="15787"/>
    <cellStyle name="Normal 18 3 2 2 2 3 3" xfId="15788"/>
    <cellStyle name="Normal 18 3 2 2 2 3 3 2" xfId="15789"/>
    <cellStyle name="Normal 18 3 2 2 2 3 4" xfId="15790"/>
    <cellStyle name="Normal 18 3 2 2 2 4" xfId="15791"/>
    <cellStyle name="Normal 18 3 2 2 2 4 2" xfId="15792"/>
    <cellStyle name="Normal 18 3 2 2 2 4 2 2" xfId="15793"/>
    <cellStyle name="Normal 18 3 2 2 2 4 2 2 2" xfId="15794"/>
    <cellStyle name="Normal 18 3 2 2 2 4 2 3" xfId="15795"/>
    <cellStyle name="Normal 18 3 2 2 2 4 3" xfId="15796"/>
    <cellStyle name="Normal 18 3 2 2 2 4 3 2" xfId="15797"/>
    <cellStyle name="Normal 18 3 2 2 2 4 4" xfId="15798"/>
    <cellStyle name="Normal 18 3 2 2 2 5" xfId="15799"/>
    <cellStyle name="Normal 18 3 2 2 2 5 2" xfId="15800"/>
    <cellStyle name="Normal 18 3 2 2 2 5 2 2" xfId="15801"/>
    <cellStyle name="Normal 18 3 2 2 2 5 3" xfId="15802"/>
    <cellStyle name="Normal 18 3 2 2 2 6" xfId="15803"/>
    <cellStyle name="Normal 18 3 2 2 2 6 2" xfId="15804"/>
    <cellStyle name="Normal 18 3 2 2 2 7" xfId="15805"/>
    <cellStyle name="Normal 18 3 2 2 3" xfId="15806"/>
    <cellStyle name="Normal 18 3 2 2 3 2" xfId="15807"/>
    <cellStyle name="Normal 18 3 2 2 3 2 2" xfId="15808"/>
    <cellStyle name="Normal 18 3 2 2 3 2 2 2" xfId="15809"/>
    <cellStyle name="Normal 18 3 2 2 3 2 2 2 2" xfId="15810"/>
    <cellStyle name="Normal 18 3 2 2 3 2 2 3" xfId="15811"/>
    <cellStyle name="Normal 18 3 2 2 3 2 3" xfId="15812"/>
    <cellStyle name="Normal 18 3 2 2 3 2 3 2" xfId="15813"/>
    <cellStyle name="Normal 18 3 2 2 3 2 4" xfId="15814"/>
    <cellStyle name="Normal 18 3 2 2 3 3" xfId="15815"/>
    <cellStyle name="Normal 18 3 2 2 3 3 2" xfId="15816"/>
    <cellStyle name="Normal 18 3 2 2 3 3 2 2" xfId="15817"/>
    <cellStyle name="Normal 18 3 2 2 3 3 2 2 2" xfId="15818"/>
    <cellStyle name="Normal 18 3 2 2 3 3 2 3" xfId="15819"/>
    <cellStyle name="Normal 18 3 2 2 3 3 3" xfId="15820"/>
    <cellStyle name="Normal 18 3 2 2 3 3 3 2" xfId="15821"/>
    <cellStyle name="Normal 18 3 2 2 3 3 4" xfId="15822"/>
    <cellStyle name="Normal 18 3 2 2 3 4" xfId="15823"/>
    <cellStyle name="Normal 18 3 2 2 3 4 2" xfId="15824"/>
    <cellStyle name="Normal 18 3 2 2 3 4 2 2" xfId="15825"/>
    <cellStyle name="Normal 18 3 2 2 3 4 3" xfId="15826"/>
    <cellStyle name="Normal 18 3 2 2 3 5" xfId="15827"/>
    <cellStyle name="Normal 18 3 2 2 3 5 2" xfId="15828"/>
    <cellStyle name="Normal 18 3 2 2 3 6" xfId="15829"/>
    <cellStyle name="Normal 18 3 2 2 4" xfId="15830"/>
    <cellStyle name="Normal 18 3 2 2 4 2" xfId="15831"/>
    <cellStyle name="Normal 18 3 2 2 4 2 2" xfId="15832"/>
    <cellStyle name="Normal 18 3 2 2 4 2 2 2" xfId="15833"/>
    <cellStyle name="Normal 18 3 2 2 4 2 3" xfId="15834"/>
    <cellStyle name="Normal 18 3 2 2 4 3" xfId="15835"/>
    <cellStyle name="Normal 18 3 2 2 4 3 2" xfId="15836"/>
    <cellStyle name="Normal 18 3 2 2 4 4" xfId="15837"/>
    <cellStyle name="Normal 18 3 2 2 5" xfId="15838"/>
    <cellStyle name="Normal 18 3 2 2 5 2" xfId="15839"/>
    <cellStyle name="Normal 18 3 2 2 5 2 2" xfId="15840"/>
    <cellStyle name="Normal 18 3 2 2 5 2 2 2" xfId="15841"/>
    <cellStyle name="Normal 18 3 2 2 5 2 3" xfId="15842"/>
    <cellStyle name="Normal 18 3 2 2 5 3" xfId="15843"/>
    <cellStyle name="Normal 18 3 2 2 5 3 2" xfId="15844"/>
    <cellStyle name="Normal 18 3 2 2 5 4" xfId="15845"/>
    <cellStyle name="Normal 18 3 2 2 6" xfId="15846"/>
    <cellStyle name="Normal 18 3 2 2 6 2" xfId="15847"/>
    <cellStyle name="Normal 18 3 2 2 6 2 2" xfId="15848"/>
    <cellStyle name="Normal 18 3 2 2 6 2 2 2" xfId="15849"/>
    <cellStyle name="Normal 18 3 2 2 6 2 3" xfId="15850"/>
    <cellStyle name="Normal 18 3 2 2 6 3" xfId="15851"/>
    <cellStyle name="Normal 18 3 2 2 6 3 2" xfId="15852"/>
    <cellStyle name="Normal 18 3 2 2 6 4" xfId="15853"/>
    <cellStyle name="Normal 18 3 2 2 7" xfId="15854"/>
    <cellStyle name="Normal 18 3 2 2 7 2" xfId="15855"/>
    <cellStyle name="Normal 18 3 2 2 7 2 2" xfId="15856"/>
    <cellStyle name="Normal 18 3 2 2 7 3" xfId="15857"/>
    <cellStyle name="Normal 18 3 2 2 8" xfId="15858"/>
    <cellStyle name="Normal 18 3 2 2 8 2" xfId="15859"/>
    <cellStyle name="Normal 18 3 2 2 9" xfId="15860"/>
    <cellStyle name="Normal 18 3 2 3" xfId="15861"/>
    <cellStyle name="Normal 18 3 2 3 2" xfId="15862"/>
    <cellStyle name="Normal 18 3 2 3 2 2" xfId="15863"/>
    <cellStyle name="Normal 18 3 2 3 2 2 2" xfId="15864"/>
    <cellStyle name="Normal 18 3 2 3 2 2 2 2" xfId="15865"/>
    <cellStyle name="Normal 18 3 2 3 2 2 2 2 2" xfId="15866"/>
    <cellStyle name="Normal 18 3 2 3 2 2 2 3" xfId="15867"/>
    <cellStyle name="Normal 18 3 2 3 2 2 3" xfId="15868"/>
    <cellStyle name="Normal 18 3 2 3 2 2 3 2" xfId="15869"/>
    <cellStyle name="Normal 18 3 2 3 2 2 4" xfId="15870"/>
    <cellStyle name="Normal 18 3 2 3 2 3" xfId="15871"/>
    <cellStyle name="Normal 18 3 2 3 2 3 2" xfId="15872"/>
    <cellStyle name="Normal 18 3 2 3 2 3 2 2" xfId="15873"/>
    <cellStyle name="Normal 18 3 2 3 2 3 2 2 2" xfId="15874"/>
    <cellStyle name="Normal 18 3 2 3 2 3 2 3" xfId="15875"/>
    <cellStyle name="Normal 18 3 2 3 2 3 3" xfId="15876"/>
    <cellStyle name="Normal 18 3 2 3 2 3 3 2" xfId="15877"/>
    <cellStyle name="Normal 18 3 2 3 2 3 4" xfId="15878"/>
    <cellStyle name="Normal 18 3 2 3 2 4" xfId="15879"/>
    <cellStyle name="Normal 18 3 2 3 2 4 2" xfId="15880"/>
    <cellStyle name="Normal 18 3 2 3 2 4 2 2" xfId="15881"/>
    <cellStyle name="Normal 18 3 2 3 2 4 3" xfId="15882"/>
    <cellStyle name="Normal 18 3 2 3 2 5" xfId="15883"/>
    <cellStyle name="Normal 18 3 2 3 2 5 2" xfId="15884"/>
    <cellStyle name="Normal 18 3 2 3 2 6" xfId="15885"/>
    <cellStyle name="Normal 18 3 2 3 3" xfId="15886"/>
    <cellStyle name="Normal 18 3 2 3 3 2" xfId="15887"/>
    <cellStyle name="Normal 18 3 2 3 3 2 2" xfId="15888"/>
    <cellStyle name="Normal 18 3 2 3 3 2 2 2" xfId="15889"/>
    <cellStyle name="Normal 18 3 2 3 3 2 3" xfId="15890"/>
    <cellStyle name="Normal 18 3 2 3 3 3" xfId="15891"/>
    <cellStyle name="Normal 18 3 2 3 3 3 2" xfId="15892"/>
    <cellStyle name="Normal 18 3 2 3 3 4" xfId="15893"/>
    <cellStyle name="Normal 18 3 2 3 4" xfId="15894"/>
    <cellStyle name="Normal 18 3 2 3 4 2" xfId="15895"/>
    <cellStyle name="Normal 18 3 2 3 4 2 2" xfId="15896"/>
    <cellStyle name="Normal 18 3 2 3 4 2 2 2" xfId="15897"/>
    <cellStyle name="Normal 18 3 2 3 4 2 3" xfId="15898"/>
    <cellStyle name="Normal 18 3 2 3 4 3" xfId="15899"/>
    <cellStyle name="Normal 18 3 2 3 4 3 2" xfId="15900"/>
    <cellStyle name="Normal 18 3 2 3 4 4" xfId="15901"/>
    <cellStyle name="Normal 18 3 2 3 5" xfId="15902"/>
    <cellStyle name="Normal 18 3 2 3 5 2" xfId="15903"/>
    <cellStyle name="Normal 18 3 2 3 5 2 2" xfId="15904"/>
    <cellStyle name="Normal 18 3 2 3 5 3" xfId="15905"/>
    <cellStyle name="Normal 18 3 2 3 6" xfId="15906"/>
    <cellStyle name="Normal 18 3 2 3 6 2" xfId="15907"/>
    <cellStyle name="Normal 18 3 2 3 7" xfId="15908"/>
    <cellStyle name="Normal 18 3 2 4" xfId="15909"/>
    <cellStyle name="Normal 18 3 2 4 2" xfId="15910"/>
    <cellStyle name="Normal 18 3 2 4 2 2" xfId="15911"/>
    <cellStyle name="Normal 18 3 2 4 2 2 2" xfId="15912"/>
    <cellStyle name="Normal 18 3 2 4 2 2 2 2" xfId="15913"/>
    <cellStyle name="Normal 18 3 2 4 2 2 3" xfId="15914"/>
    <cellStyle name="Normal 18 3 2 4 2 3" xfId="15915"/>
    <cellStyle name="Normal 18 3 2 4 2 3 2" xfId="15916"/>
    <cellStyle name="Normal 18 3 2 4 2 4" xfId="15917"/>
    <cellStyle name="Normal 18 3 2 4 3" xfId="15918"/>
    <cellStyle name="Normal 18 3 2 4 3 2" xfId="15919"/>
    <cellStyle name="Normal 18 3 2 4 3 2 2" xfId="15920"/>
    <cellStyle name="Normal 18 3 2 4 3 2 2 2" xfId="15921"/>
    <cellStyle name="Normal 18 3 2 4 3 2 3" xfId="15922"/>
    <cellStyle name="Normal 18 3 2 4 3 3" xfId="15923"/>
    <cellStyle name="Normal 18 3 2 4 3 3 2" xfId="15924"/>
    <cellStyle name="Normal 18 3 2 4 3 4" xfId="15925"/>
    <cellStyle name="Normal 18 3 2 4 4" xfId="15926"/>
    <cellStyle name="Normal 18 3 2 4 4 2" xfId="15927"/>
    <cellStyle name="Normal 18 3 2 4 4 2 2" xfId="15928"/>
    <cellStyle name="Normal 18 3 2 4 4 3" xfId="15929"/>
    <cellStyle name="Normal 18 3 2 4 5" xfId="15930"/>
    <cellStyle name="Normal 18 3 2 4 5 2" xfId="15931"/>
    <cellStyle name="Normal 18 3 2 4 6" xfId="15932"/>
    <cellStyle name="Normal 18 3 2 5" xfId="15933"/>
    <cellStyle name="Normal 18 3 2 5 2" xfId="15934"/>
    <cellStyle name="Normal 18 3 2 5 2 2" xfId="15935"/>
    <cellStyle name="Normal 18 3 2 5 2 2 2" xfId="15936"/>
    <cellStyle name="Normal 18 3 2 5 2 3" xfId="15937"/>
    <cellStyle name="Normal 18 3 2 5 3" xfId="15938"/>
    <cellStyle name="Normal 18 3 2 5 3 2" xfId="15939"/>
    <cellStyle name="Normal 18 3 2 5 4" xfId="15940"/>
    <cellStyle name="Normal 18 3 2 6" xfId="15941"/>
    <cellStyle name="Normal 18 3 2 6 2" xfId="15942"/>
    <cellStyle name="Normal 18 3 2 6 2 2" xfId="15943"/>
    <cellStyle name="Normal 18 3 2 6 2 2 2" xfId="15944"/>
    <cellStyle name="Normal 18 3 2 6 2 3" xfId="15945"/>
    <cellStyle name="Normal 18 3 2 6 3" xfId="15946"/>
    <cellStyle name="Normal 18 3 2 6 3 2" xfId="15947"/>
    <cellStyle name="Normal 18 3 2 6 4" xfId="15948"/>
    <cellStyle name="Normal 18 3 2 7" xfId="15949"/>
    <cellStyle name="Normal 18 3 2 7 2" xfId="15950"/>
    <cellStyle name="Normal 18 3 2 7 2 2" xfId="15951"/>
    <cellStyle name="Normal 18 3 2 7 2 2 2" xfId="15952"/>
    <cellStyle name="Normal 18 3 2 7 2 3" xfId="15953"/>
    <cellStyle name="Normal 18 3 2 7 3" xfId="15954"/>
    <cellStyle name="Normal 18 3 2 7 3 2" xfId="15955"/>
    <cellStyle name="Normal 18 3 2 7 4" xfId="15956"/>
    <cellStyle name="Normal 18 3 2 8" xfId="15957"/>
    <cellStyle name="Normal 18 3 2 8 2" xfId="15958"/>
    <cellStyle name="Normal 18 3 2 8 2 2" xfId="15959"/>
    <cellStyle name="Normal 18 3 2 8 3" xfId="15960"/>
    <cellStyle name="Normal 18 3 2 9" xfId="15961"/>
    <cellStyle name="Normal 18 3 2 9 2" xfId="15962"/>
    <cellStyle name="Normal 18 3 3" xfId="15963"/>
    <cellStyle name="Normal 18 3 3 2" xfId="15964"/>
    <cellStyle name="Normal 18 3 3 2 2" xfId="15965"/>
    <cellStyle name="Normal 18 3 3 2 2 2" xfId="15966"/>
    <cellStyle name="Normal 18 3 3 2 2 2 2" xfId="15967"/>
    <cellStyle name="Normal 18 3 3 2 2 2 2 2" xfId="15968"/>
    <cellStyle name="Normal 18 3 3 2 2 2 2 2 2" xfId="15969"/>
    <cellStyle name="Normal 18 3 3 2 2 2 2 3" xfId="15970"/>
    <cellStyle name="Normal 18 3 3 2 2 2 3" xfId="15971"/>
    <cellStyle name="Normal 18 3 3 2 2 2 3 2" xfId="15972"/>
    <cellStyle name="Normal 18 3 3 2 2 2 4" xfId="15973"/>
    <cellStyle name="Normal 18 3 3 2 2 3" xfId="15974"/>
    <cellStyle name="Normal 18 3 3 2 2 3 2" xfId="15975"/>
    <cellStyle name="Normal 18 3 3 2 2 3 2 2" xfId="15976"/>
    <cellStyle name="Normal 18 3 3 2 2 3 2 2 2" xfId="15977"/>
    <cellStyle name="Normal 18 3 3 2 2 3 2 3" xfId="15978"/>
    <cellStyle name="Normal 18 3 3 2 2 3 3" xfId="15979"/>
    <cellStyle name="Normal 18 3 3 2 2 3 3 2" xfId="15980"/>
    <cellStyle name="Normal 18 3 3 2 2 3 4" xfId="15981"/>
    <cellStyle name="Normal 18 3 3 2 2 4" xfId="15982"/>
    <cellStyle name="Normal 18 3 3 2 2 4 2" xfId="15983"/>
    <cellStyle name="Normal 18 3 3 2 2 4 2 2" xfId="15984"/>
    <cellStyle name="Normal 18 3 3 2 2 4 3" xfId="15985"/>
    <cellStyle name="Normal 18 3 3 2 2 5" xfId="15986"/>
    <cellStyle name="Normal 18 3 3 2 2 5 2" xfId="15987"/>
    <cellStyle name="Normal 18 3 3 2 2 6" xfId="15988"/>
    <cellStyle name="Normal 18 3 3 2 3" xfId="15989"/>
    <cellStyle name="Normal 18 3 3 2 3 2" xfId="15990"/>
    <cellStyle name="Normal 18 3 3 2 3 2 2" xfId="15991"/>
    <cellStyle name="Normal 18 3 3 2 3 2 2 2" xfId="15992"/>
    <cellStyle name="Normal 18 3 3 2 3 2 3" xfId="15993"/>
    <cellStyle name="Normal 18 3 3 2 3 3" xfId="15994"/>
    <cellStyle name="Normal 18 3 3 2 3 3 2" xfId="15995"/>
    <cellStyle name="Normal 18 3 3 2 3 4" xfId="15996"/>
    <cellStyle name="Normal 18 3 3 2 4" xfId="15997"/>
    <cellStyle name="Normal 18 3 3 2 4 2" xfId="15998"/>
    <cellStyle name="Normal 18 3 3 2 4 2 2" xfId="15999"/>
    <cellStyle name="Normal 18 3 3 2 4 2 2 2" xfId="16000"/>
    <cellStyle name="Normal 18 3 3 2 4 2 3" xfId="16001"/>
    <cellStyle name="Normal 18 3 3 2 4 3" xfId="16002"/>
    <cellStyle name="Normal 18 3 3 2 4 3 2" xfId="16003"/>
    <cellStyle name="Normal 18 3 3 2 4 4" xfId="16004"/>
    <cellStyle name="Normal 18 3 3 2 5" xfId="16005"/>
    <cellStyle name="Normal 18 3 3 2 5 2" xfId="16006"/>
    <cellStyle name="Normal 18 3 3 2 5 2 2" xfId="16007"/>
    <cellStyle name="Normal 18 3 3 2 5 3" xfId="16008"/>
    <cellStyle name="Normal 18 3 3 2 6" xfId="16009"/>
    <cellStyle name="Normal 18 3 3 2 6 2" xfId="16010"/>
    <cellStyle name="Normal 18 3 3 2 7" xfId="16011"/>
    <cellStyle name="Normal 18 3 3 3" xfId="16012"/>
    <cellStyle name="Normal 18 3 3 3 2" xfId="16013"/>
    <cellStyle name="Normal 18 3 3 3 2 2" xfId="16014"/>
    <cellStyle name="Normal 18 3 3 3 2 2 2" xfId="16015"/>
    <cellStyle name="Normal 18 3 3 3 2 2 2 2" xfId="16016"/>
    <cellStyle name="Normal 18 3 3 3 2 2 3" xfId="16017"/>
    <cellStyle name="Normal 18 3 3 3 2 3" xfId="16018"/>
    <cellStyle name="Normal 18 3 3 3 2 3 2" xfId="16019"/>
    <cellStyle name="Normal 18 3 3 3 2 4" xfId="16020"/>
    <cellStyle name="Normal 18 3 3 3 3" xfId="16021"/>
    <cellStyle name="Normal 18 3 3 3 3 2" xfId="16022"/>
    <cellStyle name="Normal 18 3 3 3 3 2 2" xfId="16023"/>
    <cellStyle name="Normal 18 3 3 3 3 2 2 2" xfId="16024"/>
    <cellStyle name="Normal 18 3 3 3 3 2 3" xfId="16025"/>
    <cellStyle name="Normal 18 3 3 3 3 3" xfId="16026"/>
    <cellStyle name="Normal 18 3 3 3 3 3 2" xfId="16027"/>
    <cellStyle name="Normal 18 3 3 3 3 4" xfId="16028"/>
    <cellStyle name="Normal 18 3 3 3 4" xfId="16029"/>
    <cellStyle name="Normal 18 3 3 3 4 2" xfId="16030"/>
    <cellStyle name="Normal 18 3 3 3 4 2 2" xfId="16031"/>
    <cellStyle name="Normal 18 3 3 3 4 3" xfId="16032"/>
    <cellStyle name="Normal 18 3 3 3 5" xfId="16033"/>
    <cellStyle name="Normal 18 3 3 3 5 2" xfId="16034"/>
    <cellStyle name="Normal 18 3 3 3 6" xfId="16035"/>
    <cellStyle name="Normal 18 3 3 4" xfId="16036"/>
    <cellStyle name="Normal 18 3 3 4 2" xfId="16037"/>
    <cellStyle name="Normal 18 3 3 4 2 2" xfId="16038"/>
    <cellStyle name="Normal 18 3 3 4 2 2 2" xfId="16039"/>
    <cellStyle name="Normal 18 3 3 4 2 3" xfId="16040"/>
    <cellStyle name="Normal 18 3 3 4 3" xfId="16041"/>
    <cellStyle name="Normal 18 3 3 4 3 2" xfId="16042"/>
    <cellStyle name="Normal 18 3 3 4 4" xfId="16043"/>
    <cellStyle name="Normal 18 3 3 5" xfId="16044"/>
    <cellStyle name="Normal 18 3 3 5 2" xfId="16045"/>
    <cellStyle name="Normal 18 3 3 5 2 2" xfId="16046"/>
    <cellStyle name="Normal 18 3 3 5 2 2 2" xfId="16047"/>
    <cellStyle name="Normal 18 3 3 5 2 3" xfId="16048"/>
    <cellStyle name="Normal 18 3 3 5 3" xfId="16049"/>
    <cellStyle name="Normal 18 3 3 5 3 2" xfId="16050"/>
    <cellStyle name="Normal 18 3 3 5 4" xfId="16051"/>
    <cellStyle name="Normal 18 3 3 6" xfId="16052"/>
    <cellStyle name="Normal 18 3 3 6 2" xfId="16053"/>
    <cellStyle name="Normal 18 3 3 6 2 2" xfId="16054"/>
    <cellStyle name="Normal 18 3 3 6 2 2 2" xfId="16055"/>
    <cellStyle name="Normal 18 3 3 6 2 3" xfId="16056"/>
    <cellStyle name="Normal 18 3 3 6 3" xfId="16057"/>
    <cellStyle name="Normal 18 3 3 6 3 2" xfId="16058"/>
    <cellStyle name="Normal 18 3 3 6 4" xfId="16059"/>
    <cellStyle name="Normal 18 3 3 7" xfId="16060"/>
    <cellStyle name="Normal 18 3 3 7 2" xfId="16061"/>
    <cellStyle name="Normal 18 3 3 7 2 2" xfId="16062"/>
    <cellStyle name="Normal 18 3 3 7 3" xfId="16063"/>
    <cellStyle name="Normal 18 3 3 8" xfId="16064"/>
    <cellStyle name="Normal 18 3 3 8 2" xfId="16065"/>
    <cellStyle name="Normal 18 3 3 9" xfId="16066"/>
    <cellStyle name="Normal 18 3 4" xfId="16067"/>
    <cellStyle name="Normal 18 3 4 2" xfId="16068"/>
    <cellStyle name="Normal 18 3 4 2 2" xfId="16069"/>
    <cellStyle name="Normal 18 3 4 2 2 2" xfId="16070"/>
    <cellStyle name="Normal 18 3 4 2 2 2 2" xfId="16071"/>
    <cellStyle name="Normal 18 3 4 2 2 2 2 2" xfId="16072"/>
    <cellStyle name="Normal 18 3 4 2 2 2 3" xfId="16073"/>
    <cellStyle name="Normal 18 3 4 2 2 3" xfId="16074"/>
    <cellStyle name="Normal 18 3 4 2 2 3 2" xfId="16075"/>
    <cellStyle name="Normal 18 3 4 2 2 4" xfId="16076"/>
    <cellStyle name="Normal 18 3 4 2 3" xfId="16077"/>
    <cellStyle name="Normal 18 3 4 2 3 2" xfId="16078"/>
    <cellStyle name="Normal 18 3 4 2 3 2 2" xfId="16079"/>
    <cellStyle name="Normal 18 3 4 2 3 2 2 2" xfId="16080"/>
    <cellStyle name="Normal 18 3 4 2 3 2 3" xfId="16081"/>
    <cellStyle name="Normal 18 3 4 2 3 3" xfId="16082"/>
    <cellStyle name="Normal 18 3 4 2 3 3 2" xfId="16083"/>
    <cellStyle name="Normal 18 3 4 2 3 4" xfId="16084"/>
    <cellStyle name="Normal 18 3 4 2 4" xfId="16085"/>
    <cellStyle name="Normal 18 3 4 2 4 2" xfId="16086"/>
    <cellStyle name="Normal 18 3 4 2 4 2 2" xfId="16087"/>
    <cellStyle name="Normal 18 3 4 2 4 3" xfId="16088"/>
    <cellStyle name="Normal 18 3 4 2 5" xfId="16089"/>
    <cellStyle name="Normal 18 3 4 2 5 2" xfId="16090"/>
    <cellStyle name="Normal 18 3 4 2 6" xfId="16091"/>
    <cellStyle name="Normal 18 3 4 3" xfId="16092"/>
    <cellStyle name="Normal 18 3 4 3 2" xfId="16093"/>
    <cellStyle name="Normal 18 3 4 3 2 2" xfId="16094"/>
    <cellStyle name="Normal 18 3 4 3 2 2 2" xfId="16095"/>
    <cellStyle name="Normal 18 3 4 3 2 3" xfId="16096"/>
    <cellStyle name="Normal 18 3 4 3 3" xfId="16097"/>
    <cellStyle name="Normal 18 3 4 3 3 2" xfId="16098"/>
    <cellStyle name="Normal 18 3 4 3 4" xfId="16099"/>
    <cellStyle name="Normal 18 3 4 4" xfId="16100"/>
    <cellStyle name="Normal 18 3 4 4 2" xfId="16101"/>
    <cellStyle name="Normal 18 3 4 4 2 2" xfId="16102"/>
    <cellStyle name="Normal 18 3 4 4 2 2 2" xfId="16103"/>
    <cellStyle name="Normal 18 3 4 4 2 3" xfId="16104"/>
    <cellStyle name="Normal 18 3 4 4 3" xfId="16105"/>
    <cellStyle name="Normal 18 3 4 4 3 2" xfId="16106"/>
    <cellStyle name="Normal 18 3 4 4 4" xfId="16107"/>
    <cellStyle name="Normal 18 3 4 5" xfId="16108"/>
    <cellStyle name="Normal 18 3 4 5 2" xfId="16109"/>
    <cellStyle name="Normal 18 3 4 5 2 2" xfId="16110"/>
    <cellStyle name="Normal 18 3 4 5 3" xfId="16111"/>
    <cellStyle name="Normal 18 3 4 6" xfId="16112"/>
    <cellStyle name="Normal 18 3 4 6 2" xfId="16113"/>
    <cellStyle name="Normal 18 3 4 7" xfId="16114"/>
    <cellStyle name="Normal 18 3 5" xfId="16115"/>
    <cellStyle name="Normal 18 3 5 2" xfId="16116"/>
    <cellStyle name="Normal 18 3 5 2 2" xfId="16117"/>
    <cellStyle name="Normal 18 3 5 2 2 2" xfId="16118"/>
    <cellStyle name="Normal 18 3 5 2 2 2 2" xfId="16119"/>
    <cellStyle name="Normal 18 3 5 2 2 3" xfId="16120"/>
    <cellStyle name="Normal 18 3 5 2 3" xfId="16121"/>
    <cellStyle name="Normal 18 3 5 2 3 2" xfId="16122"/>
    <cellStyle name="Normal 18 3 5 2 4" xfId="16123"/>
    <cellStyle name="Normal 18 3 5 3" xfId="16124"/>
    <cellStyle name="Normal 18 3 5 3 2" xfId="16125"/>
    <cellStyle name="Normal 18 3 5 3 2 2" xfId="16126"/>
    <cellStyle name="Normal 18 3 5 3 2 2 2" xfId="16127"/>
    <cellStyle name="Normal 18 3 5 3 2 3" xfId="16128"/>
    <cellStyle name="Normal 18 3 5 3 3" xfId="16129"/>
    <cellStyle name="Normal 18 3 5 3 3 2" xfId="16130"/>
    <cellStyle name="Normal 18 3 5 3 4" xfId="16131"/>
    <cellStyle name="Normal 18 3 5 4" xfId="16132"/>
    <cellStyle name="Normal 18 3 5 4 2" xfId="16133"/>
    <cellStyle name="Normal 18 3 5 4 2 2" xfId="16134"/>
    <cellStyle name="Normal 18 3 5 4 3" xfId="16135"/>
    <cellStyle name="Normal 18 3 5 5" xfId="16136"/>
    <cellStyle name="Normal 18 3 5 5 2" xfId="16137"/>
    <cellStyle name="Normal 18 3 5 6" xfId="16138"/>
    <cellStyle name="Normal 18 3 6" xfId="16139"/>
    <cellStyle name="Normal 18 3 6 2" xfId="16140"/>
    <cellStyle name="Normal 18 3 6 2 2" xfId="16141"/>
    <cellStyle name="Normal 18 3 6 2 2 2" xfId="16142"/>
    <cellStyle name="Normal 18 3 6 2 3" xfId="16143"/>
    <cellStyle name="Normal 18 3 6 3" xfId="16144"/>
    <cellStyle name="Normal 18 3 6 3 2" xfId="16145"/>
    <cellStyle name="Normal 18 3 6 4" xfId="16146"/>
    <cellStyle name="Normal 18 3 7" xfId="16147"/>
    <cellStyle name="Normal 18 3 7 2" xfId="16148"/>
    <cellStyle name="Normal 18 3 7 2 2" xfId="16149"/>
    <cellStyle name="Normal 18 3 7 2 2 2" xfId="16150"/>
    <cellStyle name="Normal 18 3 7 2 3" xfId="16151"/>
    <cellStyle name="Normal 18 3 7 3" xfId="16152"/>
    <cellStyle name="Normal 18 3 7 3 2" xfId="16153"/>
    <cellStyle name="Normal 18 3 7 4" xfId="16154"/>
    <cellStyle name="Normal 18 3 8" xfId="16155"/>
    <cellStyle name="Normal 18 3 8 2" xfId="16156"/>
    <cellStyle name="Normal 18 3 8 2 2" xfId="16157"/>
    <cellStyle name="Normal 18 3 8 2 2 2" xfId="16158"/>
    <cellStyle name="Normal 18 3 8 2 3" xfId="16159"/>
    <cellStyle name="Normal 18 3 8 3" xfId="16160"/>
    <cellStyle name="Normal 18 3 8 3 2" xfId="16161"/>
    <cellStyle name="Normal 18 3 8 4" xfId="16162"/>
    <cellStyle name="Normal 18 3 9" xfId="16163"/>
    <cellStyle name="Normal 18 3 9 2" xfId="16164"/>
    <cellStyle name="Normal 18 3 9 2 2" xfId="16165"/>
    <cellStyle name="Normal 18 3 9 3" xfId="16166"/>
    <cellStyle name="Normal 18 4" xfId="16167"/>
    <cellStyle name="Normal 18 4 10" xfId="16168"/>
    <cellStyle name="Normal 18 4 2" xfId="16169"/>
    <cellStyle name="Normal 18 4 2 2" xfId="16170"/>
    <cellStyle name="Normal 18 4 2 2 2" xfId="16171"/>
    <cellStyle name="Normal 18 4 2 2 2 2" xfId="16172"/>
    <cellStyle name="Normal 18 4 2 2 2 2 2" xfId="16173"/>
    <cellStyle name="Normal 18 4 2 2 2 2 2 2" xfId="16174"/>
    <cellStyle name="Normal 18 4 2 2 2 2 2 2 2" xfId="16175"/>
    <cellStyle name="Normal 18 4 2 2 2 2 2 3" xfId="16176"/>
    <cellStyle name="Normal 18 4 2 2 2 2 3" xfId="16177"/>
    <cellStyle name="Normal 18 4 2 2 2 2 3 2" xfId="16178"/>
    <cellStyle name="Normal 18 4 2 2 2 2 4" xfId="16179"/>
    <cellStyle name="Normal 18 4 2 2 2 3" xfId="16180"/>
    <cellStyle name="Normal 18 4 2 2 2 3 2" xfId="16181"/>
    <cellStyle name="Normal 18 4 2 2 2 3 2 2" xfId="16182"/>
    <cellStyle name="Normal 18 4 2 2 2 3 2 2 2" xfId="16183"/>
    <cellStyle name="Normal 18 4 2 2 2 3 2 3" xfId="16184"/>
    <cellStyle name="Normal 18 4 2 2 2 3 3" xfId="16185"/>
    <cellStyle name="Normal 18 4 2 2 2 3 3 2" xfId="16186"/>
    <cellStyle name="Normal 18 4 2 2 2 3 4" xfId="16187"/>
    <cellStyle name="Normal 18 4 2 2 2 4" xfId="16188"/>
    <cellStyle name="Normal 18 4 2 2 2 4 2" xfId="16189"/>
    <cellStyle name="Normal 18 4 2 2 2 4 2 2" xfId="16190"/>
    <cellStyle name="Normal 18 4 2 2 2 4 3" xfId="16191"/>
    <cellStyle name="Normal 18 4 2 2 2 5" xfId="16192"/>
    <cellStyle name="Normal 18 4 2 2 2 5 2" xfId="16193"/>
    <cellStyle name="Normal 18 4 2 2 2 6" xfId="16194"/>
    <cellStyle name="Normal 18 4 2 2 3" xfId="16195"/>
    <cellStyle name="Normal 18 4 2 2 3 2" xfId="16196"/>
    <cellStyle name="Normal 18 4 2 2 3 2 2" xfId="16197"/>
    <cellStyle name="Normal 18 4 2 2 3 2 2 2" xfId="16198"/>
    <cellStyle name="Normal 18 4 2 2 3 2 3" xfId="16199"/>
    <cellStyle name="Normal 18 4 2 2 3 3" xfId="16200"/>
    <cellStyle name="Normal 18 4 2 2 3 3 2" xfId="16201"/>
    <cellStyle name="Normal 18 4 2 2 3 4" xfId="16202"/>
    <cellStyle name="Normal 18 4 2 2 4" xfId="16203"/>
    <cellStyle name="Normal 18 4 2 2 4 2" xfId="16204"/>
    <cellStyle name="Normal 18 4 2 2 4 2 2" xfId="16205"/>
    <cellStyle name="Normal 18 4 2 2 4 2 2 2" xfId="16206"/>
    <cellStyle name="Normal 18 4 2 2 4 2 3" xfId="16207"/>
    <cellStyle name="Normal 18 4 2 2 4 3" xfId="16208"/>
    <cellStyle name="Normal 18 4 2 2 4 3 2" xfId="16209"/>
    <cellStyle name="Normal 18 4 2 2 4 4" xfId="16210"/>
    <cellStyle name="Normal 18 4 2 2 5" xfId="16211"/>
    <cellStyle name="Normal 18 4 2 2 5 2" xfId="16212"/>
    <cellStyle name="Normal 18 4 2 2 5 2 2" xfId="16213"/>
    <cellStyle name="Normal 18 4 2 2 5 3" xfId="16214"/>
    <cellStyle name="Normal 18 4 2 2 6" xfId="16215"/>
    <cellStyle name="Normal 18 4 2 2 6 2" xfId="16216"/>
    <cellStyle name="Normal 18 4 2 2 7" xfId="16217"/>
    <cellStyle name="Normal 18 4 2 3" xfId="16218"/>
    <cellStyle name="Normal 18 4 2 3 2" xfId="16219"/>
    <cellStyle name="Normal 18 4 2 3 2 2" xfId="16220"/>
    <cellStyle name="Normal 18 4 2 3 2 2 2" xfId="16221"/>
    <cellStyle name="Normal 18 4 2 3 2 2 2 2" xfId="16222"/>
    <cellStyle name="Normal 18 4 2 3 2 2 3" xfId="16223"/>
    <cellStyle name="Normal 18 4 2 3 2 3" xfId="16224"/>
    <cellStyle name="Normal 18 4 2 3 2 3 2" xfId="16225"/>
    <cellStyle name="Normal 18 4 2 3 2 4" xfId="16226"/>
    <cellStyle name="Normal 18 4 2 3 3" xfId="16227"/>
    <cellStyle name="Normal 18 4 2 3 3 2" xfId="16228"/>
    <cellStyle name="Normal 18 4 2 3 3 2 2" xfId="16229"/>
    <cellStyle name="Normal 18 4 2 3 3 2 2 2" xfId="16230"/>
    <cellStyle name="Normal 18 4 2 3 3 2 3" xfId="16231"/>
    <cellStyle name="Normal 18 4 2 3 3 3" xfId="16232"/>
    <cellStyle name="Normal 18 4 2 3 3 3 2" xfId="16233"/>
    <cellStyle name="Normal 18 4 2 3 3 4" xfId="16234"/>
    <cellStyle name="Normal 18 4 2 3 4" xfId="16235"/>
    <cellStyle name="Normal 18 4 2 3 4 2" xfId="16236"/>
    <cellStyle name="Normal 18 4 2 3 4 2 2" xfId="16237"/>
    <cellStyle name="Normal 18 4 2 3 4 3" xfId="16238"/>
    <cellStyle name="Normal 18 4 2 3 5" xfId="16239"/>
    <cellStyle name="Normal 18 4 2 3 5 2" xfId="16240"/>
    <cellStyle name="Normal 18 4 2 3 6" xfId="16241"/>
    <cellStyle name="Normal 18 4 2 4" xfId="16242"/>
    <cellStyle name="Normal 18 4 2 4 2" xfId="16243"/>
    <cellStyle name="Normal 18 4 2 4 2 2" xfId="16244"/>
    <cellStyle name="Normal 18 4 2 4 2 2 2" xfId="16245"/>
    <cellStyle name="Normal 18 4 2 4 2 3" xfId="16246"/>
    <cellStyle name="Normal 18 4 2 4 3" xfId="16247"/>
    <cellStyle name="Normal 18 4 2 4 3 2" xfId="16248"/>
    <cellStyle name="Normal 18 4 2 4 4" xfId="16249"/>
    <cellStyle name="Normal 18 4 2 5" xfId="16250"/>
    <cellStyle name="Normal 18 4 2 5 2" xfId="16251"/>
    <cellStyle name="Normal 18 4 2 5 2 2" xfId="16252"/>
    <cellStyle name="Normal 18 4 2 5 2 2 2" xfId="16253"/>
    <cellStyle name="Normal 18 4 2 5 2 3" xfId="16254"/>
    <cellStyle name="Normal 18 4 2 5 3" xfId="16255"/>
    <cellStyle name="Normal 18 4 2 5 3 2" xfId="16256"/>
    <cellStyle name="Normal 18 4 2 5 4" xfId="16257"/>
    <cellStyle name="Normal 18 4 2 6" xfId="16258"/>
    <cellStyle name="Normal 18 4 2 6 2" xfId="16259"/>
    <cellStyle name="Normal 18 4 2 6 2 2" xfId="16260"/>
    <cellStyle name="Normal 18 4 2 6 2 2 2" xfId="16261"/>
    <cellStyle name="Normal 18 4 2 6 2 3" xfId="16262"/>
    <cellStyle name="Normal 18 4 2 6 3" xfId="16263"/>
    <cellStyle name="Normal 18 4 2 6 3 2" xfId="16264"/>
    <cellStyle name="Normal 18 4 2 6 4" xfId="16265"/>
    <cellStyle name="Normal 18 4 2 7" xfId="16266"/>
    <cellStyle name="Normal 18 4 2 7 2" xfId="16267"/>
    <cellStyle name="Normal 18 4 2 7 2 2" xfId="16268"/>
    <cellStyle name="Normal 18 4 2 7 3" xfId="16269"/>
    <cellStyle name="Normal 18 4 2 8" xfId="16270"/>
    <cellStyle name="Normal 18 4 2 8 2" xfId="16271"/>
    <cellStyle name="Normal 18 4 2 9" xfId="16272"/>
    <cellStyle name="Normal 18 4 3" xfId="16273"/>
    <cellStyle name="Normal 18 4 3 2" xfId="16274"/>
    <cellStyle name="Normal 18 4 3 2 2" xfId="16275"/>
    <cellStyle name="Normal 18 4 3 2 2 2" xfId="16276"/>
    <cellStyle name="Normal 18 4 3 2 2 2 2" xfId="16277"/>
    <cellStyle name="Normal 18 4 3 2 2 2 2 2" xfId="16278"/>
    <cellStyle name="Normal 18 4 3 2 2 2 3" xfId="16279"/>
    <cellStyle name="Normal 18 4 3 2 2 3" xfId="16280"/>
    <cellStyle name="Normal 18 4 3 2 2 3 2" xfId="16281"/>
    <cellStyle name="Normal 18 4 3 2 2 4" xfId="16282"/>
    <cellStyle name="Normal 18 4 3 2 3" xfId="16283"/>
    <cellStyle name="Normal 18 4 3 2 3 2" xfId="16284"/>
    <cellStyle name="Normal 18 4 3 2 3 2 2" xfId="16285"/>
    <cellStyle name="Normal 18 4 3 2 3 2 2 2" xfId="16286"/>
    <cellStyle name="Normal 18 4 3 2 3 2 3" xfId="16287"/>
    <cellStyle name="Normal 18 4 3 2 3 3" xfId="16288"/>
    <cellStyle name="Normal 18 4 3 2 3 3 2" xfId="16289"/>
    <cellStyle name="Normal 18 4 3 2 3 4" xfId="16290"/>
    <cellStyle name="Normal 18 4 3 2 4" xfId="16291"/>
    <cellStyle name="Normal 18 4 3 2 4 2" xfId="16292"/>
    <cellStyle name="Normal 18 4 3 2 4 2 2" xfId="16293"/>
    <cellStyle name="Normal 18 4 3 2 4 3" xfId="16294"/>
    <cellStyle name="Normal 18 4 3 2 5" xfId="16295"/>
    <cellStyle name="Normal 18 4 3 2 5 2" xfId="16296"/>
    <cellStyle name="Normal 18 4 3 2 6" xfId="16297"/>
    <cellStyle name="Normal 18 4 3 3" xfId="16298"/>
    <cellStyle name="Normal 18 4 3 3 2" xfId="16299"/>
    <cellStyle name="Normal 18 4 3 3 2 2" xfId="16300"/>
    <cellStyle name="Normal 18 4 3 3 2 2 2" xfId="16301"/>
    <cellStyle name="Normal 18 4 3 3 2 3" xfId="16302"/>
    <cellStyle name="Normal 18 4 3 3 3" xfId="16303"/>
    <cellStyle name="Normal 18 4 3 3 3 2" xfId="16304"/>
    <cellStyle name="Normal 18 4 3 3 4" xfId="16305"/>
    <cellStyle name="Normal 18 4 3 4" xfId="16306"/>
    <cellStyle name="Normal 18 4 3 4 2" xfId="16307"/>
    <cellStyle name="Normal 18 4 3 4 2 2" xfId="16308"/>
    <cellStyle name="Normal 18 4 3 4 2 2 2" xfId="16309"/>
    <cellStyle name="Normal 18 4 3 4 2 3" xfId="16310"/>
    <cellStyle name="Normal 18 4 3 4 3" xfId="16311"/>
    <cellStyle name="Normal 18 4 3 4 3 2" xfId="16312"/>
    <cellStyle name="Normal 18 4 3 4 4" xfId="16313"/>
    <cellStyle name="Normal 18 4 3 5" xfId="16314"/>
    <cellStyle name="Normal 18 4 3 5 2" xfId="16315"/>
    <cellStyle name="Normal 18 4 3 5 2 2" xfId="16316"/>
    <cellStyle name="Normal 18 4 3 5 3" xfId="16317"/>
    <cellStyle name="Normal 18 4 3 6" xfId="16318"/>
    <cellStyle name="Normal 18 4 3 6 2" xfId="16319"/>
    <cellStyle name="Normal 18 4 3 7" xfId="16320"/>
    <cellStyle name="Normal 18 4 4" xfId="16321"/>
    <cellStyle name="Normal 18 4 4 2" xfId="16322"/>
    <cellStyle name="Normal 18 4 4 2 2" xfId="16323"/>
    <cellStyle name="Normal 18 4 4 2 2 2" xfId="16324"/>
    <cellStyle name="Normal 18 4 4 2 2 2 2" xfId="16325"/>
    <cellStyle name="Normal 18 4 4 2 2 3" xfId="16326"/>
    <cellStyle name="Normal 18 4 4 2 3" xfId="16327"/>
    <cellStyle name="Normal 18 4 4 2 3 2" xfId="16328"/>
    <cellStyle name="Normal 18 4 4 2 4" xfId="16329"/>
    <cellStyle name="Normal 18 4 4 3" xfId="16330"/>
    <cellStyle name="Normal 18 4 4 3 2" xfId="16331"/>
    <cellStyle name="Normal 18 4 4 3 2 2" xfId="16332"/>
    <cellStyle name="Normal 18 4 4 3 2 2 2" xfId="16333"/>
    <cellStyle name="Normal 18 4 4 3 2 3" xfId="16334"/>
    <cellStyle name="Normal 18 4 4 3 3" xfId="16335"/>
    <cellStyle name="Normal 18 4 4 3 3 2" xfId="16336"/>
    <cellStyle name="Normal 18 4 4 3 4" xfId="16337"/>
    <cellStyle name="Normal 18 4 4 4" xfId="16338"/>
    <cellStyle name="Normal 18 4 4 4 2" xfId="16339"/>
    <cellStyle name="Normal 18 4 4 4 2 2" xfId="16340"/>
    <cellStyle name="Normal 18 4 4 4 3" xfId="16341"/>
    <cellStyle name="Normal 18 4 4 5" xfId="16342"/>
    <cellStyle name="Normal 18 4 4 5 2" xfId="16343"/>
    <cellStyle name="Normal 18 4 4 6" xfId="16344"/>
    <cellStyle name="Normal 18 4 5" xfId="16345"/>
    <cellStyle name="Normal 18 4 5 2" xfId="16346"/>
    <cellStyle name="Normal 18 4 5 2 2" xfId="16347"/>
    <cellStyle name="Normal 18 4 5 2 2 2" xfId="16348"/>
    <cellStyle name="Normal 18 4 5 2 3" xfId="16349"/>
    <cellStyle name="Normal 18 4 5 3" xfId="16350"/>
    <cellStyle name="Normal 18 4 5 3 2" xfId="16351"/>
    <cellStyle name="Normal 18 4 5 4" xfId="16352"/>
    <cellStyle name="Normal 18 4 6" xfId="16353"/>
    <cellStyle name="Normal 18 4 6 2" xfId="16354"/>
    <cellStyle name="Normal 18 4 6 2 2" xfId="16355"/>
    <cellStyle name="Normal 18 4 6 2 2 2" xfId="16356"/>
    <cellStyle name="Normal 18 4 6 2 3" xfId="16357"/>
    <cellStyle name="Normal 18 4 6 3" xfId="16358"/>
    <cellStyle name="Normal 18 4 6 3 2" xfId="16359"/>
    <cellStyle name="Normal 18 4 6 4" xfId="16360"/>
    <cellStyle name="Normal 18 4 7" xfId="16361"/>
    <cellStyle name="Normal 18 4 7 2" xfId="16362"/>
    <cellStyle name="Normal 18 4 7 2 2" xfId="16363"/>
    <cellStyle name="Normal 18 4 7 2 2 2" xfId="16364"/>
    <cellStyle name="Normal 18 4 7 2 3" xfId="16365"/>
    <cellStyle name="Normal 18 4 7 3" xfId="16366"/>
    <cellStyle name="Normal 18 4 7 3 2" xfId="16367"/>
    <cellStyle name="Normal 18 4 7 4" xfId="16368"/>
    <cellStyle name="Normal 18 4 8" xfId="16369"/>
    <cellStyle name="Normal 18 4 8 2" xfId="16370"/>
    <cellStyle name="Normal 18 4 8 2 2" xfId="16371"/>
    <cellStyle name="Normal 18 4 8 3" xfId="16372"/>
    <cellStyle name="Normal 18 4 9" xfId="16373"/>
    <cellStyle name="Normal 18 4 9 2" xfId="16374"/>
    <cellStyle name="Normal 18 5" xfId="16375"/>
    <cellStyle name="Normal 18 5 10" xfId="16376"/>
    <cellStyle name="Normal 18 5 2" xfId="16377"/>
    <cellStyle name="Normal 18 5 2 2" xfId="16378"/>
    <cellStyle name="Normal 18 5 2 2 2" xfId="16379"/>
    <cellStyle name="Normal 18 5 2 2 2 2" xfId="16380"/>
    <cellStyle name="Normal 18 5 2 2 2 2 2" xfId="16381"/>
    <cellStyle name="Normal 18 5 2 2 2 2 2 2" xfId="16382"/>
    <cellStyle name="Normal 18 5 2 2 2 2 2 2 2" xfId="16383"/>
    <cellStyle name="Normal 18 5 2 2 2 2 2 3" xfId="16384"/>
    <cellStyle name="Normal 18 5 2 2 2 2 3" xfId="16385"/>
    <cellStyle name="Normal 18 5 2 2 2 2 3 2" xfId="16386"/>
    <cellStyle name="Normal 18 5 2 2 2 2 4" xfId="16387"/>
    <cellStyle name="Normal 18 5 2 2 2 3" xfId="16388"/>
    <cellStyle name="Normal 18 5 2 2 2 3 2" xfId="16389"/>
    <cellStyle name="Normal 18 5 2 2 2 3 2 2" xfId="16390"/>
    <cellStyle name="Normal 18 5 2 2 2 3 2 2 2" xfId="16391"/>
    <cellStyle name="Normal 18 5 2 2 2 3 2 3" xfId="16392"/>
    <cellStyle name="Normal 18 5 2 2 2 3 3" xfId="16393"/>
    <cellStyle name="Normal 18 5 2 2 2 3 3 2" xfId="16394"/>
    <cellStyle name="Normal 18 5 2 2 2 3 4" xfId="16395"/>
    <cellStyle name="Normal 18 5 2 2 2 4" xfId="16396"/>
    <cellStyle name="Normal 18 5 2 2 2 4 2" xfId="16397"/>
    <cellStyle name="Normal 18 5 2 2 2 4 2 2" xfId="16398"/>
    <cellStyle name="Normal 18 5 2 2 2 4 3" xfId="16399"/>
    <cellStyle name="Normal 18 5 2 2 2 5" xfId="16400"/>
    <cellStyle name="Normal 18 5 2 2 2 5 2" xfId="16401"/>
    <cellStyle name="Normal 18 5 2 2 2 6" xfId="16402"/>
    <cellStyle name="Normal 18 5 2 2 3" xfId="16403"/>
    <cellStyle name="Normal 18 5 2 2 3 2" xfId="16404"/>
    <cellStyle name="Normal 18 5 2 2 3 2 2" xfId="16405"/>
    <cellStyle name="Normal 18 5 2 2 3 2 2 2" xfId="16406"/>
    <cellStyle name="Normal 18 5 2 2 3 2 3" xfId="16407"/>
    <cellStyle name="Normal 18 5 2 2 3 3" xfId="16408"/>
    <cellStyle name="Normal 18 5 2 2 3 3 2" xfId="16409"/>
    <cellStyle name="Normal 18 5 2 2 3 4" xfId="16410"/>
    <cellStyle name="Normal 18 5 2 2 4" xfId="16411"/>
    <cellStyle name="Normal 18 5 2 2 4 2" xfId="16412"/>
    <cellStyle name="Normal 18 5 2 2 4 2 2" xfId="16413"/>
    <cellStyle name="Normal 18 5 2 2 4 2 2 2" xfId="16414"/>
    <cellStyle name="Normal 18 5 2 2 4 2 3" xfId="16415"/>
    <cellStyle name="Normal 18 5 2 2 4 3" xfId="16416"/>
    <cellStyle name="Normal 18 5 2 2 4 3 2" xfId="16417"/>
    <cellStyle name="Normal 18 5 2 2 4 4" xfId="16418"/>
    <cellStyle name="Normal 18 5 2 2 5" xfId="16419"/>
    <cellStyle name="Normal 18 5 2 2 5 2" xfId="16420"/>
    <cellStyle name="Normal 18 5 2 2 5 2 2" xfId="16421"/>
    <cellStyle name="Normal 18 5 2 2 5 3" xfId="16422"/>
    <cellStyle name="Normal 18 5 2 2 6" xfId="16423"/>
    <cellStyle name="Normal 18 5 2 2 6 2" xfId="16424"/>
    <cellStyle name="Normal 18 5 2 2 7" xfId="16425"/>
    <cellStyle name="Normal 18 5 2 3" xfId="16426"/>
    <cellStyle name="Normal 18 5 2 3 2" xfId="16427"/>
    <cellStyle name="Normal 18 5 2 3 2 2" xfId="16428"/>
    <cellStyle name="Normal 18 5 2 3 2 2 2" xfId="16429"/>
    <cellStyle name="Normal 18 5 2 3 2 2 2 2" xfId="16430"/>
    <cellStyle name="Normal 18 5 2 3 2 2 3" xfId="16431"/>
    <cellStyle name="Normal 18 5 2 3 2 3" xfId="16432"/>
    <cellStyle name="Normal 18 5 2 3 2 3 2" xfId="16433"/>
    <cellStyle name="Normal 18 5 2 3 2 4" xfId="16434"/>
    <cellStyle name="Normal 18 5 2 3 3" xfId="16435"/>
    <cellStyle name="Normal 18 5 2 3 3 2" xfId="16436"/>
    <cellStyle name="Normal 18 5 2 3 3 2 2" xfId="16437"/>
    <cellStyle name="Normal 18 5 2 3 3 2 2 2" xfId="16438"/>
    <cellStyle name="Normal 18 5 2 3 3 2 3" xfId="16439"/>
    <cellStyle name="Normal 18 5 2 3 3 3" xfId="16440"/>
    <cellStyle name="Normal 18 5 2 3 3 3 2" xfId="16441"/>
    <cellStyle name="Normal 18 5 2 3 3 4" xfId="16442"/>
    <cellStyle name="Normal 18 5 2 3 4" xfId="16443"/>
    <cellStyle name="Normal 18 5 2 3 4 2" xfId="16444"/>
    <cellStyle name="Normal 18 5 2 3 4 2 2" xfId="16445"/>
    <cellStyle name="Normal 18 5 2 3 4 3" xfId="16446"/>
    <cellStyle name="Normal 18 5 2 3 5" xfId="16447"/>
    <cellStyle name="Normal 18 5 2 3 5 2" xfId="16448"/>
    <cellStyle name="Normal 18 5 2 3 6" xfId="16449"/>
    <cellStyle name="Normal 18 5 2 4" xfId="16450"/>
    <cellStyle name="Normal 18 5 2 4 2" xfId="16451"/>
    <cellStyle name="Normal 18 5 2 4 2 2" xfId="16452"/>
    <cellStyle name="Normal 18 5 2 4 2 2 2" xfId="16453"/>
    <cellStyle name="Normal 18 5 2 4 2 3" xfId="16454"/>
    <cellStyle name="Normal 18 5 2 4 3" xfId="16455"/>
    <cellStyle name="Normal 18 5 2 4 3 2" xfId="16456"/>
    <cellStyle name="Normal 18 5 2 4 4" xfId="16457"/>
    <cellStyle name="Normal 18 5 2 5" xfId="16458"/>
    <cellStyle name="Normal 18 5 2 5 2" xfId="16459"/>
    <cellStyle name="Normal 18 5 2 5 2 2" xfId="16460"/>
    <cellStyle name="Normal 18 5 2 5 2 2 2" xfId="16461"/>
    <cellStyle name="Normal 18 5 2 5 2 3" xfId="16462"/>
    <cellStyle name="Normal 18 5 2 5 3" xfId="16463"/>
    <cellStyle name="Normal 18 5 2 5 3 2" xfId="16464"/>
    <cellStyle name="Normal 18 5 2 5 4" xfId="16465"/>
    <cellStyle name="Normal 18 5 2 6" xfId="16466"/>
    <cellStyle name="Normal 18 5 2 6 2" xfId="16467"/>
    <cellStyle name="Normal 18 5 2 6 2 2" xfId="16468"/>
    <cellStyle name="Normal 18 5 2 6 2 2 2" xfId="16469"/>
    <cellStyle name="Normal 18 5 2 6 2 3" xfId="16470"/>
    <cellStyle name="Normal 18 5 2 6 3" xfId="16471"/>
    <cellStyle name="Normal 18 5 2 6 3 2" xfId="16472"/>
    <cellStyle name="Normal 18 5 2 6 4" xfId="16473"/>
    <cellStyle name="Normal 18 5 2 7" xfId="16474"/>
    <cellStyle name="Normal 18 5 2 7 2" xfId="16475"/>
    <cellStyle name="Normal 18 5 2 7 2 2" xfId="16476"/>
    <cellStyle name="Normal 18 5 2 7 3" xfId="16477"/>
    <cellStyle name="Normal 18 5 2 8" xfId="16478"/>
    <cellStyle name="Normal 18 5 2 8 2" xfId="16479"/>
    <cellStyle name="Normal 18 5 2 9" xfId="16480"/>
    <cellStyle name="Normal 18 5 3" xfId="16481"/>
    <cellStyle name="Normal 18 5 3 2" xfId="16482"/>
    <cellStyle name="Normal 18 5 3 2 2" xfId="16483"/>
    <cellStyle name="Normal 18 5 3 2 2 2" xfId="16484"/>
    <cellStyle name="Normal 18 5 3 2 2 2 2" xfId="16485"/>
    <cellStyle name="Normal 18 5 3 2 2 2 2 2" xfId="16486"/>
    <cellStyle name="Normal 18 5 3 2 2 2 3" xfId="16487"/>
    <cellStyle name="Normal 18 5 3 2 2 3" xfId="16488"/>
    <cellStyle name="Normal 18 5 3 2 2 3 2" xfId="16489"/>
    <cellStyle name="Normal 18 5 3 2 2 4" xfId="16490"/>
    <cellStyle name="Normal 18 5 3 2 3" xfId="16491"/>
    <cellStyle name="Normal 18 5 3 2 3 2" xfId="16492"/>
    <cellStyle name="Normal 18 5 3 2 3 2 2" xfId="16493"/>
    <cellStyle name="Normal 18 5 3 2 3 2 2 2" xfId="16494"/>
    <cellStyle name="Normal 18 5 3 2 3 2 3" xfId="16495"/>
    <cellStyle name="Normal 18 5 3 2 3 3" xfId="16496"/>
    <cellStyle name="Normal 18 5 3 2 3 3 2" xfId="16497"/>
    <cellStyle name="Normal 18 5 3 2 3 4" xfId="16498"/>
    <cellStyle name="Normal 18 5 3 2 4" xfId="16499"/>
    <cellStyle name="Normal 18 5 3 2 4 2" xfId="16500"/>
    <cellStyle name="Normal 18 5 3 2 4 2 2" xfId="16501"/>
    <cellStyle name="Normal 18 5 3 2 4 3" xfId="16502"/>
    <cellStyle name="Normal 18 5 3 2 5" xfId="16503"/>
    <cellStyle name="Normal 18 5 3 2 5 2" xfId="16504"/>
    <cellStyle name="Normal 18 5 3 2 6" xfId="16505"/>
    <cellStyle name="Normal 18 5 3 3" xfId="16506"/>
    <cellStyle name="Normal 18 5 3 3 2" xfId="16507"/>
    <cellStyle name="Normal 18 5 3 3 2 2" xfId="16508"/>
    <cellStyle name="Normal 18 5 3 3 2 2 2" xfId="16509"/>
    <cellStyle name="Normal 18 5 3 3 2 3" xfId="16510"/>
    <cellStyle name="Normal 18 5 3 3 3" xfId="16511"/>
    <cellStyle name="Normal 18 5 3 3 3 2" xfId="16512"/>
    <cellStyle name="Normal 18 5 3 3 4" xfId="16513"/>
    <cellStyle name="Normal 18 5 3 4" xfId="16514"/>
    <cellStyle name="Normal 18 5 3 4 2" xfId="16515"/>
    <cellStyle name="Normal 18 5 3 4 2 2" xfId="16516"/>
    <cellStyle name="Normal 18 5 3 4 2 2 2" xfId="16517"/>
    <cellStyle name="Normal 18 5 3 4 2 3" xfId="16518"/>
    <cellStyle name="Normal 18 5 3 4 3" xfId="16519"/>
    <cellStyle name="Normal 18 5 3 4 3 2" xfId="16520"/>
    <cellStyle name="Normal 18 5 3 4 4" xfId="16521"/>
    <cellStyle name="Normal 18 5 3 5" xfId="16522"/>
    <cellStyle name="Normal 18 5 3 5 2" xfId="16523"/>
    <cellStyle name="Normal 18 5 3 5 2 2" xfId="16524"/>
    <cellStyle name="Normal 18 5 3 5 3" xfId="16525"/>
    <cellStyle name="Normal 18 5 3 6" xfId="16526"/>
    <cellStyle name="Normal 18 5 3 6 2" xfId="16527"/>
    <cellStyle name="Normal 18 5 3 7" xfId="16528"/>
    <cellStyle name="Normal 18 5 4" xfId="16529"/>
    <cellStyle name="Normal 18 5 4 2" xfId="16530"/>
    <cellStyle name="Normal 18 5 4 2 2" xfId="16531"/>
    <cellStyle name="Normal 18 5 4 2 2 2" xfId="16532"/>
    <cellStyle name="Normal 18 5 4 2 2 2 2" xfId="16533"/>
    <cellStyle name="Normal 18 5 4 2 2 3" xfId="16534"/>
    <cellStyle name="Normal 18 5 4 2 3" xfId="16535"/>
    <cellStyle name="Normal 18 5 4 2 3 2" xfId="16536"/>
    <cellStyle name="Normal 18 5 4 2 4" xfId="16537"/>
    <cellStyle name="Normal 18 5 4 3" xfId="16538"/>
    <cellStyle name="Normal 18 5 4 3 2" xfId="16539"/>
    <cellStyle name="Normal 18 5 4 3 2 2" xfId="16540"/>
    <cellStyle name="Normal 18 5 4 3 2 2 2" xfId="16541"/>
    <cellStyle name="Normal 18 5 4 3 2 3" xfId="16542"/>
    <cellStyle name="Normal 18 5 4 3 3" xfId="16543"/>
    <cellStyle name="Normal 18 5 4 3 3 2" xfId="16544"/>
    <cellStyle name="Normal 18 5 4 3 4" xfId="16545"/>
    <cellStyle name="Normal 18 5 4 4" xfId="16546"/>
    <cellStyle name="Normal 18 5 4 4 2" xfId="16547"/>
    <cellStyle name="Normal 18 5 4 4 2 2" xfId="16548"/>
    <cellStyle name="Normal 18 5 4 4 3" xfId="16549"/>
    <cellStyle name="Normal 18 5 4 5" xfId="16550"/>
    <cellStyle name="Normal 18 5 4 5 2" xfId="16551"/>
    <cellStyle name="Normal 18 5 4 6" xfId="16552"/>
    <cellStyle name="Normal 18 5 5" xfId="16553"/>
    <cellStyle name="Normal 18 5 5 2" xfId="16554"/>
    <cellStyle name="Normal 18 5 5 2 2" xfId="16555"/>
    <cellStyle name="Normal 18 5 5 2 2 2" xfId="16556"/>
    <cellStyle name="Normal 18 5 5 2 3" xfId="16557"/>
    <cellStyle name="Normal 18 5 5 3" xfId="16558"/>
    <cellStyle name="Normal 18 5 5 3 2" xfId="16559"/>
    <cellStyle name="Normal 18 5 5 4" xfId="16560"/>
    <cellStyle name="Normal 18 5 6" xfId="16561"/>
    <cellStyle name="Normal 18 5 6 2" xfId="16562"/>
    <cellStyle name="Normal 18 5 6 2 2" xfId="16563"/>
    <cellStyle name="Normal 18 5 6 2 2 2" xfId="16564"/>
    <cellStyle name="Normal 18 5 6 2 3" xfId="16565"/>
    <cellStyle name="Normal 18 5 6 3" xfId="16566"/>
    <cellStyle name="Normal 18 5 6 3 2" xfId="16567"/>
    <cellStyle name="Normal 18 5 6 4" xfId="16568"/>
    <cellStyle name="Normal 18 5 7" xfId="16569"/>
    <cellStyle name="Normal 18 5 7 2" xfId="16570"/>
    <cellStyle name="Normal 18 5 7 2 2" xfId="16571"/>
    <cellStyle name="Normal 18 5 7 2 2 2" xfId="16572"/>
    <cellStyle name="Normal 18 5 7 2 3" xfId="16573"/>
    <cellStyle name="Normal 18 5 7 3" xfId="16574"/>
    <cellStyle name="Normal 18 5 7 3 2" xfId="16575"/>
    <cellStyle name="Normal 18 5 7 4" xfId="16576"/>
    <cellStyle name="Normal 18 5 8" xfId="16577"/>
    <cellStyle name="Normal 18 5 8 2" xfId="16578"/>
    <cellStyle name="Normal 18 5 8 2 2" xfId="16579"/>
    <cellStyle name="Normal 18 5 8 3" xfId="16580"/>
    <cellStyle name="Normal 18 5 9" xfId="16581"/>
    <cellStyle name="Normal 18 5 9 2" xfId="16582"/>
    <cellStyle name="Normal 18 6" xfId="16583"/>
    <cellStyle name="Normal 18 6 2" xfId="16584"/>
    <cellStyle name="Normal 18 6 2 2" xfId="16585"/>
    <cellStyle name="Normal 18 6 2 2 2" xfId="16586"/>
    <cellStyle name="Normal 18 6 2 2 2 2" xfId="16587"/>
    <cellStyle name="Normal 18 6 2 2 2 2 2" xfId="16588"/>
    <cellStyle name="Normal 18 6 2 2 2 2 2 2" xfId="16589"/>
    <cellStyle name="Normal 18 6 2 2 2 2 3" xfId="16590"/>
    <cellStyle name="Normal 18 6 2 2 2 3" xfId="16591"/>
    <cellStyle name="Normal 18 6 2 2 2 3 2" xfId="16592"/>
    <cellStyle name="Normal 18 6 2 2 2 4" xfId="16593"/>
    <cellStyle name="Normal 18 6 2 2 3" xfId="16594"/>
    <cellStyle name="Normal 18 6 2 2 3 2" xfId="16595"/>
    <cellStyle name="Normal 18 6 2 2 3 2 2" xfId="16596"/>
    <cellStyle name="Normal 18 6 2 2 3 2 2 2" xfId="16597"/>
    <cellStyle name="Normal 18 6 2 2 3 2 3" xfId="16598"/>
    <cellStyle name="Normal 18 6 2 2 3 3" xfId="16599"/>
    <cellStyle name="Normal 18 6 2 2 3 3 2" xfId="16600"/>
    <cellStyle name="Normal 18 6 2 2 3 4" xfId="16601"/>
    <cellStyle name="Normal 18 6 2 2 4" xfId="16602"/>
    <cellStyle name="Normal 18 6 2 2 4 2" xfId="16603"/>
    <cellStyle name="Normal 18 6 2 2 4 2 2" xfId="16604"/>
    <cellStyle name="Normal 18 6 2 2 4 3" xfId="16605"/>
    <cellStyle name="Normal 18 6 2 2 5" xfId="16606"/>
    <cellStyle name="Normal 18 6 2 2 5 2" xfId="16607"/>
    <cellStyle name="Normal 18 6 2 2 6" xfId="16608"/>
    <cellStyle name="Normal 18 6 2 3" xfId="16609"/>
    <cellStyle name="Normal 18 6 2 3 2" xfId="16610"/>
    <cellStyle name="Normal 18 6 2 3 2 2" xfId="16611"/>
    <cellStyle name="Normal 18 6 2 3 2 2 2" xfId="16612"/>
    <cellStyle name="Normal 18 6 2 3 2 3" xfId="16613"/>
    <cellStyle name="Normal 18 6 2 3 3" xfId="16614"/>
    <cellStyle name="Normal 18 6 2 3 3 2" xfId="16615"/>
    <cellStyle name="Normal 18 6 2 3 4" xfId="16616"/>
    <cellStyle name="Normal 18 6 2 4" xfId="16617"/>
    <cellStyle name="Normal 18 6 2 4 2" xfId="16618"/>
    <cellStyle name="Normal 18 6 2 4 2 2" xfId="16619"/>
    <cellStyle name="Normal 18 6 2 4 2 2 2" xfId="16620"/>
    <cellStyle name="Normal 18 6 2 4 2 3" xfId="16621"/>
    <cellStyle name="Normal 18 6 2 4 3" xfId="16622"/>
    <cellStyle name="Normal 18 6 2 4 3 2" xfId="16623"/>
    <cellStyle name="Normal 18 6 2 4 4" xfId="16624"/>
    <cellStyle name="Normal 18 6 2 5" xfId="16625"/>
    <cellStyle name="Normal 18 6 2 5 2" xfId="16626"/>
    <cellStyle name="Normal 18 6 2 5 2 2" xfId="16627"/>
    <cellStyle name="Normal 18 6 2 5 3" xfId="16628"/>
    <cellStyle name="Normal 18 6 2 6" xfId="16629"/>
    <cellStyle name="Normal 18 6 2 6 2" xfId="16630"/>
    <cellStyle name="Normal 18 6 2 7" xfId="16631"/>
    <cellStyle name="Normal 18 6 3" xfId="16632"/>
    <cellStyle name="Normal 18 6 3 2" xfId="16633"/>
    <cellStyle name="Normal 18 6 3 2 2" xfId="16634"/>
    <cellStyle name="Normal 18 6 3 2 2 2" xfId="16635"/>
    <cellStyle name="Normal 18 6 3 2 2 2 2" xfId="16636"/>
    <cellStyle name="Normal 18 6 3 2 2 3" xfId="16637"/>
    <cellStyle name="Normal 18 6 3 2 3" xfId="16638"/>
    <cellStyle name="Normal 18 6 3 2 3 2" xfId="16639"/>
    <cellStyle name="Normal 18 6 3 2 4" xfId="16640"/>
    <cellStyle name="Normal 18 6 3 3" xfId="16641"/>
    <cellStyle name="Normal 18 6 3 3 2" xfId="16642"/>
    <cellStyle name="Normal 18 6 3 3 2 2" xfId="16643"/>
    <cellStyle name="Normal 18 6 3 3 2 2 2" xfId="16644"/>
    <cellStyle name="Normal 18 6 3 3 2 3" xfId="16645"/>
    <cellStyle name="Normal 18 6 3 3 3" xfId="16646"/>
    <cellStyle name="Normal 18 6 3 3 3 2" xfId="16647"/>
    <cellStyle name="Normal 18 6 3 3 4" xfId="16648"/>
    <cellStyle name="Normal 18 6 3 4" xfId="16649"/>
    <cellStyle name="Normal 18 6 3 4 2" xfId="16650"/>
    <cellStyle name="Normal 18 6 3 4 2 2" xfId="16651"/>
    <cellStyle name="Normal 18 6 3 4 3" xfId="16652"/>
    <cellStyle name="Normal 18 6 3 5" xfId="16653"/>
    <cellStyle name="Normal 18 6 3 5 2" xfId="16654"/>
    <cellStyle name="Normal 18 6 3 6" xfId="16655"/>
    <cellStyle name="Normal 18 6 4" xfId="16656"/>
    <cellStyle name="Normal 18 6 4 2" xfId="16657"/>
    <cellStyle name="Normal 18 6 4 2 2" xfId="16658"/>
    <cellStyle name="Normal 18 6 4 2 2 2" xfId="16659"/>
    <cellStyle name="Normal 18 6 4 2 3" xfId="16660"/>
    <cellStyle name="Normal 18 6 4 3" xfId="16661"/>
    <cellStyle name="Normal 18 6 4 3 2" xfId="16662"/>
    <cellStyle name="Normal 18 6 4 4" xfId="16663"/>
    <cellStyle name="Normal 18 6 5" xfId="16664"/>
    <cellStyle name="Normal 18 6 5 2" xfId="16665"/>
    <cellStyle name="Normal 18 6 5 2 2" xfId="16666"/>
    <cellStyle name="Normal 18 6 5 2 2 2" xfId="16667"/>
    <cellStyle name="Normal 18 6 5 2 3" xfId="16668"/>
    <cellStyle name="Normal 18 6 5 3" xfId="16669"/>
    <cellStyle name="Normal 18 6 5 3 2" xfId="16670"/>
    <cellStyle name="Normal 18 6 5 4" xfId="16671"/>
    <cellStyle name="Normal 18 6 6" xfId="16672"/>
    <cellStyle name="Normal 18 6 6 2" xfId="16673"/>
    <cellStyle name="Normal 18 6 6 2 2" xfId="16674"/>
    <cellStyle name="Normal 18 6 6 2 2 2" xfId="16675"/>
    <cellStyle name="Normal 18 6 6 2 3" xfId="16676"/>
    <cellStyle name="Normal 18 6 6 3" xfId="16677"/>
    <cellStyle name="Normal 18 6 6 3 2" xfId="16678"/>
    <cellStyle name="Normal 18 6 6 4" xfId="16679"/>
    <cellStyle name="Normal 18 6 7" xfId="16680"/>
    <cellStyle name="Normal 18 6 7 2" xfId="16681"/>
    <cellStyle name="Normal 18 6 7 2 2" xfId="16682"/>
    <cellStyle name="Normal 18 6 7 3" xfId="16683"/>
    <cellStyle name="Normal 18 6 8" xfId="16684"/>
    <cellStyle name="Normal 18 6 8 2" xfId="16685"/>
    <cellStyle name="Normal 18 6 9" xfId="16686"/>
    <cellStyle name="Normal 18 7" xfId="16687"/>
    <cellStyle name="Normal 18 7 2" xfId="16688"/>
    <cellStyle name="Normal 18 7 2 2" xfId="16689"/>
    <cellStyle name="Normal 18 7 2 2 2" xfId="16690"/>
    <cellStyle name="Normal 18 7 2 2 2 2" xfId="16691"/>
    <cellStyle name="Normal 18 7 2 2 2 2 2" xfId="16692"/>
    <cellStyle name="Normal 18 7 2 2 2 3" xfId="16693"/>
    <cellStyle name="Normal 18 7 2 2 3" xfId="16694"/>
    <cellStyle name="Normal 18 7 2 2 3 2" xfId="16695"/>
    <cellStyle name="Normal 18 7 2 2 4" xfId="16696"/>
    <cellStyle name="Normal 18 7 2 3" xfId="16697"/>
    <cellStyle name="Normal 18 7 2 3 2" xfId="16698"/>
    <cellStyle name="Normal 18 7 2 3 2 2" xfId="16699"/>
    <cellStyle name="Normal 18 7 2 3 2 2 2" xfId="16700"/>
    <cellStyle name="Normal 18 7 2 3 2 3" xfId="16701"/>
    <cellStyle name="Normal 18 7 2 3 3" xfId="16702"/>
    <cellStyle name="Normal 18 7 2 3 3 2" xfId="16703"/>
    <cellStyle name="Normal 18 7 2 3 4" xfId="16704"/>
    <cellStyle name="Normal 18 7 2 4" xfId="16705"/>
    <cellStyle name="Normal 18 7 2 4 2" xfId="16706"/>
    <cellStyle name="Normal 18 7 2 4 2 2" xfId="16707"/>
    <cellStyle name="Normal 18 7 2 4 3" xfId="16708"/>
    <cellStyle name="Normal 18 7 2 5" xfId="16709"/>
    <cellStyle name="Normal 18 7 2 5 2" xfId="16710"/>
    <cellStyle name="Normal 18 7 2 6" xfId="16711"/>
    <cellStyle name="Normal 18 7 3" xfId="16712"/>
    <cellStyle name="Normal 18 7 3 2" xfId="16713"/>
    <cellStyle name="Normal 18 7 3 2 2" xfId="16714"/>
    <cellStyle name="Normal 18 7 3 2 2 2" xfId="16715"/>
    <cellStyle name="Normal 18 7 3 2 3" xfId="16716"/>
    <cellStyle name="Normal 18 7 3 3" xfId="16717"/>
    <cellStyle name="Normal 18 7 3 3 2" xfId="16718"/>
    <cellStyle name="Normal 18 7 3 4" xfId="16719"/>
    <cellStyle name="Normal 18 7 4" xfId="16720"/>
    <cellStyle name="Normal 18 7 4 2" xfId="16721"/>
    <cellStyle name="Normal 18 7 4 2 2" xfId="16722"/>
    <cellStyle name="Normal 18 7 4 2 2 2" xfId="16723"/>
    <cellStyle name="Normal 18 7 4 2 3" xfId="16724"/>
    <cellStyle name="Normal 18 7 4 3" xfId="16725"/>
    <cellStyle name="Normal 18 7 4 3 2" xfId="16726"/>
    <cellStyle name="Normal 18 7 4 4" xfId="16727"/>
    <cellStyle name="Normal 18 7 5" xfId="16728"/>
    <cellStyle name="Normal 18 7 5 2" xfId="16729"/>
    <cellStyle name="Normal 18 7 5 2 2" xfId="16730"/>
    <cellStyle name="Normal 18 7 5 3" xfId="16731"/>
    <cellStyle name="Normal 18 7 6" xfId="16732"/>
    <cellStyle name="Normal 18 7 6 2" xfId="16733"/>
    <cellStyle name="Normal 18 7 7" xfId="16734"/>
    <cellStyle name="Normal 18 8" xfId="16735"/>
    <cellStyle name="Normal 18 8 2" xfId="16736"/>
    <cellStyle name="Normal 18 8 2 2" xfId="16737"/>
    <cellStyle name="Normal 18 8 2 2 2" xfId="16738"/>
    <cellStyle name="Normal 18 8 2 2 2 2" xfId="16739"/>
    <cellStyle name="Normal 18 8 2 2 3" xfId="16740"/>
    <cellStyle name="Normal 18 8 2 3" xfId="16741"/>
    <cellStyle name="Normal 18 8 2 3 2" xfId="16742"/>
    <cellStyle name="Normal 18 8 2 4" xfId="16743"/>
    <cellStyle name="Normal 18 8 3" xfId="16744"/>
    <cellStyle name="Normal 18 8 3 2" xfId="16745"/>
    <cellStyle name="Normal 18 8 3 2 2" xfId="16746"/>
    <cellStyle name="Normal 18 8 3 2 2 2" xfId="16747"/>
    <cellStyle name="Normal 18 8 3 2 3" xfId="16748"/>
    <cellStyle name="Normal 18 8 3 3" xfId="16749"/>
    <cellStyle name="Normal 18 8 3 3 2" xfId="16750"/>
    <cellStyle name="Normal 18 8 3 4" xfId="16751"/>
    <cellStyle name="Normal 18 8 4" xfId="16752"/>
    <cellStyle name="Normal 18 8 4 2" xfId="16753"/>
    <cellStyle name="Normal 18 8 4 2 2" xfId="16754"/>
    <cellStyle name="Normal 18 8 4 3" xfId="16755"/>
    <cellStyle name="Normal 18 8 5" xfId="16756"/>
    <cellStyle name="Normal 18 8 5 2" xfId="16757"/>
    <cellStyle name="Normal 18 8 6" xfId="16758"/>
    <cellStyle name="Normal 18 9" xfId="16759"/>
    <cellStyle name="Normal 18 9 2" xfId="16760"/>
    <cellStyle name="Normal 18 9 2 2" xfId="16761"/>
    <cellStyle name="Normal 18 9 2 2 2" xfId="16762"/>
    <cellStyle name="Normal 18 9 2 3" xfId="16763"/>
    <cellStyle name="Normal 18 9 3" xfId="16764"/>
    <cellStyle name="Normal 18 9 3 2" xfId="16765"/>
    <cellStyle name="Normal 18 9 4" xfId="16766"/>
    <cellStyle name="Normal 19" xfId="16767"/>
    <cellStyle name="Normal 19 10" xfId="16768"/>
    <cellStyle name="Normal 19 10 2" xfId="16769"/>
    <cellStyle name="Normal 19 10 2 2" xfId="16770"/>
    <cellStyle name="Normal 19 10 2 2 2" xfId="16771"/>
    <cellStyle name="Normal 19 10 2 3" xfId="16772"/>
    <cellStyle name="Normal 19 10 3" xfId="16773"/>
    <cellStyle name="Normal 19 10 3 2" xfId="16774"/>
    <cellStyle name="Normal 19 10 4" xfId="16775"/>
    <cellStyle name="Normal 19 11" xfId="16776"/>
    <cellStyle name="Normal 19 11 2" xfId="16777"/>
    <cellStyle name="Normal 19 11 2 2" xfId="16778"/>
    <cellStyle name="Normal 19 11 2 2 2" xfId="16779"/>
    <cellStyle name="Normal 19 11 2 3" xfId="16780"/>
    <cellStyle name="Normal 19 11 3" xfId="16781"/>
    <cellStyle name="Normal 19 11 3 2" xfId="16782"/>
    <cellStyle name="Normal 19 11 4" xfId="16783"/>
    <cellStyle name="Normal 19 12" xfId="16784"/>
    <cellStyle name="Normal 19 12 2" xfId="16785"/>
    <cellStyle name="Normal 19 12 2 2" xfId="16786"/>
    <cellStyle name="Normal 19 12 3" xfId="16787"/>
    <cellStyle name="Normal 19 13" xfId="16788"/>
    <cellStyle name="Normal 19 13 2" xfId="16789"/>
    <cellStyle name="Normal 19 14" xfId="16790"/>
    <cellStyle name="Normal 19 2" xfId="16791"/>
    <cellStyle name="Normal 19 2 10" xfId="16792"/>
    <cellStyle name="Normal 19 2 10 2" xfId="16793"/>
    <cellStyle name="Normal 19 2 10 2 2" xfId="16794"/>
    <cellStyle name="Normal 19 2 10 2 2 2" xfId="16795"/>
    <cellStyle name="Normal 19 2 10 2 3" xfId="16796"/>
    <cellStyle name="Normal 19 2 10 3" xfId="16797"/>
    <cellStyle name="Normal 19 2 10 3 2" xfId="16798"/>
    <cellStyle name="Normal 19 2 10 4" xfId="16799"/>
    <cellStyle name="Normal 19 2 11" xfId="16800"/>
    <cellStyle name="Normal 19 2 11 2" xfId="16801"/>
    <cellStyle name="Normal 19 2 11 2 2" xfId="16802"/>
    <cellStyle name="Normal 19 2 11 3" xfId="16803"/>
    <cellStyle name="Normal 19 2 12" xfId="16804"/>
    <cellStyle name="Normal 19 2 12 2" xfId="16805"/>
    <cellStyle name="Normal 19 2 13" xfId="16806"/>
    <cellStyle name="Normal 19 2 2" xfId="16807"/>
    <cellStyle name="Normal 19 2 2 10" xfId="16808"/>
    <cellStyle name="Normal 19 2 2 10 2" xfId="16809"/>
    <cellStyle name="Normal 19 2 2 11" xfId="16810"/>
    <cellStyle name="Normal 19 2 2 2" xfId="16811"/>
    <cellStyle name="Normal 19 2 2 2 10" xfId="16812"/>
    <cellStyle name="Normal 19 2 2 2 2" xfId="16813"/>
    <cellStyle name="Normal 19 2 2 2 2 2" xfId="16814"/>
    <cellStyle name="Normal 19 2 2 2 2 2 2" xfId="16815"/>
    <cellStyle name="Normal 19 2 2 2 2 2 2 2" xfId="16816"/>
    <cellStyle name="Normal 19 2 2 2 2 2 2 2 2" xfId="16817"/>
    <cellStyle name="Normal 19 2 2 2 2 2 2 2 2 2" xfId="16818"/>
    <cellStyle name="Normal 19 2 2 2 2 2 2 2 2 2 2" xfId="16819"/>
    <cellStyle name="Normal 19 2 2 2 2 2 2 2 2 3" xfId="16820"/>
    <cellStyle name="Normal 19 2 2 2 2 2 2 2 3" xfId="16821"/>
    <cellStyle name="Normal 19 2 2 2 2 2 2 2 3 2" xfId="16822"/>
    <cellStyle name="Normal 19 2 2 2 2 2 2 2 4" xfId="16823"/>
    <cellStyle name="Normal 19 2 2 2 2 2 2 3" xfId="16824"/>
    <cellStyle name="Normal 19 2 2 2 2 2 2 3 2" xfId="16825"/>
    <cellStyle name="Normal 19 2 2 2 2 2 2 3 2 2" xfId="16826"/>
    <cellStyle name="Normal 19 2 2 2 2 2 2 3 2 2 2" xfId="16827"/>
    <cellStyle name="Normal 19 2 2 2 2 2 2 3 2 3" xfId="16828"/>
    <cellStyle name="Normal 19 2 2 2 2 2 2 3 3" xfId="16829"/>
    <cellStyle name="Normal 19 2 2 2 2 2 2 3 3 2" xfId="16830"/>
    <cellStyle name="Normal 19 2 2 2 2 2 2 3 4" xfId="16831"/>
    <cellStyle name="Normal 19 2 2 2 2 2 2 4" xfId="16832"/>
    <cellStyle name="Normal 19 2 2 2 2 2 2 4 2" xfId="16833"/>
    <cellStyle name="Normal 19 2 2 2 2 2 2 4 2 2" xfId="16834"/>
    <cellStyle name="Normal 19 2 2 2 2 2 2 4 3" xfId="16835"/>
    <cellStyle name="Normal 19 2 2 2 2 2 2 5" xfId="16836"/>
    <cellStyle name="Normal 19 2 2 2 2 2 2 5 2" xfId="16837"/>
    <cellStyle name="Normal 19 2 2 2 2 2 2 6" xfId="16838"/>
    <cellStyle name="Normal 19 2 2 2 2 2 3" xfId="16839"/>
    <cellStyle name="Normal 19 2 2 2 2 2 3 2" xfId="16840"/>
    <cellStyle name="Normal 19 2 2 2 2 2 3 2 2" xfId="16841"/>
    <cellStyle name="Normal 19 2 2 2 2 2 3 2 2 2" xfId="16842"/>
    <cellStyle name="Normal 19 2 2 2 2 2 3 2 3" xfId="16843"/>
    <cellStyle name="Normal 19 2 2 2 2 2 3 3" xfId="16844"/>
    <cellStyle name="Normal 19 2 2 2 2 2 3 3 2" xfId="16845"/>
    <cellStyle name="Normal 19 2 2 2 2 2 3 4" xfId="16846"/>
    <cellStyle name="Normal 19 2 2 2 2 2 4" xfId="16847"/>
    <cellStyle name="Normal 19 2 2 2 2 2 4 2" xfId="16848"/>
    <cellStyle name="Normal 19 2 2 2 2 2 4 2 2" xfId="16849"/>
    <cellStyle name="Normal 19 2 2 2 2 2 4 2 2 2" xfId="16850"/>
    <cellStyle name="Normal 19 2 2 2 2 2 4 2 3" xfId="16851"/>
    <cellStyle name="Normal 19 2 2 2 2 2 4 3" xfId="16852"/>
    <cellStyle name="Normal 19 2 2 2 2 2 4 3 2" xfId="16853"/>
    <cellStyle name="Normal 19 2 2 2 2 2 4 4" xfId="16854"/>
    <cellStyle name="Normal 19 2 2 2 2 2 5" xfId="16855"/>
    <cellStyle name="Normal 19 2 2 2 2 2 5 2" xfId="16856"/>
    <cellStyle name="Normal 19 2 2 2 2 2 5 2 2" xfId="16857"/>
    <cellStyle name="Normal 19 2 2 2 2 2 5 3" xfId="16858"/>
    <cellStyle name="Normal 19 2 2 2 2 2 6" xfId="16859"/>
    <cellStyle name="Normal 19 2 2 2 2 2 6 2" xfId="16860"/>
    <cellStyle name="Normal 19 2 2 2 2 2 7" xfId="16861"/>
    <cellStyle name="Normal 19 2 2 2 2 3" xfId="16862"/>
    <cellStyle name="Normal 19 2 2 2 2 3 2" xfId="16863"/>
    <cellStyle name="Normal 19 2 2 2 2 3 2 2" xfId="16864"/>
    <cellStyle name="Normal 19 2 2 2 2 3 2 2 2" xfId="16865"/>
    <cellStyle name="Normal 19 2 2 2 2 3 2 2 2 2" xfId="16866"/>
    <cellStyle name="Normal 19 2 2 2 2 3 2 2 3" xfId="16867"/>
    <cellStyle name="Normal 19 2 2 2 2 3 2 3" xfId="16868"/>
    <cellStyle name="Normal 19 2 2 2 2 3 2 3 2" xfId="16869"/>
    <cellStyle name="Normal 19 2 2 2 2 3 2 4" xfId="16870"/>
    <cellStyle name="Normal 19 2 2 2 2 3 3" xfId="16871"/>
    <cellStyle name="Normal 19 2 2 2 2 3 3 2" xfId="16872"/>
    <cellStyle name="Normal 19 2 2 2 2 3 3 2 2" xfId="16873"/>
    <cellStyle name="Normal 19 2 2 2 2 3 3 2 2 2" xfId="16874"/>
    <cellStyle name="Normal 19 2 2 2 2 3 3 2 3" xfId="16875"/>
    <cellStyle name="Normal 19 2 2 2 2 3 3 3" xfId="16876"/>
    <cellStyle name="Normal 19 2 2 2 2 3 3 3 2" xfId="16877"/>
    <cellStyle name="Normal 19 2 2 2 2 3 3 4" xfId="16878"/>
    <cellStyle name="Normal 19 2 2 2 2 3 4" xfId="16879"/>
    <cellStyle name="Normal 19 2 2 2 2 3 4 2" xfId="16880"/>
    <cellStyle name="Normal 19 2 2 2 2 3 4 2 2" xfId="16881"/>
    <cellStyle name="Normal 19 2 2 2 2 3 4 3" xfId="16882"/>
    <cellStyle name="Normal 19 2 2 2 2 3 5" xfId="16883"/>
    <cellStyle name="Normal 19 2 2 2 2 3 5 2" xfId="16884"/>
    <cellStyle name="Normal 19 2 2 2 2 3 6" xfId="16885"/>
    <cellStyle name="Normal 19 2 2 2 2 4" xfId="16886"/>
    <cellStyle name="Normal 19 2 2 2 2 4 2" xfId="16887"/>
    <cellStyle name="Normal 19 2 2 2 2 4 2 2" xfId="16888"/>
    <cellStyle name="Normal 19 2 2 2 2 4 2 2 2" xfId="16889"/>
    <cellStyle name="Normal 19 2 2 2 2 4 2 3" xfId="16890"/>
    <cellStyle name="Normal 19 2 2 2 2 4 3" xfId="16891"/>
    <cellStyle name="Normal 19 2 2 2 2 4 3 2" xfId="16892"/>
    <cellStyle name="Normal 19 2 2 2 2 4 4" xfId="16893"/>
    <cellStyle name="Normal 19 2 2 2 2 5" xfId="16894"/>
    <cellStyle name="Normal 19 2 2 2 2 5 2" xfId="16895"/>
    <cellStyle name="Normal 19 2 2 2 2 5 2 2" xfId="16896"/>
    <cellStyle name="Normal 19 2 2 2 2 5 2 2 2" xfId="16897"/>
    <cellStyle name="Normal 19 2 2 2 2 5 2 3" xfId="16898"/>
    <cellStyle name="Normal 19 2 2 2 2 5 3" xfId="16899"/>
    <cellStyle name="Normal 19 2 2 2 2 5 3 2" xfId="16900"/>
    <cellStyle name="Normal 19 2 2 2 2 5 4" xfId="16901"/>
    <cellStyle name="Normal 19 2 2 2 2 6" xfId="16902"/>
    <cellStyle name="Normal 19 2 2 2 2 6 2" xfId="16903"/>
    <cellStyle name="Normal 19 2 2 2 2 6 2 2" xfId="16904"/>
    <cellStyle name="Normal 19 2 2 2 2 6 2 2 2" xfId="16905"/>
    <cellStyle name="Normal 19 2 2 2 2 6 2 3" xfId="16906"/>
    <cellStyle name="Normal 19 2 2 2 2 6 3" xfId="16907"/>
    <cellStyle name="Normal 19 2 2 2 2 6 3 2" xfId="16908"/>
    <cellStyle name="Normal 19 2 2 2 2 6 4" xfId="16909"/>
    <cellStyle name="Normal 19 2 2 2 2 7" xfId="16910"/>
    <cellStyle name="Normal 19 2 2 2 2 7 2" xfId="16911"/>
    <cellStyle name="Normal 19 2 2 2 2 7 2 2" xfId="16912"/>
    <cellStyle name="Normal 19 2 2 2 2 7 3" xfId="16913"/>
    <cellStyle name="Normal 19 2 2 2 2 8" xfId="16914"/>
    <cellStyle name="Normal 19 2 2 2 2 8 2" xfId="16915"/>
    <cellStyle name="Normal 19 2 2 2 2 9" xfId="16916"/>
    <cellStyle name="Normal 19 2 2 2 3" xfId="16917"/>
    <cellStyle name="Normal 19 2 2 2 3 2" xfId="16918"/>
    <cellStyle name="Normal 19 2 2 2 3 2 2" xfId="16919"/>
    <cellStyle name="Normal 19 2 2 2 3 2 2 2" xfId="16920"/>
    <cellStyle name="Normal 19 2 2 2 3 2 2 2 2" xfId="16921"/>
    <cellStyle name="Normal 19 2 2 2 3 2 2 2 2 2" xfId="16922"/>
    <cellStyle name="Normal 19 2 2 2 3 2 2 2 3" xfId="16923"/>
    <cellStyle name="Normal 19 2 2 2 3 2 2 3" xfId="16924"/>
    <cellStyle name="Normal 19 2 2 2 3 2 2 3 2" xfId="16925"/>
    <cellStyle name="Normal 19 2 2 2 3 2 2 4" xfId="16926"/>
    <cellStyle name="Normal 19 2 2 2 3 2 3" xfId="16927"/>
    <cellStyle name="Normal 19 2 2 2 3 2 3 2" xfId="16928"/>
    <cellStyle name="Normal 19 2 2 2 3 2 3 2 2" xfId="16929"/>
    <cellStyle name="Normal 19 2 2 2 3 2 3 2 2 2" xfId="16930"/>
    <cellStyle name="Normal 19 2 2 2 3 2 3 2 3" xfId="16931"/>
    <cellStyle name="Normal 19 2 2 2 3 2 3 3" xfId="16932"/>
    <cellStyle name="Normal 19 2 2 2 3 2 3 3 2" xfId="16933"/>
    <cellStyle name="Normal 19 2 2 2 3 2 3 4" xfId="16934"/>
    <cellStyle name="Normal 19 2 2 2 3 2 4" xfId="16935"/>
    <cellStyle name="Normal 19 2 2 2 3 2 4 2" xfId="16936"/>
    <cellStyle name="Normal 19 2 2 2 3 2 4 2 2" xfId="16937"/>
    <cellStyle name="Normal 19 2 2 2 3 2 4 3" xfId="16938"/>
    <cellStyle name="Normal 19 2 2 2 3 2 5" xfId="16939"/>
    <cellStyle name="Normal 19 2 2 2 3 2 5 2" xfId="16940"/>
    <cellStyle name="Normal 19 2 2 2 3 2 6" xfId="16941"/>
    <cellStyle name="Normal 19 2 2 2 3 3" xfId="16942"/>
    <cellStyle name="Normal 19 2 2 2 3 3 2" xfId="16943"/>
    <cellStyle name="Normal 19 2 2 2 3 3 2 2" xfId="16944"/>
    <cellStyle name="Normal 19 2 2 2 3 3 2 2 2" xfId="16945"/>
    <cellStyle name="Normal 19 2 2 2 3 3 2 3" xfId="16946"/>
    <cellStyle name="Normal 19 2 2 2 3 3 3" xfId="16947"/>
    <cellStyle name="Normal 19 2 2 2 3 3 3 2" xfId="16948"/>
    <cellStyle name="Normal 19 2 2 2 3 3 4" xfId="16949"/>
    <cellStyle name="Normal 19 2 2 2 3 4" xfId="16950"/>
    <cellStyle name="Normal 19 2 2 2 3 4 2" xfId="16951"/>
    <cellStyle name="Normal 19 2 2 2 3 4 2 2" xfId="16952"/>
    <cellStyle name="Normal 19 2 2 2 3 4 2 2 2" xfId="16953"/>
    <cellStyle name="Normal 19 2 2 2 3 4 2 3" xfId="16954"/>
    <cellStyle name="Normal 19 2 2 2 3 4 3" xfId="16955"/>
    <cellStyle name="Normal 19 2 2 2 3 4 3 2" xfId="16956"/>
    <cellStyle name="Normal 19 2 2 2 3 4 4" xfId="16957"/>
    <cellStyle name="Normal 19 2 2 2 3 5" xfId="16958"/>
    <cellStyle name="Normal 19 2 2 2 3 5 2" xfId="16959"/>
    <cellStyle name="Normal 19 2 2 2 3 5 2 2" xfId="16960"/>
    <cellStyle name="Normal 19 2 2 2 3 5 3" xfId="16961"/>
    <cellStyle name="Normal 19 2 2 2 3 6" xfId="16962"/>
    <cellStyle name="Normal 19 2 2 2 3 6 2" xfId="16963"/>
    <cellStyle name="Normal 19 2 2 2 3 7" xfId="16964"/>
    <cellStyle name="Normal 19 2 2 2 4" xfId="16965"/>
    <cellStyle name="Normal 19 2 2 2 4 2" xfId="16966"/>
    <cellStyle name="Normal 19 2 2 2 4 2 2" xfId="16967"/>
    <cellStyle name="Normal 19 2 2 2 4 2 2 2" xfId="16968"/>
    <cellStyle name="Normal 19 2 2 2 4 2 2 2 2" xfId="16969"/>
    <cellStyle name="Normal 19 2 2 2 4 2 2 3" xfId="16970"/>
    <cellStyle name="Normal 19 2 2 2 4 2 3" xfId="16971"/>
    <cellStyle name="Normal 19 2 2 2 4 2 3 2" xfId="16972"/>
    <cellStyle name="Normal 19 2 2 2 4 2 4" xfId="16973"/>
    <cellStyle name="Normal 19 2 2 2 4 3" xfId="16974"/>
    <cellStyle name="Normal 19 2 2 2 4 3 2" xfId="16975"/>
    <cellStyle name="Normal 19 2 2 2 4 3 2 2" xfId="16976"/>
    <cellStyle name="Normal 19 2 2 2 4 3 2 2 2" xfId="16977"/>
    <cellStyle name="Normal 19 2 2 2 4 3 2 3" xfId="16978"/>
    <cellStyle name="Normal 19 2 2 2 4 3 3" xfId="16979"/>
    <cellStyle name="Normal 19 2 2 2 4 3 3 2" xfId="16980"/>
    <cellStyle name="Normal 19 2 2 2 4 3 4" xfId="16981"/>
    <cellStyle name="Normal 19 2 2 2 4 4" xfId="16982"/>
    <cellStyle name="Normal 19 2 2 2 4 4 2" xfId="16983"/>
    <cellStyle name="Normal 19 2 2 2 4 4 2 2" xfId="16984"/>
    <cellStyle name="Normal 19 2 2 2 4 4 3" xfId="16985"/>
    <cellStyle name="Normal 19 2 2 2 4 5" xfId="16986"/>
    <cellStyle name="Normal 19 2 2 2 4 5 2" xfId="16987"/>
    <cellStyle name="Normal 19 2 2 2 4 6" xfId="16988"/>
    <cellStyle name="Normal 19 2 2 2 5" xfId="16989"/>
    <cellStyle name="Normal 19 2 2 2 5 2" xfId="16990"/>
    <cellStyle name="Normal 19 2 2 2 5 2 2" xfId="16991"/>
    <cellStyle name="Normal 19 2 2 2 5 2 2 2" xfId="16992"/>
    <cellStyle name="Normal 19 2 2 2 5 2 3" xfId="16993"/>
    <cellStyle name="Normal 19 2 2 2 5 3" xfId="16994"/>
    <cellStyle name="Normal 19 2 2 2 5 3 2" xfId="16995"/>
    <cellStyle name="Normal 19 2 2 2 5 4" xfId="16996"/>
    <cellStyle name="Normal 19 2 2 2 6" xfId="16997"/>
    <cellStyle name="Normal 19 2 2 2 6 2" xfId="16998"/>
    <cellStyle name="Normal 19 2 2 2 6 2 2" xfId="16999"/>
    <cellStyle name="Normal 19 2 2 2 6 2 2 2" xfId="17000"/>
    <cellStyle name="Normal 19 2 2 2 6 2 3" xfId="17001"/>
    <cellStyle name="Normal 19 2 2 2 6 3" xfId="17002"/>
    <cellStyle name="Normal 19 2 2 2 6 3 2" xfId="17003"/>
    <cellStyle name="Normal 19 2 2 2 6 4" xfId="17004"/>
    <cellStyle name="Normal 19 2 2 2 7" xfId="17005"/>
    <cellStyle name="Normal 19 2 2 2 7 2" xfId="17006"/>
    <cellStyle name="Normal 19 2 2 2 7 2 2" xfId="17007"/>
    <cellStyle name="Normal 19 2 2 2 7 2 2 2" xfId="17008"/>
    <cellStyle name="Normal 19 2 2 2 7 2 3" xfId="17009"/>
    <cellStyle name="Normal 19 2 2 2 7 3" xfId="17010"/>
    <cellStyle name="Normal 19 2 2 2 7 3 2" xfId="17011"/>
    <cellStyle name="Normal 19 2 2 2 7 4" xfId="17012"/>
    <cellStyle name="Normal 19 2 2 2 8" xfId="17013"/>
    <cellStyle name="Normal 19 2 2 2 8 2" xfId="17014"/>
    <cellStyle name="Normal 19 2 2 2 8 2 2" xfId="17015"/>
    <cellStyle name="Normal 19 2 2 2 8 3" xfId="17016"/>
    <cellStyle name="Normal 19 2 2 2 9" xfId="17017"/>
    <cellStyle name="Normal 19 2 2 2 9 2" xfId="17018"/>
    <cellStyle name="Normal 19 2 2 3" xfId="17019"/>
    <cellStyle name="Normal 19 2 2 3 2" xfId="17020"/>
    <cellStyle name="Normal 19 2 2 3 2 2" xfId="17021"/>
    <cellStyle name="Normal 19 2 2 3 2 2 2" xfId="17022"/>
    <cellStyle name="Normal 19 2 2 3 2 2 2 2" xfId="17023"/>
    <cellStyle name="Normal 19 2 2 3 2 2 2 2 2" xfId="17024"/>
    <cellStyle name="Normal 19 2 2 3 2 2 2 2 2 2" xfId="17025"/>
    <cellStyle name="Normal 19 2 2 3 2 2 2 2 3" xfId="17026"/>
    <cellStyle name="Normal 19 2 2 3 2 2 2 3" xfId="17027"/>
    <cellStyle name="Normal 19 2 2 3 2 2 2 3 2" xfId="17028"/>
    <cellStyle name="Normal 19 2 2 3 2 2 2 4" xfId="17029"/>
    <cellStyle name="Normal 19 2 2 3 2 2 3" xfId="17030"/>
    <cellStyle name="Normal 19 2 2 3 2 2 3 2" xfId="17031"/>
    <cellStyle name="Normal 19 2 2 3 2 2 3 2 2" xfId="17032"/>
    <cellStyle name="Normal 19 2 2 3 2 2 3 2 2 2" xfId="17033"/>
    <cellStyle name="Normal 19 2 2 3 2 2 3 2 3" xfId="17034"/>
    <cellStyle name="Normal 19 2 2 3 2 2 3 3" xfId="17035"/>
    <cellStyle name="Normal 19 2 2 3 2 2 3 3 2" xfId="17036"/>
    <cellStyle name="Normal 19 2 2 3 2 2 3 4" xfId="17037"/>
    <cellStyle name="Normal 19 2 2 3 2 2 4" xfId="17038"/>
    <cellStyle name="Normal 19 2 2 3 2 2 4 2" xfId="17039"/>
    <cellStyle name="Normal 19 2 2 3 2 2 4 2 2" xfId="17040"/>
    <cellStyle name="Normal 19 2 2 3 2 2 4 3" xfId="17041"/>
    <cellStyle name="Normal 19 2 2 3 2 2 5" xfId="17042"/>
    <cellStyle name="Normal 19 2 2 3 2 2 5 2" xfId="17043"/>
    <cellStyle name="Normal 19 2 2 3 2 2 6" xfId="17044"/>
    <cellStyle name="Normal 19 2 2 3 2 3" xfId="17045"/>
    <cellStyle name="Normal 19 2 2 3 2 3 2" xfId="17046"/>
    <cellStyle name="Normal 19 2 2 3 2 3 2 2" xfId="17047"/>
    <cellStyle name="Normal 19 2 2 3 2 3 2 2 2" xfId="17048"/>
    <cellStyle name="Normal 19 2 2 3 2 3 2 3" xfId="17049"/>
    <cellStyle name="Normal 19 2 2 3 2 3 3" xfId="17050"/>
    <cellStyle name="Normal 19 2 2 3 2 3 3 2" xfId="17051"/>
    <cellStyle name="Normal 19 2 2 3 2 3 4" xfId="17052"/>
    <cellStyle name="Normal 19 2 2 3 2 4" xfId="17053"/>
    <cellStyle name="Normal 19 2 2 3 2 4 2" xfId="17054"/>
    <cellStyle name="Normal 19 2 2 3 2 4 2 2" xfId="17055"/>
    <cellStyle name="Normal 19 2 2 3 2 4 2 2 2" xfId="17056"/>
    <cellStyle name="Normal 19 2 2 3 2 4 2 3" xfId="17057"/>
    <cellStyle name="Normal 19 2 2 3 2 4 3" xfId="17058"/>
    <cellStyle name="Normal 19 2 2 3 2 4 3 2" xfId="17059"/>
    <cellStyle name="Normal 19 2 2 3 2 4 4" xfId="17060"/>
    <cellStyle name="Normal 19 2 2 3 2 5" xfId="17061"/>
    <cellStyle name="Normal 19 2 2 3 2 5 2" xfId="17062"/>
    <cellStyle name="Normal 19 2 2 3 2 5 2 2" xfId="17063"/>
    <cellStyle name="Normal 19 2 2 3 2 5 3" xfId="17064"/>
    <cellStyle name="Normal 19 2 2 3 2 6" xfId="17065"/>
    <cellStyle name="Normal 19 2 2 3 2 6 2" xfId="17066"/>
    <cellStyle name="Normal 19 2 2 3 2 7" xfId="17067"/>
    <cellStyle name="Normal 19 2 2 3 3" xfId="17068"/>
    <cellStyle name="Normal 19 2 2 3 3 2" xfId="17069"/>
    <cellStyle name="Normal 19 2 2 3 3 2 2" xfId="17070"/>
    <cellStyle name="Normal 19 2 2 3 3 2 2 2" xfId="17071"/>
    <cellStyle name="Normal 19 2 2 3 3 2 2 2 2" xfId="17072"/>
    <cellStyle name="Normal 19 2 2 3 3 2 2 3" xfId="17073"/>
    <cellStyle name="Normal 19 2 2 3 3 2 3" xfId="17074"/>
    <cellStyle name="Normal 19 2 2 3 3 2 3 2" xfId="17075"/>
    <cellStyle name="Normal 19 2 2 3 3 2 4" xfId="17076"/>
    <cellStyle name="Normal 19 2 2 3 3 3" xfId="17077"/>
    <cellStyle name="Normal 19 2 2 3 3 3 2" xfId="17078"/>
    <cellStyle name="Normal 19 2 2 3 3 3 2 2" xfId="17079"/>
    <cellStyle name="Normal 19 2 2 3 3 3 2 2 2" xfId="17080"/>
    <cellStyle name="Normal 19 2 2 3 3 3 2 3" xfId="17081"/>
    <cellStyle name="Normal 19 2 2 3 3 3 3" xfId="17082"/>
    <cellStyle name="Normal 19 2 2 3 3 3 3 2" xfId="17083"/>
    <cellStyle name="Normal 19 2 2 3 3 3 4" xfId="17084"/>
    <cellStyle name="Normal 19 2 2 3 3 4" xfId="17085"/>
    <cellStyle name="Normal 19 2 2 3 3 4 2" xfId="17086"/>
    <cellStyle name="Normal 19 2 2 3 3 4 2 2" xfId="17087"/>
    <cellStyle name="Normal 19 2 2 3 3 4 3" xfId="17088"/>
    <cellStyle name="Normal 19 2 2 3 3 5" xfId="17089"/>
    <cellStyle name="Normal 19 2 2 3 3 5 2" xfId="17090"/>
    <cellStyle name="Normal 19 2 2 3 3 6" xfId="17091"/>
    <cellStyle name="Normal 19 2 2 3 4" xfId="17092"/>
    <cellStyle name="Normal 19 2 2 3 4 2" xfId="17093"/>
    <cellStyle name="Normal 19 2 2 3 4 2 2" xfId="17094"/>
    <cellStyle name="Normal 19 2 2 3 4 2 2 2" xfId="17095"/>
    <cellStyle name="Normal 19 2 2 3 4 2 3" xfId="17096"/>
    <cellStyle name="Normal 19 2 2 3 4 3" xfId="17097"/>
    <cellStyle name="Normal 19 2 2 3 4 3 2" xfId="17098"/>
    <cellStyle name="Normal 19 2 2 3 4 4" xfId="17099"/>
    <cellStyle name="Normal 19 2 2 3 5" xfId="17100"/>
    <cellStyle name="Normal 19 2 2 3 5 2" xfId="17101"/>
    <cellStyle name="Normal 19 2 2 3 5 2 2" xfId="17102"/>
    <cellStyle name="Normal 19 2 2 3 5 2 2 2" xfId="17103"/>
    <cellStyle name="Normal 19 2 2 3 5 2 3" xfId="17104"/>
    <cellStyle name="Normal 19 2 2 3 5 3" xfId="17105"/>
    <cellStyle name="Normal 19 2 2 3 5 3 2" xfId="17106"/>
    <cellStyle name="Normal 19 2 2 3 5 4" xfId="17107"/>
    <cellStyle name="Normal 19 2 2 3 6" xfId="17108"/>
    <cellStyle name="Normal 19 2 2 3 6 2" xfId="17109"/>
    <cellStyle name="Normal 19 2 2 3 6 2 2" xfId="17110"/>
    <cellStyle name="Normal 19 2 2 3 6 2 2 2" xfId="17111"/>
    <cellStyle name="Normal 19 2 2 3 6 2 3" xfId="17112"/>
    <cellStyle name="Normal 19 2 2 3 6 3" xfId="17113"/>
    <cellStyle name="Normal 19 2 2 3 6 3 2" xfId="17114"/>
    <cellStyle name="Normal 19 2 2 3 6 4" xfId="17115"/>
    <cellStyle name="Normal 19 2 2 3 7" xfId="17116"/>
    <cellStyle name="Normal 19 2 2 3 7 2" xfId="17117"/>
    <cellStyle name="Normal 19 2 2 3 7 2 2" xfId="17118"/>
    <cellStyle name="Normal 19 2 2 3 7 3" xfId="17119"/>
    <cellStyle name="Normal 19 2 2 3 8" xfId="17120"/>
    <cellStyle name="Normal 19 2 2 3 8 2" xfId="17121"/>
    <cellStyle name="Normal 19 2 2 3 9" xfId="17122"/>
    <cellStyle name="Normal 19 2 2 4" xfId="17123"/>
    <cellStyle name="Normal 19 2 2 4 2" xfId="17124"/>
    <cellStyle name="Normal 19 2 2 4 2 2" xfId="17125"/>
    <cellStyle name="Normal 19 2 2 4 2 2 2" xfId="17126"/>
    <cellStyle name="Normal 19 2 2 4 2 2 2 2" xfId="17127"/>
    <cellStyle name="Normal 19 2 2 4 2 2 2 2 2" xfId="17128"/>
    <cellStyle name="Normal 19 2 2 4 2 2 2 3" xfId="17129"/>
    <cellStyle name="Normal 19 2 2 4 2 2 3" xfId="17130"/>
    <cellStyle name="Normal 19 2 2 4 2 2 3 2" xfId="17131"/>
    <cellStyle name="Normal 19 2 2 4 2 2 4" xfId="17132"/>
    <cellStyle name="Normal 19 2 2 4 2 3" xfId="17133"/>
    <cellStyle name="Normal 19 2 2 4 2 3 2" xfId="17134"/>
    <cellStyle name="Normal 19 2 2 4 2 3 2 2" xfId="17135"/>
    <cellStyle name="Normal 19 2 2 4 2 3 2 2 2" xfId="17136"/>
    <cellStyle name="Normal 19 2 2 4 2 3 2 3" xfId="17137"/>
    <cellStyle name="Normal 19 2 2 4 2 3 3" xfId="17138"/>
    <cellStyle name="Normal 19 2 2 4 2 3 3 2" xfId="17139"/>
    <cellStyle name="Normal 19 2 2 4 2 3 4" xfId="17140"/>
    <cellStyle name="Normal 19 2 2 4 2 4" xfId="17141"/>
    <cellStyle name="Normal 19 2 2 4 2 4 2" xfId="17142"/>
    <cellStyle name="Normal 19 2 2 4 2 4 2 2" xfId="17143"/>
    <cellStyle name="Normal 19 2 2 4 2 4 3" xfId="17144"/>
    <cellStyle name="Normal 19 2 2 4 2 5" xfId="17145"/>
    <cellStyle name="Normal 19 2 2 4 2 5 2" xfId="17146"/>
    <cellStyle name="Normal 19 2 2 4 2 6" xfId="17147"/>
    <cellStyle name="Normal 19 2 2 4 3" xfId="17148"/>
    <cellStyle name="Normal 19 2 2 4 3 2" xfId="17149"/>
    <cellStyle name="Normal 19 2 2 4 3 2 2" xfId="17150"/>
    <cellStyle name="Normal 19 2 2 4 3 2 2 2" xfId="17151"/>
    <cellStyle name="Normal 19 2 2 4 3 2 3" xfId="17152"/>
    <cellStyle name="Normal 19 2 2 4 3 3" xfId="17153"/>
    <cellStyle name="Normal 19 2 2 4 3 3 2" xfId="17154"/>
    <cellStyle name="Normal 19 2 2 4 3 4" xfId="17155"/>
    <cellStyle name="Normal 19 2 2 4 4" xfId="17156"/>
    <cellStyle name="Normal 19 2 2 4 4 2" xfId="17157"/>
    <cellStyle name="Normal 19 2 2 4 4 2 2" xfId="17158"/>
    <cellStyle name="Normal 19 2 2 4 4 2 2 2" xfId="17159"/>
    <cellStyle name="Normal 19 2 2 4 4 2 3" xfId="17160"/>
    <cellStyle name="Normal 19 2 2 4 4 3" xfId="17161"/>
    <cellStyle name="Normal 19 2 2 4 4 3 2" xfId="17162"/>
    <cellStyle name="Normal 19 2 2 4 4 4" xfId="17163"/>
    <cellStyle name="Normal 19 2 2 4 5" xfId="17164"/>
    <cellStyle name="Normal 19 2 2 4 5 2" xfId="17165"/>
    <cellStyle name="Normal 19 2 2 4 5 2 2" xfId="17166"/>
    <cellStyle name="Normal 19 2 2 4 5 3" xfId="17167"/>
    <cellStyle name="Normal 19 2 2 4 6" xfId="17168"/>
    <cellStyle name="Normal 19 2 2 4 6 2" xfId="17169"/>
    <cellStyle name="Normal 19 2 2 4 7" xfId="17170"/>
    <cellStyle name="Normal 19 2 2 5" xfId="17171"/>
    <cellStyle name="Normal 19 2 2 5 2" xfId="17172"/>
    <cellStyle name="Normal 19 2 2 5 2 2" xfId="17173"/>
    <cellStyle name="Normal 19 2 2 5 2 2 2" xfId="17174"/>
    <cellStyle name="Normal 19 2 2 5 2 2 2 2" xfId="17175"/>
    <cellStyle name="Normal 19 2 2 5 2 2 3" xfId="17176"/>
    <cellStyle name="Normal 19 2 2 5 2 3" xfId="17177"/>
    <cellStyle name="Normal 19 2 2 5 2 3 2" xfId="17178"/>
    <cellStyle name="Normal 19 2 2 5 2 4" xfId="17179"/>
    <cellStyle name="Normal 19 2 2 5 3" xfId="17180"/>
    <cellStyle name="Normal 19 2 2 5 3 2" xfId="17181"/>
    <cellStyle name="Normal 19 2 2 5 3 2 2" xfId="17182"/>
    <cellStyle name="Normal 19 2 2 5 3 2 2 2" xfId="17183"/>
    <cellStyle name="Normal 19 2 2 5 3 2 3" xfId="17184"/>
    <cellStyle name="Normal 19 2 2 5 3 3" xfId="17185"/>
    <cellStyle name="Normal 19 2 2 5 3 3 2" xfId="17186"/>
    <cellStyle name="Normal 19 2 2 5 3 4" xfId="17187"/>
    <cellStyle name="Normal 19 2 2 5 4" xfId="17188"/>
    <cellStyle name="Normal 19 2 2 5 4 2" xfId="17189"/>
    <cellStyle name="Normal 19 2 2 5 4 2 2" xfId="17190"/>
    <cellStyle name="Normal 19 2 2 5 4 3" xfId="17191"/>
    <cellStyle name="Normal 19 2 2 5 5" xfId="17192"/>
    <cellStyle name="Normal 19 2 2 5 5 2" xfId="17193"/>
    <cellStyle name="Normal 19 2 2 5 6" xfId="17194"/>
    <cellStyle name="Normal 19 2 2 6" xfId="17195"/>
    <cellStyle name="Normal 19 2 2 6 2" xfId="17196"/>
    <cellStyle name="Normal 19 2 2 6 2 2" xfId="17197"/>
    <cellStyle name="Normal 19 2 2 6 2 2 2" xfId="17198"/>
    <cellStyle name="Normal 19 2 2 6 2 3" xfId="17199"/>
    <cellStyle name="Normal 19 2 2 6 3" xfId="17200"/>
    <cellStyle name="Normal 19 2 2 6 3 2" xfId="17201"/>
    <cellStyle name="Normal 19 2 2 6 4" xfId="17202"/>
    <cellStyle name="Normal 19 2 2 7" xfId="17203"/>
    <cellStyle name="Normal 19 2 2 7 2" xfId="17204"/>
    <cellStyle name="Normal 19 2 2 7 2 2" xfId="17205"/>
    <cellStyle name="Normal 19 2 2 7 2 2 2" xfId="17206"/>
    <cellStyle name="Normal 19 2 2 7 2 3" xfId="17207"/>
    <cellStyle name="Normal 19 2 2 7 3" xfId="17208"/>
    <cellStyle name="Normal 19 2 2 7 3 2" xfId="17209"/>
    <cellStyle name="Normal 19 2 2 7 4" xfId="17210"/>
    <cellStyle name="Normal 19 2 2 8" xfId="17211"/>
    <cellStyle name="Normal 19 2 2 8 2" xfId="17212"/>
    <cellStyle name="Normal 19 2 2 8 2 2" xfId="17213"/>
    <cellStyle name="Normal 19 2 2 8 2 2 2" xfId="17214"/>
    <cellStyle name="Normal 19 2 2 8 2 3" xfId="17215"/>
    <cellStyle name="Normal 19 2 2 8 3" xfId="17216"/>
    <cellStyle name="Normal 19 2 2 8 3 2" xfId="17217"/>
    <cellStyle name="Normal 19 2 2 8 4" xfId="17218"/>
    <cellStyle name="Normal 19 2 2 9" xfId="17219"/>
    <cellStyle name="Normal 19 2 2 9 2" xfId="17220"/>
    <cellStyle name="Normal 19 2 2 9 2 2" xfId="17221"/>
    <cellStyle name="Normal 19 2 2 9 3" xfId="17222"/>
    <cellStyle name="Normal 19 2 3" xfId="17223"/>
    <cellStyle name="Normal 19 2 3 10" xfId="17224"/>
    <cellStyle name="Normal 19 2 3 2" xfId="17225"/>
    <cellStyle name="Normal 19 2 3 2 2" xfId="17226"/>
    <cellStyle name="Normal 19 2 3 2 2 2" xfId="17227"/>
    <cellStyle name="Normal 19 2 3 2 2 2 2" xfId="17228"/>
    <cellStyle name="Normal 19 2 3 2 2 2 2 2" xfId="17229"/>
    <cellStyle name="Normal 19 2 3 2 2 2 2 2 2" xfId="17230"/>
    <cellStyle name="Normal 19 2 3 2 2 2 2 2 2 2" xfId="17231"/>
    <cellStyle name="Normal 19 2 3 2 2 2 2 2 3" xfId="17232"/>
    <cellStyle name="Normal 19 2 3 2 2 2 2 3" xfId="17233"/>
    <cellStyle name="Normal 19 2 3 2 2 2 2 3 2" xfId="17234"/>
    <cellStyle name="Normal 19 2 3 2 2 2 2 4" xfId="17235"/>
    <cellStyle name="Normal 19 2 3 2 2 2 3" xfId="17236"/>
    <cellStyle name="Normal 19 2 3 2 2 2 3 2" xfId="17237"/>
    <cellStyle name="Normal 19 2 3 2 2 2 3 2 2" xfId="17238"/>
    <cellStyle name="Normal 19 2 3 2 2 2 3 2 2 2" xfId="17239"/>
    <cellStyle name="Normal 19 2 3 2 2 2 3 2 3" xfId="17240"/>
    <cellStyle name="Normal 19 2 3 2 2 2 3 3" xfId="17241"/>
    <cellStyle name="Normal 19 2 3 2 2 2 3 3 2" xfId="17242"/>
    <cellStyle name="Normal 19 2 3 2 2 2 3 4" xfId="17243"/>
    <cellStyle name="Normal 19 2 3 2 2 2 4" xfId="17244"/>
    <cellStyle name="Normal 19 2 3 2 2 2 4 2" xfId="17245"/>
    <cellStyle name="Normal 19 2 3 2 2 2 4 2 2" xfId="17246"/>
    <cellStyle name="Normal 19 2 3 2 2 2 4 3" xfId="17247"/>
    <cellStyle name="Normal 19 2 3 2 2 2 5" xfId="17248"/>
    <cellStyle name="Normal 19 2 3 2 2 2 5 2" xfId="17249"/>
    <cellStyle name="Normal 19 2 3 2 2 2 6" xfId="17250"/>
    <cellStyle name="Normal 19 2 3 2 2 3" xfId="17251"/>
    <cellStyle name="Normal 19 2 3 2 2 3 2" xfId="17252"/>
    <cellStyle name="Normal 19 2 3 2 2 3 2 2" xfId="17253"/>
    <cellStyle name="Normal 19 2 3 2 2 3 2 2 2" xfId="17254"/>
    <cellStyle name="Normal 19 2 3 2 2 3 2 3" xfId="17255"/>
    <cellStyle name="Normal 19 2 3 2 2 3 3" xfId="17256"/>
    <cellStyle name="Normal 19 2 3 2 2 3 3 2" xfId="17257"/>
    <cellStyle name="Normal 19 2 3 2 2 3 4" xfId="17258"/>
    <cellStyle name="Normal 19 2 3 2 2 4" xfId="17259"/>
    <cellStyle name="Normal 19 2 3 2 2 4 2" xfId="17260"/>
    <cellStyle name="Normal 19 2 3 2 2 4 2 2" xfId="17261"/>
    <cellStyle name="Normal 19 2 3 2 2 4 2 2 2" xfId="17262"/>
    <cellStyle name="Normal 19 2 3 2 2 4 2 3" xfId="17263"/>
    <cellStyle name="Normal 19 2 3 2 2 4 3" xfId="17264"/>
    <cellStyle name="Normal 19 2 3 2 2 4 3 2" xfId="17265"/>
    <cellStyle name="Normal 19 2 3 2 2 4 4" xfId="17266"/>
    <cellStyle name="Normal 19 2 3 2 2 5" xfId="17267"/>
    <cellStyle name="Normal 19 2 3 2 2 5 2" xfId="17268"/>
    <cellStyle name="Normal 19 2 3 2 2 5 2 2" xfId="17269"/>
    <cellStyle name="Normal 19 2 3 2 2 5 3" xfId="17270"/>
    <cellStyle name="Normal 19 2 3 2 2 6" xfId="17271"/>
    <cellStyle name="Normal 19 2 3 2 2 6 2" xfId="17272"/>
    <cellStyle name="Normal 19 2 3 2 2 7" xfId="17273"/>
    <cellStyle name="Normal 19 2 3 2 3" xfId="17274"/>
    <cellStyle name="Normal 19 2 3 2 3 2" xfId="17275"/>
    <cellStyle name="Normal 19 2 3 2 3 2 2" xfId="17276"/>
    <cellStyle name="Normal 19 2 3 2 3 2 2 2" xfId="17277"/>
    <cellStyle name="Normal 19 2 3 2 3 2 2 2 2" xfId="17278"/>
    <cellStyle name="Normal 19 2 3 2 3 2 2 3" xfId="17279"/>
    <cellStyle name="Normal 19 2 3 2 3 2 3" xfId="17280"/>
    <cellStyle name="Normal 19 2 3 2 3 2 3 2" xfId="17281"/>
    <cellStyle name="Normal 19 2 3 2 3 2 4" xfId="17282"/>
    <cellStyle name="Normal 19 2 3 2 3 3" xfId="17283"/>
    <cellStyle name="Normal 19 2 3 2 3 3 2" xfId="17284"/>
    <cellStyle name="Normal 19 2 3 2 3 3 2 2" xfId="17285"/>
    <cellStyle name="Normal 19 2 3 2 3 3 2 2 2" xfId="17286"/>
    <cellStyle name="Normal 19 2 3 2 3 3 2 3" xfId="17287"/>
    <cellStyle name="Normal 19 2 3 2 3 3 3" xfId="17288"/>
    <cellStyle name="Normal 19 2 3 2 3 3 3 2" xfId="17289"/>
    <cellStyle name="Normal 19 2 3 2 3 3 4" xfId="17290"/>
    <cellStyle name="Normal 19 2 3 2 3 4" xfId="17291"/>
    <cellStyle name="Normal 19 2 3 2 3 4 2" xfId="17292"/>
    <cellStyle name="Normal 19 2 3 2 3 4 2 2" xfId="17293"/>
    <cellStyle name="Normal 19 2 3 2 3 4 3" xfId="17294"/>
    <cellStyle name="Normal 19 2 3 2 3 5" xfId="17295"/>
    <cellStyle name="Normal 19 2 3 2 3 5 2" xfId="17296"/>
    <cellStyle name="Normal 19 2 3 2 3 6" xfId="17297"/>
    <cellStyle name="Normal 19 2 3 2 4" xfId="17298"/>
    <cellStyle name="Normal 19 2 3 2 4 2" xfId="17299"/>
    <cellStyle name="Normal 19 2 3 2 4 2 2" xfId="17300"/>
    <cellStyle name="Normal 19 2 3 2 4 2 2 2" xfId="17301"/>
    <cellStyle name="Normal 19 2 3 2 4 2 3" xfId="17302"/>
    <cellStyle name="Normal 19 2 3 2 4 3" xfId="17303"/>
    <cellStyle name="Normal 19 2 3 2 4 3 2" xfId="17304"/>
    <cellStyle name="Normal 19 2 3 2 4 4" xfId="17305"/>
    <cellStyle name="Normal 19 2 3 2 5" xfId="17306"/>
    <cellStyle name="Normal 19 2 3 2 5 2" xfId="17307"/>
    <cellStyle name="Normal 19 2 3 2 5 2 2" xfId="17308"/>
    <cellStyle name="Normal 19 2 3 2 5 2 2 2" xfId="17309"/>
    <cellStyle name="Normal 19 2 3 2 5 2 3" xfId="17310"/>
    <cellStyle name="Normal 19 2 3 2 5 3" xfId="17311"/>
    <cellStyle name="Normal 19 2 3 2 5 3 2" xfId="17312"/>
    <cellStyle name="Normal 19 2 3 2 5 4" xfId="17313"/>
    <cellStyle name="Normal 19 2 3 2 6" xfId="17314"/>
    <cellStyle name="Normal 19 2 3 2 6 2" xfId="17315"/>
    <cellStyle name="Normal 19 2 3 2 6 2 2" xfId="17316"/>
    <cellStyle name="Normal 19 2 3 2 6 2 2 2" xfId="17317"/>
    <cellStyle name="Normal 19 2 3 2 6 2 3" xfId="17318"/>
    <cellStyle name="Normal 19 2 3 2 6 3" xfId="17319"/>
    <cellStyle name="Normal 19 2 3 2 6 3 2" xfId="17320"/>
    <cellStyle name="Normal 19 2 3 2 6 4" xfId="17321"/>
    <cellStyle name="Normal 19 2 3 2 7" xfId="17322"/>
    <cellStyle name="Normal 19 2 3 2 7 2" xfId="17323"/>
    <cellStyle name="Normal 19 2 3 2 7 2 2" xfId="17324"/>
    <cellStyle name="Normal 19 2 3 2 7 3" xfId="17325"/>
    <cellStyle name="Normal 19 2 3 2 8" xfId="17326"/>
    <cellStyle name="Normal 19 2 3 2 8 2" xfId="17327"/>
    <cellStyle name="Normal 19 2 3 2 9" xfId="17328"/>
    <cellStyle name="Normal 19 2 3 3" xfId="17329"/>
    <cellStyle name="Normal 19 2 3 3 2" xfId="17330"/>
    <cellStyle name="Normal 19 2 3 3 2 2" xfId="17331"/>
    <cellStyle name="Normal 19 2 3 3 2 2 2" xfId="17332"/>
    <cellStyle name="Normal 19 2 3 3 2 2 2 2" xfId="17333"/>
    <cellStyle name="Normal 19 2 3 3 2 2 2 2 2" xfId="17334"/>
    <cellStyle name="Normal 19 2 3 3 2 2 2 3" xfId="17335"/>
    <cellStyle name="Normal 19 2 3 3 2 2 3" xfId="17336"/>
    <cellStyle name="Normal 19 2 3 3 2 2 3 2" xfId="17337"/>
    <cellStyle name="Normal 19 2 3 3 2 2 4" xfId="17338"/>
    <cellStyle name="Normal 19 2 3 3 2 3" xfId="17339"/>
    <cellStyle name="Normal 19 2 3 3 2 3 2" xfId="17340"/>
    <cellStyle name="Normal 19 2 3 3 2 3 2 2" xfId="17341"/>
    <cellStyle name="Normal 19 2 3 3 2 3 2 2 2" xfId="17342"/>
    <cellStyle name="Normal 19 2 3 3 2 3 2 3" xfId="17343"/>
    <cellStyle name="Normal 19 2 3 3 2 3 3" xfId="17344"/>
    <cellStyle name="Normal 19 2 3 3 2 3 3 2" xfId="17345"/>
    <cellStyle name="Normal 19 2 3 3 2 3 4" xfId="17346"/>
    <cellStyle name="Normal 19 2 3 3 2 4" xfId="17347"/>
    <cellStyle name="Normal 19 2 3 3 2 4 2" xfId="17348"/>
    <cellStyle name="Normal 19 2 3 3 2 4 2 2" xfId="17349"/>
    <cellStyle name="Normal 19 2 3 3 2 4 3" xfId="17350"/>
    <cellStyle name="Normal 19 2 3 3 2 5" xfId="17351"/>
    <cellStyle name="Normal 19 2 3 3 2 5 2" xfId="17352"/>
    <cellStyle name="Normal 19 2 3 3 2 6" xfId="17353"/>
    <cellStyle name="Normal 19 2 3 3 3" xfId="17354"/>
    <cellStyle name="Normal 19 2 3 3 3 2" xfId="17355"/>
    <cellStyle name="Normal 19 2 3 3 3 2 2" xfId="17356"/>
    <cellStyle name="Normal 19 2 3 3 3 2 2 2" xfId="17357"/>
    <cellStyle name="Normal 19 2 3 3 3 2 3" xfId="17358"/>
    <cellStyle name="Normal 19 2 3 3 3 3" xfId="17359"/>
    <cellStyle name="Normal 19 2 3 3 3 3 2" xfId="17360"/>
    <cellStyle name="Normal 19 2 3 3 3 4" xfId="17361"/>
    <cellStyle name="Normal 19 2 3 3 4" xfId="17362"/>
    <cellStyle name="Normal 19 2 3 3 4 2" xfId="17363"/>
    <cellStyle name="Normal 19 2 3 3 4 2 2" xfId="17364"/>
    <cellStyle name="Normal 19 2 3 3 4 2 2 2" xfId="17365"/>
    <cellStyle name="Normal 19 2 3 3 4 2 3" xfId="17366"/>
    <cellStyle name="Normal 19 2 3 3 4 3" xfId="17367"/>
    <cellStyle name="Normal 19 2 3 3 4 3 2" xfId="17368"/>
    <cellStyle name="Normal 19 2 3 3 4 4" xfId="17369"/>
    <cellStyle name="Normal 19 2 3 3 5" xfId="17370"/>
    <cellStyle name="Normal 19 2 3 3 5 2" xfId="17371"/>
    <cellStyle name="Normal 19 2 3 3 5 2 2" xfId="17372"/>
    <cellStyle name="Normal 19 2 3 3 5 3" xfId="17373"/>
    <cellStyle name="Normal 19 2 3 3 6" xfId="17374"/>
    <cellStyle name="Normal 19 2 3 3 6 2" xfId="17375"/>
    <cellStyle name="Normal 19 2 3 3 7" xfId="17376"/>
    <cellStyle name="Normal 19 2 3 4" xfId="17377"/>
    <cellStyle name="Normal 19 2 3 4 2" xfId="17378"/>
    <cellStyle name="Normal 19 2 3 4 2 2" xfId="17379"/>
    <cellStyle name="Normal 19 2 3 4 2 2 2" xfId="17380"/>
    <cellStyle name="Normal 19 2 3 4 2 2 2 2" xfId="17381"/>
    <cellStyle name="Normal 19 2 3 4 2 2 3" xfId="17382"/>
    <cellStyle name="Normal 19 2 3 4 2 3" xfId="17383"/>
    <cellStyle name="Normal 19 2 3 4 2 3 2" xfId="17384"/>
    <cellStyle name="Normal 19 2 3 4 2 4" xfId="17385"/>
    <cellStyle name="Normal 19 2 3 4 3" xfId="17386"/>
    <cellStyle name="Normal 19 2 3 4 3 2" xfId="17387"/>
    <cellStyle name="Normal 19 2 3 4 3 2 2" xfId="17388"/>
    <cellStyle name="Normal 19 2 3 4 3 2 2 2" xfId="17389"/>
    <cellStyle name="Normal 19 2 3 4 3 2 3" xfId="17390"/>
    <cellStyle name="Normal 19 2 3 4 3 3" xfId="17391"/>
    <cellStyle name="Normal 19 2 3 4 3 3 2" xfId="17392"/>
    <cellStyle name="Normal 19 2 3 4 3 4" xfId="17393"/>
    <cellStyle name="Normal 19 2 3 4 4" xfId="17394"/>
    <cellStyle name="Normal 19 2 3 4 4 2" xfId="17395"/>
    <cellStyle name="Normal 19 2 3 4 4 2 2" xfId="17396"/>
    <cellStyle name="Normal 19 2 3 4 4 3" xfId="17397"/>
    <cellStyle name="Normal 19 2 3 4 5" xfId="17398"/>
    <cellStyle name="Normal 19 2 3 4 5 2" xfId="17399"/>
    <cellStyle name="Normal 19 2 3 4 6" xfId="17400"/>
    <cellStyle name="Normal 19 2 3 5" xfId="17401"/>
    <cellStyle name="Normal 19 2 3 5 2" xfId="17402"/>
    <cellStyle name="Normal 19 2 3 5 2 2" xfId="17403"/>
    <cellStyle name="Normal 19 2 3 5 2 2 2" xfId="17404"/>
    <cellStyle name="Normal 19 2 3 5 2 3" xfId="17405"/>
    <cellStyle name="Normal 19 2 3 5 3" xfId="17406"/>
    <cellStyle name="Normal 19 2 3 5 3 2" xfId="17407"/>
    <cellStyle name="Normal 19 2 3 5 4" xfId="17408"/>
    <cellStyle name="Normal 19 2 3 6" xfId="17409"/>
    <cellStyle name="Normal 19 2 3 6 2" xfId="17410"/>
    <cellStyle name="Normal 19 2 3 6 2 2" xfId="17411"/>
    <cellStyle name="Normal 19 2 3 6 2 2 2" xfId="17412"/>
    <cellStyle name="Normal 19 2 3 6 2 3" xfId="17413"/>
    <cellStyle name="Normal 19 2 3 6 3" xfId="17414"/>
    <cellStyle name="Normal 19 2 3 6 3 2" xfId="17415"/>
    <cellStyle name="Normal 19 2 3 6 4" xfId="17416"/>
    <cellStyle name="Normal 19 2 3 7" xfId="17417"/>
    <cellStyle name="Normal 19 2 3 7 2" xfId="17418"/>
    <cellStyle name="Normal 19 2 3 7 2 2" xfId="17419"/>
    <cellStyle name="Normal 19 2 3 7 2 2 2" xfId="17420"/>
    <cellStyle name="Normal 19 2 3 7 2 3" xfId="17421"/>
    <cellStyle name="Normal 19 2 3 7 3" xfId="17422"/>
    <cellStyle name="Normal 19 2 3 7 3 2" xfId="17423"/>
    <cellStyle name="Normal 19 2 3 7 4" xfId="17424"/>
    <cellStyle name="Normal 19 2 3 8" xfId="17425"/>
    <cellStyle name="Normal 19 2 3 8 2" xfId="17426"/>
    <cellStyle name="Normal 19 2 3 8 2 2" xfId="17427"/>
    <cellStyle name="Normal 19 2 3 8 3" xfId="17428"/>
    <cellStyle name="Normal 19 2 3 9" xfId="17429"/>
    <cellStyle name="Normal 19 2 3 9 2" xfId="17430"/>
    <cellStyle name="Normal 19 2 4" xfId="17431"/>
    <cellStyle name="Normal 19 2 4 10" xfId="17432"/>
    <cellStyle name="Normal 19 2 4 2" xfId="17433"/>
    <cellStyle name="Normal 19 2 4 2 2" xfId="17434"/>
    <cellStyle name="Normal 19 2 4 2 2 2" xfId="17435"/>
    <cellStyle name="Normal 19 2 4 2 2 2 2" xfId="17436"/>
    <cellStyle name="Normal 19 2 4 2 2 2 2 2" xfId="17437"/>
    <cellStyle name="Normal 19 2 4 2 2 2 2 2 2" xfId="17438"/>
    <cellStyle name="Normal 19 2 4 2 2 2 2 2 2 2" xfId="17439"/>
    <cellStyle name="Normal 19 2 4 2 2 2 2 2 3" xfId="17440"/>
    <cellStyle name="Normal 19 2 4 2 2 2 2 3" xfId="17441"/>
    <cellStyle name="Normal 19 2 4 2 2 2 2 3 2" xfId="17442"/>
    <cellStyle name="Normal 19 2 4 2 2 2 2 4" xfId="17443"/>
    <cellStyle name="Normal 19 2 4 2 2 2 3" xfId="17444"/>
    <cellStyle name="Normal 19 2 4 2 2 2 3 2" xfId="17445"/>
    <cellStyle name="Normal 19 2 4 2 2 2 3 2 2" xfId="17446"/>
    <cellStyle name="Normal 19 2 4 2 2 2 3 2 2 2" xfId="17447"/>
    <cellStyle name="Normal 19 2 4 2 2 2 3 2 3" xfId="17448"/>
    <cellStyle name="Normal 19 2 4 2 2 2 3 3" xfId="17449"/>
    <cellStyle name="Normal 19 2 4 2 2 2 3 3 2" xfId="17450"/>
    <cellStyle name="Normal 19 2 4 2 2 2 3 4" xfId="17451"/>
    <cellStyle name="Normal 19 2 4 2 2 2 4" xfId="17452"/>
    <cellStyle name="Normal 19 2 4 2 2 2 4 2" xfId="17453"/>
    <cellStyle name="Normal 19 2 4 2 2 2 4 2 2" xfId="17454"/>
    <cellStyle name="Normal 19 2 4 2 2 2 4 3" xfId="17455"/>
    <cellStyle name="Normal 19 2 4 2 2 2 5" xfId="17456"/>
    <cellStyle name="Normal 19 2 4 2 2 2 5 2" xfId="17457"/>
    <cellStyle name="Normal 19 2 4 2 2 2 6" xfId="17458"/>
    <cellStyle name="Normal 19 2 4 2 2 3" xfId="17459"/>
    <cellStyle name="Normal 19 2 4 2 2 3 2" xfId="17460"/>
    <cellStyle name="Normal 19 2 4 2 2 3 2 2" xfId="17461"/>
    <cellStyle name="Normal 19 2 4 2 2 3 2 2 2" xfId="17462"/>
    <cellStyle name="Normal 19 2 4 2 2 3 2 3" xfId="17463"/>
    <cellStyle name="Normal 19 2 4 2 2 3 3" xfId="17464"/>
    <cellStyle name="Normal 19 2 4 2 2 3 3 2" xfId="17465"/>
    <cellStyle name="Normal 19 2 4 2 2 3 4" xfId="17466"/>
    <cellStyle name="Normal 19 2 4 2 2 4" xfId="17467"/>
    <cellStyle name="Normal 19 2 4 2 2 4 2" xfId="17468"/>
    <cellStyle name="Normal 19 2 4 2 2 4 2 2" xfId="17469"/>
    <cellStyle name="Normal 19 2 4 2 2 4 2 2 2" xfId="17470"/>
    <cellStyle name="Normal 19 2 4 2 2 4 2 3" xfId="17471"/>
    <cellStyle name="Normal 19 2 4 2 2 4 3" xfId="17472"/>
    <cellStyle name="Normal 19 2 4 2 2 4 3 2" xfId="17473"/>
    <cellStyle name="Normal 19 2 4 2 2 4 4" xfId="17474"/>
    <cellStyle name="Normal 19 2 4 2 2 5" xfId="17475"/>
    <cellStyle name="Normal 19 2 4 2 2 5 2" xfId="17476"/>
    <cellStyle name="Normal 19 2 4 2 2 5 2 2" xfId="17477"/>
    <cellStyle name="Normal 19 2 4 2 2 5 3" xfId="17478"/>
    <cellStyle name="Normal 19 2 4 2 2 6" xfId="17479"/>
    <cellStyle name="Normal 19 2 4 2 2 6 2" xfId="17480"/>
    <cellStyle name="Normal 19 2 4 2 2 7" xfId="17481"/>
    <cellStyle name="Normal 19 2 4 2 3" xfId="17482"/>
    <cellStyle name="Normal 19 2 4 2 3 2" xfId="17483"/>
    <cellStyle name="Normal 19 2 4 2 3 2 2" xfId="17484"/>
    <cellStyle name="Normal 19 2 4 2 3 2 2 2" xfId="17485"/>
    <cellStyle name="Normal 19 2 4 2 3 2 2 2 2" xfId="17486"/>
    <cellStyle name="Normal 19 2 4 2 3 2 2 3" xfId="17487"/>
    <cellStyle name="Normal 19 2 4 2 3 2 3" xfId="17488"/>
    <cellStyle name="Normal 19 2 4 2 3 2 3 2" xfId="17489"/>
    <cellStyle name="Normal 19 2 4 2 3 2 4" xfId="17490"/>
    <cellStyle name="Normal 19 2 4 2 3 3" xfId="17491"/>
    <cellStyle name="Normal 19 2 4 2 3 3 2" xfId="17492"/>
    <cellStyle name="Normal 19 2 4 2 3 3 2 2" xfId="17493"/>
    <cellStyle name="Normal 19 2 4 2 3 3 2 2 2" xfId="17494"/>
    <cellStyle name="Normal 19 2 4 2 3 3 2 3" xfId="17495"/>
    <cellStyle name="Normal 19 2 4 2 3 3 3" xfId="17496"/>
    <cellStyle name="Normal 19 2 4 2 3 3 3 2" xfId="17497"/>
    <cellStyle name="Normal 19 2 4 2 3 3 4" xfId="17498"/>
    <cellStyle name="Normal 19 2 4 2 3 4" xfId="17499"/>
    <cellStyle name="Normal 19 2 4 2 3 4 2" xfId="17500"/>
    <cellStyle name="Normal 19 2 4 2 3 4 2 2" xfId="17501"/>
    <cellStyle name="Normal 19 2 4 2 3 4 3" xfId="17502"/>
    <cellStyle name="Normal 19 2 4 2 3 5" xfId="17503"/>
    <cellStyle name="Normal 19 2 4 2 3 5 2" xfId="17504"/>
    <cellStyle name="Normal 19 2 4 2 3 6" xfId="17505"/>
    <cellStyle name="Normal 19 2 4 2 4" xfId="17506"/>
    <cellStyle name="Normal 19 2 4 2 4 2" xfId="17507"/>
    <cellStyle name="Normal 19 2 4 2 4 2 2" xfId="17508"/>
    <cellStyle name="Normal 19 2 4 2 4 2 2 2" xfId="17509"/>
    <cellStyle name="Normal 19 2 4 2 4 2 3" xfId="17510"/>
    <cellStyle name="Normal 19 2 4 2 4 3" xfId="17511"/>
    <cellStyle name="Normal 19 2 4 2 4 3 2" xfId="17512"/>
    <cellStyle name="Normal 19 2 4 2 4 4" xfId="17513"/>
    <cellStyle name="Normal 19 2 4 2 5" xfId="17514"/>
    <cellStyle name="Normal 19 2 4 2 5 2" xfId="17515"/>
    <cellStyle name="Normal 19 2 4 2 5 2 2" xfId="17516"/>
    <cellStyle name="Normal 19 2 4 2 5 2 2 2" xfId="17517"/>
    <cellStyle name="Normal 19 2 4 2 5 2 3" xfId="17518"/>
    <cellStyle name="Normal 19 2 4 2 5 3" xfId="17519"/>
    <cellStyle name="Normal 19 2 4 2 5 3 2" xfId="17520"/>
    <cellStyle name="Normal 19 2 4 2 5 4" xfId="17521"/>
    <cellStyle name="Normal 19 2 4 2 6" xfId="17522"/>
    <cellStyle name="Normal 19 2 4 2 6 2" xfId="17523"/>
    <cellStyle name="Normal 19 2 4 2 6 2 2" xfId="17524"/>
    <cellStyle name="Normal 19 2 4 2 6 2 2 2" xfId="17525"/>
    <cellStyle name="Normal 19 2 4 2 6 2 3" xfId="17526"/>
    <cellStyle name="Normal 19 2 4 2 6 3" xfId="17527"/>
    <cellStyle name="Normal 19 2 4 2 6 3 2" xfId="17528"/>
    <cellStyle name="Normal 19 2 4 2 6 4" xfId="17529"/>
    <cellStyle name="Normal 19 2 4 2 7" xfId="17530"/>
    <cellStyle name="Normal 19 2 4 2 7 2" xfId="17531"/>
    <cellStyle name="Normal 19 2 4 2 7 2 2" xfId="17532"/>
    <cellStyle name="Normal 19 2 4 2 7 3" xfId="17533"/>
    <cellStyle name="Normal 19 2 4 2 8" xfId="17534"/>
    <cellStyle name="Normal 19 2 4 2 8 2" xfId="17535"/>
    <cellStyle name="Normal 19 2 4 2 9" xfId="17536"/>
    <cellStyle name="Normal 19 2 4 3" xfId="17537"/>
    <cellStyle name="Normal 19 2 4 3 2" xfId="17538"/>
    <cellStyle name="Normal 19 2 4 3 2 2" xfId="17539"/>
    <cellStyle name="Normal 19 2 4 3 2 2 2" xfId="17540"/>
    <cellStyle name="Normal 19 2 4 3 2 2 2 2" xfId="17541"/>
    <cellStyle name="Normal 19 2 4 3 2 2 2 2 2" xfId="17542"/>
    <cellStyle name="Normal 19 2 4 3 2 2 2 3" xfId="17543"/>
    <cellStyle name="Normal 19 2 4 3 2 2 3" xfId="17544"/>
    <cellStyle name="Normal 19 2 4 3 2 2 3 2" xfId="17545"/>
    <cellStyle name="Normal 19 2 4 3 2 2 4" xfId="17546"/>
    <cellStyle name="Normal 19 2 4 3 2 3" xfId="17547"/>
    <cellStyle name="Normal 19 2 4 3 2 3 2" xfId="17548"/>
    <cellStyle name="Normal 19 2 4 3 2 3 2 2" xfId="17549"/>
    <cellStyle name="Normal 19 2 4 3 2 3 2 2 2" xfId="17550"/>
    <cellStyle name="Normal 19 2 4 3 2 3 2 3" xfId="17551"/>
    <cellStyle name="Normal 19 2 4 3 2 3 3" xfId="17552"/>
    <cellStyle name="Normal 19 2 4 3 2 3 3 2" xfId="17553"/>
    <cellStyle name="Normal 19 2 4 3 2 3 4" xfId="17554"/>
    <cellStyle name="Normal 19 2 4 3 2 4" xfId="17555"/>
    <cellStyle name="Normal 19 2 4 3 2 4 2" xfId="17556"/>
    <cellStyle name="Normal 19 2 4 3 2 4 2 2" xfId="17557"/>
    <cellStyle name="Normal 19 2 4 3 2 4 3" xfId="17558"/>
    <cellStyle name="Normal 19 2 4 3 2 5" xfId="17559"/>
    <cellStyle name="Normal 19 2 4 3 2 5 2" xfId="17560"/>
    <cellStyle name="Normal 19 2 4 3 2 6" xfId="17561"/>
    <cellStyle name="Normal 19 2 4 3 3" xfId="17562"/>
    <cellStyle name="Normal 19 2 4 3 3 2" xfId="17563"/>
    <cellStyle name="Normal 19 2 4 3 3 2 2" xfId="17564"/>
    <cellStyle name="Normal 19 2 4 3 3 2 2 2" xfId="17565"/>
    <cellStyle name="Normal 19 2 4 3 3 2 3" xfId="17566"/>
    <cellStyle name="Normal 19 2 4 3 3 3" xfId="17567"/>
    <cellStyle name="Normal 19 2 4 3 3 3 2" xfId="17568"/>
    <cellStyle name="Normal 19 2 4 3 3 4" xfId="17569"/>
    <cellStyle name="Normal 19 2 4 3 4" xfId="17570"/>
    <cellStyle name="Normal 19 2 4 3 4 2" xfId="17571"/>
    <cellStyle name="Normal 19 2 4 3 4 2 2" xfId="17572"/>
    <cellStyle name="Normal 19 2 4 3 4 2 2 2" xfId="17573"/>
    <cellStyle name="Normal 19 2 4 3 4 2 3" xfId="17574"/>
    <cellStyle name="Normal 19 2 4 3 4 3" xfId="17575"/>
    <cellStyle name="Normal 19 2 4 3 4 3 2" xfId="17576"/>
    <cellStyle name="Normal 19 2 4 3 4 4" xfId="17577"/>
    <cellStyle name="Normal 19 2 4 3 5" xfId="17578"/>
    <cellStyle name="Normal 19 2 4 3 5 2" xfId="17579"/>
    <cellStyle name="Normal 19 2 4 3 5 2 2" xfId="17580"/>
    <cellStyle name="Normal 19 2 4 3 5 3" xfId="17581"/>
    <cellStyle name="Normal 19 2 4 3 6" xfId="17582"/>
    <cellStyle name="Normal 19 2 4 3 6 2" xfId="17583"/>
    <cellStyle name="Normal 19 2 4 3 7" xfId="17584"/>
    <cellStyle name="Normal 19 2 4 4" xfId="17585"/>
    <cellStyle name="Normal 19 2 4 4 2" xfId="17586"/>
    <cellStyle name="Normal 19 2 4 4 2 2" xfId="17587"/>
    <cellStyle name="Normal 19 2 4 4 2 2 2" xfId="17588"/>
    <cellStyle name="Normal 19 2 4 4 2 2 2 2" xfId="17589"/>
    <cellStyle name="Normal 19 2 4 4 2 2 3" xfId="17590"/>
    <cellStyle name="Normal 19 2 4 4 2 3" xfId="17591"/>
    <cellStyle name="Normal 19 2 4 4 2 3 2" xfId="17592"/>
    <cellStyle name="Normal 19 2 4 4 2 4" xfId="17593"/>
    <cellStyle name="Normal 19 2 4 4 3" xfId="17594"/>
    <cellStyle name="Normal 19 2 4 4 3 2" xfId="17595"/>
    <cellStyle name="Normal 19 2 4 4 3 2 2" xfId="17596"/>
    <cellStyle name="Normal 19 2 4 4 3 2 2 2" xfId="17597"/>
    <cellStyle name="Normal 19 2 4 4 3 2 3" xfId="17598"/>
    <cellStyle name="Normal 19 2 4 4 3 3" xfId="17599"/>
    <cellStyle name="Normal 19 2 4 4 3 3 2" xfId="17600"/>
    <cellStyle name="Normal 19 2 4 4 3 4" xfId="17601"/>
    <cellStyle name="Normal 19 2 4 4 4" xfId="17602"/>
    <cellStyle name="Normal 19 2 4 4 4 2" xfId="17603"/>
    <cellStyle name="Normal 19 2 4 4 4 2 2" xfId="17604"/>
    <cellStyle name="Normal 19 2 4 4 4 3" xfId="17605"/>
    <cellStyle name="Normal 19 2 4 4 5" xfId="17606"/>
    <cellStyle name="Normal 19 2 4 4 5 2" xfId="17607"/>
    <cellStyle name="Normal 19 2 4 4 6" xfId="17608"/>
    <cellStyle name="Normal 19 2 4 5" xfId="17609"/>
    <cellStyle name="Normal 19 2 4 5 2" xfId="17610"/>
    <cellStyle name="Normal 19 2 4 5 2 2" xfId="17611"/>
    <cellStyle name="Normal 19 2 4 5 2 2 2" xfId="17612"/>
    <cellStyle name="Normal 19 2 4 5 2 3" xfId="17613"/>
    <cellStyle name="Normal 19 2 4 5 3" xfId="17614"/>
    <cellStyle name="Normal 19 2 4 5 3 2" xfId="17615"/>
    <cellStyle name="Normal 19 2 4 5 4" xfId="17616"/>
    <cellStyle name="Normal 19 2 4 6" xfId="17617"/>
    <cellStyle name="Normal 19 2 4 6 2" xfId="17618"/>
    <cellStyle name="Normal 19 2 4 6 2 2" xfId="17619"/>
    <cellStyle name="Normal 19 2 4 6 2 2 2" xfId="17620"/>
    <cellStyle name="Normal 19 2 4 6 2 3" xfId="17621"/>
    <cellStyle name="Normal 19 2 4 6 3" xfId="17622"/>
    <cellStyle name="Normal 19 2 4 6 3 2" xfId="17623"/>
    <cellStyle name="Normal 19 2 4 6 4" xfId="17624"/>
    <cellStyle name="Normal 19 2 4 7" xfId="17625"/>
    <cellStyle name="Normal 19 2 4 7 2" xfId="17626"/>
    <cellStyle name="Normal 19 2 4 7 2 2" xfId="17627"/>
    <cellStyle name="Normal 19 2 4 7 2 2 2" xfId="17628"/>
    <cellStyle name="Normal 19 2 4 7 2 3" xfId="17629"/>
    <cellStyle name="Normal 19 2 4 7 3" xfId="17630"/>
    <cellStyle name="Normal 19 2 4 7 3 2" xfId="17631"/>
    <cellStyle name="Normal 19 2 4 7 4" xfId="17632"/>
    <cellStyle name="Normal 19 2 4 8" xfId="17633"/>
    <cellStyle name="Normal 19 2 4 8 2" xfId="17634"/>
    <cellStyle name="Normal 19 2 4 8 2 2" xfId="17635"/>
    <cellStyle name="Normal 19 2 4 8 3" xfId="17636"/>
    <cellStyle name="Normal 19 2 4 9" xfId="17637"/>
    <cellStyle name="Normal 19 2 4 9 2" xfId="17638"/>
    <cellStyle name="Normal 19 2 5" xfId="17639"/>
    <cellStyle name="Normal 19 2 5 2" xfId="17640"/>
    <cellStyle name="Normal 19 2 5 2 2" xfId="17641"/>
    <cellStyle name="Normal 19 2 5 2 2 2" xfId="17642"/>
    <cellStyle name="Normal 19 2 5 2 2 2 2" xfId="17643"/>
    <cellStyle name="Normal 19 2 5 2 2 2 2 2" xfId="17644"/>
    <cellStyle name="Normal 19 2 5 2 2 2 2 2 2" xfId="17645"/>
    <cellStyle name="Normal 19 2 5 2 2 2 2 3" xfId="17646"/>
    <cellStyle name="Normal 19 2 5 2 2 2 3" xfId="17647"/>
    <cellStyle name="Normal 19 2 5 2 2 2 3 2" xfId="17648"/>
    <cellStyle name="Normal 19 2 5 2 2 2 4" xfId="17649"/>
    <cellStyle name="Normal 19 2 5 2 2 3" xfId="17650"/>
    <cellStyle name="Normal 19 2 5 2 2 3 2" xfId="17651"/>
    <cellStyle name="Normal 19 2 5 2 2 3 2 2" xfId="17652"/>
    <cellStyle name="Normal 19 2 5 2 2 3 2 2 2" xfId="17653"/>
    <cellStyle name="Normal 19 2 5 2 2 3 2 3" xfId="17654"/>
    <cellStyle name="Normal 19 2 5 2 2 3 3" xfId="17655"/>
    <cellStyle name="Normal 19 2 5 2 2 3 3 2" xfId="17656"/>
    <cellStyle name="Normal 19 2 5 2 2 3 4" xfId="17657"/>
    <cellStyle name="Normal 19 2 5 2 2 4" xfId="17658"/>
    <cellStyle name="Normal 19 2 5 2 2 4 2" xfId="17659"/>
    <cellStyle name="Normal 19 2 5 2 2 4 2 2" xfId="17660"/>
    <cellStyle name="Normal 19 2 5 2 2 4 3" xfId="17661"/>
    <cellStyle name="Normal 19 2 5 2 2 5" xfId="17662"/>
    <cellStyle name="Normal 19 2 5 2 2 5 2" xfId="17663"/>
    <cellStyle name="Normal 19 2 5 2 2 6" xfId="17664"/>
    <cellStyle name="Normal 19 2 5 2 3" xfId="17665"/>
    <cellStyle name="Normal 19 2 5 2 3 2" xfId="17666"/>
    <cellStyle name="Normal 19 2 5 2 3 2 2" xfId="17667"/>
    <cellStyle name="Normal 19 2 5 2 3 2 2 2" xfId="17668"/>
    <cellStyle name="Normal 19 2 5 2 3 2 3" xfId="17669"/>
    <cellStyle name="Normal 19 2 5 2 3 3" xfId="17670"/>
    <cellStyle name="Normal 19 2 5 2 3 3 2" xfId="17671"/>
    <cellStyle name="Normal 19 2 5 2 3 4" xfId="17672"/>
    <cellStyle name="Normal 19 2 5 2 4" xfId="17673"/>
    <cellStyle name="Normal 19 2 5 2 4 2" xfId="17674"/>
    <cellStyle name="Normal 19 2 5 2 4 2 2" xfId="17675"/>
    <cellStyle name="Normal 19 2 5 2 4 2 2 2" xfId="17676"/>
    <cellStyle name="Normal 19 2 5 2 4 2 3" xfId="17677"/>
    <cellStyle name="Normal 19 2 5 2 4 3" xfId="17678"/>
    <cellStyle name="Normal 19 2 5 2 4 3 2" xfId="17679"/>
    <cellStyle name="Normal 19 2 5 2 4 4" xfId="17680"/>
    <cellStyle name="Normal 19 2 5 2 5" xfId="17681"/>
    <cellStyle name="Normal 19 2 5 2 5 2" xfId="17682"/>
    <cellStyle name="Normal 19 2 5 2 5 2 2" xfId="17683"/>
    <cellStyle name="Normal 19 2 5 2 5 3" xfId="17684"/>
    <cellStyle name="Normal 19 2 5 2 6" xfId="17685"/>
    <cellStyle name="Normal 19 2 5 2 6 2" xfId="17686"/>
    <cellStyle name="Normal 19 2 5 2 7" xfId="17687"/>
    <cellStyle name="Normal 19 2 5 3" xfId="17688"/>
    <cellStyle name="Normal 19 2 5 3 2" xfId="17689"/>
    <cellStyle name="Normal 19 2 5 3 2 2" xfId="17690"/>
    <cellStyle name="Normal 19 2 5 3 2 2 2" xfId="17691"/>
    <cellStyle name="Normal 19 2 5 3 2 2 2 2" xfId="17692"/>
    <cellStyle name="Normal 19 2 5 3 2 2 3" xfId="17693"/>
    <cellStyle name="Normal 19 2 5 3 2 3" xfId="17694"/>
    <cellStyle name="Normal 19 2 5 3 2 3 2" xfId="17695"/>
    <cellStyle name="Normal 19 2 5 3 2 4" xfId="17696"/>
    <cellStyle name="Normal 19 2 5 3 3" xfId="17697"/>
    <cellStyle name="Normal 19 2 5 3 3 2" xfId="17698"/>
    <cellStyle name="Normal 19 2 5 3 3 2 2" xfId="17699"/>
    <cellStyle name="Normal 19 2 5 3 3 2 2 2" xfId="17700"/>
    <cellStyle name="Normal 19 2 5 3 3 2 3" xfId="17701"/>
    <cellStyle name="Normal 19 2 5 3 3 3" xfId="17702"/>
    <cellStyle name="Normal 19 2 5 3 3 3 2" xfId="17703"/>
    <cellStyle name="Normal 19 2 5 3 3 4" xfId="17704"/>
    <cellStyle name="Normal 19 2 5 3 4" xfId="17705"/>
    <cellStyle name="Normal 19 2 5 3 4 2" xfId="17706"/>
    <cellStyle name="Normal 19 2 5 3 4 2 2" xfId="17707"/>
    <cellStyle name="Normal 19 2 5 3 4 3" xfId="17708"/>
    <cellStyle name="Normal 19 2 5 3 5" xfId="17709"/>
    <cellStyle name="Normal 19 2 5 3 5 2" xfId="17710"/>
    <cellStyle name="Normal 19 2 5 3 6" xfId="17711"/>
    <cellStyle name="Normal 19 2 5 4" xfId="17712"/>
    <cellStyle name="Normal 19 2 5 4 2" xfId="17713"/>
    <cellStyle name="Normal 19 2 5 4 2 2" xfId="17714"/>
    <cellStyle name="Normal 19 2 5 4 2 2 2" xfId="17715"/>
    <cellStyle name="Normal 19 2 5 4 2 3" xfId="17716"/>
    <cellStyle name="Normal 19 2 5 4 3" xfId="17717"/>
    <cellStyle name="Normal 19 2 5 4 3 2" xfId="17718"/>
    <cellStyle name="Normal 19 2 5 4 4" xfId="17719"/>
    <cellStyle name="Normal 19 2 5 5" xfId="17720"/>
    <cellStyle name="Normal 19 2 5 5 2" xfId="17721"/>
    <cellStyle name="Normal 19 2 5 5 2 2" xfId="17722"/>
    <cellStyle name="Normal 19 2 5 5 2 2 2" xfId="17723"/>
    <cellStyle name="Normal 19 2 5 5 2 3" xfId="17724"/>
    <cellStyle name="Normal 19 2 5 5 3" xfId="17725"/>
    <cellStyle name="Normal 19 2 5 5 3 2" xfId="17726"/>
    <cellStyle name="Normal 19 2 5 5 4" xfId="17727"/>
    <cellStyle name="Normal 19 2 5 6" xfId="17728"/>
    <cellStyle name="Normal 19 2 5 6 2" xfId="17729"/>
    <cellStyle name="Normal 19 2 5 6 2 2" xfId="17730"/>
    <cellStyle name="Normal 19 2 5 6 2 2 2" xfId="17731"/>
    <cellStyle name="Normal 19 2 5 6 2 3" xfId="17732"/>
    <cellStyle name="Normal 19 2 5 6 3" xfId="17733"/>
    <cellStyle name="Normal 19 2 5 6 3 2" xfId="17734"/>
    <cellStyle name="Normal 19 2 5 6 4" xfId="17735"/>
    <cellStyle name="Normal 19 2 5 7" xfId="17736"/>
    <cellStyle name="Normal 19 2 5 7 2" xfId="17737"/>
    <cellStyle name="Normal 19 2 5 7 2 2" xfId="17738"/>
    <cellStyle name="Normal 19 2 5 7 3" xfId="17739"/>
    <cellStyle name="Normal 19 2 5 8" xfId="17740"/>
    <cellStyle name="Normal 19 2 5 8 2" xfId="17741"/>
    <cellStyle name="Normal 19 2 5 9" xfId="17742"/>
    <cellStyle name="Normal 19 2 6" xfId="17743"/>
    <cellStyle name="Normal 19 2 6 2" xfId="17744"/>
    <cellStyle name="Normal 19 2 6 2 2" xfId="17745"/>
    <cellStyle name="Normal 19 2 6 2 2 2" xfId="17746"/>
    <cellStyle name="Normal 19 2 6 2 2 2 2" xfId="17747"/>
    <cellStyle name="Normal 19 2 6 2 2 2 2 2" xfId="17748"/>
    <cellStyle name="Normal 19 2 6 2 2 2 3" xfId="17749"/>
    <cellStyle name="Normal 19 2 6 2 2 3" xfId="17750"/>
    <cellStyle name="Normal 19 2 6 2 2 3 2" xfId="17751"/>
    <cellStyle name="Normal 19 2 6 2 2 4" xfId="17752"/>
    <cellStyle name="Normal 19 2 6 2 3" xfId="17753"/>
    <cellStyle name="Normal 19 2 6 2 3 2" xfId="17754"/>
    <cellStyle name="Normal 19 2 6 2 3 2 2" xfId="17755"/>
    <cellStyle name="Normal 19 2 6 2 3 2 2 2" xfId="17756"/>
    <cellStyle name="Normal 19 2 6 2 3 2 3" xfId="17757"/>
    <cellStyle name="Normal 19 2 6 2 3 3" xfId="17758"/>
    <cellStyle name="Normal 19 2 6 2 3 3 2" xfId="17759"/>
    <cellStyle name="Normal 19 2 6 2 3 4" xfId="17760"/>
    <cellStyle name="Normal 19 2 6 2 4" xfId="17761"/>
    <cellStyle name="Normal 19 2 6 2 4 2" xfId="17762"/>
    <cellStyle name="Normal 19 2 6 2 4 2 2" xfId="17763"/>
    <cellStyle name="Normal 19 2 6 2 4 3" xfId="17764"/>
    <cellStyle name="Normal 19 2 6 2 5" xfId="17765"/>
    <cellStyle name="Normal 19 2 6 2 5 2" xfId="17766"/>
    <cellStyle name="Normal 19 2 6 2 6" xfId="17767"/>
    <cellStyle name="Normal 19 2 6 3" xfId="17768"/>
    <cellStyle name="Normal 19 2 6 3 2" xfId="17769"/>
    <cellStyle name="Normal 19 2 6 3 2 2" xfId="17770"/>
    <cellStyle name="Normal 19 2 6 3 2 2 2" xfId="17771"/>
    <cellStyle name="Normal 19 2 6 3 2 3" xfId="17772"/>
    <cellStyle name="Normal 19 2 6 3 3" xfId="17773"/>
    <cellStyle name="Normal 19 2 6 3 3 2" xfId="17774"/>
    <cellStyle name="Normal 19 2 6 3 4" xfId="17775"/>
    <cellStyle name="Normal 19 2 6 4" xfId="17776"/>
    <cellStyle name="Normal 19 2 6 4 2" xfId="17777"/>
    <cellStyle name="Normal 19 2 6 4 2 2" xfId="17778"/>
    <cellStyle name="Normal 19 2 6 4 2 2 2" xfId="17779"/>
    <cellStyle name="Normal 19 2 6 4 2 3" xfId="17780"/>
    <cellStyle name="Normal 19 2 6 4 3" xfId="17781"/>
    <cellStyle name="Normal 19 2 6 4 3 2" xfId="17782"/>
    <cellStyle name="Normal 19 2 6 4 4" xfId="17783"/>
    <cellStyle name="Normal 19 2 6 5" xfId="17784"/>
    <cellStyle name="Normal 19 2 6 5 2" xfId="17785"/>
    <cellStyle name="Normal 19 2 6 5 2 2" xfId="17786"/>
    <cellStyle name="Normal 19 2 6 5 3" xfId="17787"/>
    <cellStyle name="Normal 19 2 6 6" xfId="17788"/>
    <cellStyle name="Normal 19 2 6 6 2" xfId="17789"/>
    <cellStyle name="Normal 19 2 6 7" xfId="17790"/>
    <cellStyle name="Normal 19 2 7" xfId="17791"/>
    <cellStyle name="Normal 19 2 7 2" xfId="17792"/>
    <cellStyle name="Normal 19 2 7 2 2" xfId="17793"/>
    <cellStyle name="Normal 19 2 7 2 2 2" xfId="17794"/>
    <cellStyle name="Normal 19 2 7 2 2 2 2" xfId="17795"/>
    <cellStyle name="Normal 19 2 7 2 2 3" xfId="17796"/>
    <cellStyle name="Normal 19 2 7 2 3" xfId="17797"/>
    <cellStyle name="Normal 19 2 7 2 3 2" xfId="17798"/>
    <cellStyle name="Normal 19 2 7 2 4" xfId="17799"/>
    <cellStyle name="Normal 19 2 7 3" xfId="17800"/>
    <cellStyle name="Normal 19 2 7 3 2" xfId="17801"/>
    <cellStyle name="Normal 19 2 7 3 2 2" xfId="17802"/>
    <cellStyle name="Normal 19 2 7 3 2 2 2" xfId="17803"/>
    <cellStyle name="Normal 19 2 7 3 2 3" xfId="17804"/>
    <cellStyle name="Normal 19 2 7 3 3" xfId="17805"/>
    <cellStyle name="Normal 19 2 7 3 3 2" xfId="17806"/>
    <cellStyle name="Normal 19 2 7 3 4" xfId="17807"/>
    <cellStyle name="Normal 19 2 7 4" xfId="17808"/>
    <cellStyle name="Normal 19 2 7 4 2" xfId="17809"/>
    <cellStyle name="Normal 19 2 7 4 2 2" xfId="17810"/>
    <cellStyle name="Normal 19 2 7 4 3" xfId="17811"/>
    <cellStyle name="Normal 19 2 7 5" xfId="17812"/>
    <cellStyle name="Normal 19 2 7 5 2" xfId="17813"/>
    <cellStyle name="Normal 19 2 7 6" xfId="17814"/>
    <cellStyle name="Normal 19 2 8" xfId="17815"/>
    <cellStyle name="Normal 19 2 8 2" xfId="17816"/>
    <cellStyle name="Normal 19 2 8 2 2" xfId="17817"/>
    <cellStyle name="Normal 19 2 8 2 2 2" xfId="17818"/>
    <cellStyle name="Normal 19 2 8 2 3" xfId="17819"/>
    <cellStyle name="Normal 19 2 8 3" xfId="17820"/>
    <cellStyle name="Normal 19 2 8 3 2" xfId="17821"/>
    <cellStyle name="Normal 19 2 8 4" xfId="17822"/>
    <cellStyle name="Normal 19 2 9" xfId="17823"/>
    <cellStyle name="Normal 19 2 9 2" xfId="17824"/>
    <cellStyle name="Normal 19 2 9 2 2" xfId="17825"/>
    <cellStyle name="Normal 19 2 9 2 2 2" xfId="17826"/>
    <cellStyle name="Normal 19 2 9 2 3" xfId="17827"/>
    <cellStyle name="Normal 19 2 9 3" xfId="17828"/>
    <cellStyle name="Normal 19 2 9 3 2" xfId="17829"/>
    <cellStyle name="Normal 19 2 9 4" xfId="17830"/>
    <cellStyle name="Normal 19 3" xfId="17831"/>
    <cellStyle name="Normal 19 3 10" xfId="17832"/>
    <cellStyle name="Normal 19 3 10 2" xfId="17833"/>
    <cellStyle name="Normal 19 3 11" xfId="17834"/>
    <cellStyle name="Normal 19 3 2" xfId="17835"/>
    <cellStyle name="Normal 19 3 2 10" xfId="17836"/>
    <cellStyle name="Normal 19 3 2 2" xfId="17837"/>
    <cellStyle name="Normal 19 3 2 2 2" xfId="17838"/>
    <cellStyle name="Normal 19 3 2 2 2 2" xfId="17839"/>
    <cellStyle name="Normal 19 3 2 2 2 2 2" xfId="17840"/>
    <cellStyle name="Normal 19 3 2 2 2 2 2 2" xfId="17841"/>
    <cellStyle name="Normal 19 3 2 2 2 2 2 2 2" xfId="17842"/>
    <cellStyle name="Normal 19 3 2 2 2 2 2 2 2 2" xfId="17843"/>
    <cellStyle name="Normal 19 3 2 2 2 2 2 2 3" xfId="17844"/>
    <cellStyle name="Normal 19 3 2 2 2 2 2 3" xfId="17845"/>
    <cellStyle name="Normal 19 3 2 2 2 2 2 3 2" xfId="17846"/>
    <cellStyle name="Normal 19 3 2 2 2 2 2 4" xfId="17847"/>
    <cellStyle name="Normal 19 3 2 2 2 2 3" xfId="17848"/>
    <cellStyle name="Normal 19 3 2 2 2 2 3 2" xfId="17849"/>
    <cellStyle name="Normal 19 3 2 2 2 2 3 2 2" xfId="17850"/>
    <cellStyle name="Normal 19 3 2 2 2 2 3 2 2 2" xfId="17851"/>
    <cellStyle name="Normal 19 3 2 2 2 2 3 2 3" xfId="17852"/>
    <cellStyle name="Normal 19 3 2 2 2 2 3 3" xfId="17853"/>
    <cellStyle name="Normal 19 3 2 2 2 2 3 3 2" xfId="17854"/>
    <cellStyle name="Normal 19 3 2 2 2 2 3 4" xfId="17855"/>
    <cellStyle name="Normal 19 3 2 2 2 2 4" xfId="17856"/>
    <cellStyle name="Normal 19 3 2 2 2 2 4 2" xfId="17857"/>
    <cellStyle name="Normal 19 3 2 2 2 2 4 2 2" xfId="17858"/>
    <cellStyle name="Normal 19 3 2 2 2 2 4 3" xfId="17859"/>
    <cellStyle name="Normal 19 3 2 2 2 2 5" xfId="17860"/>
    <cellStyle name="Normal 19 3 2 2 2 2 5 2" xfId="17861"/>
    <cellStyle name="Normal 19 3 2 2 2 2 6" xfId="17862"/>
    <cellStyle name="Normal 19 3 2 2 2 3" xfId="17863"/>
    <cellStyle name="Normal 19 3 2 2 2 3 2" xfId="17864"/>
    <cellStyle name="Normal 19 3 2 2 2 3 2 2" xfId="17865"/>
    <cellStyle name="Normal 19 3 2 2 2 3 2 2 2" xfId="17866"/>
    <cellStyle name="Normal 19 3 2 2 2 3 2 3" xfId="17867"/>
    <cellStyle name="Normal 19 3 2 2 2 3 3" xfId="17868"/>
    <cellStyle name="Normal 19 3 2 2 2 3 3 2" xfId="17869"/>
    <cellStyle name="Normal 19 3 2 2 2 3 4" xfId="17870"/>
    <cellStyle name="Normal 19 3 2 2 2 4" xfId="17871"/>
    <cellStyle name="Normal 19 3 2 2 2 4 2" xfId="17872"/>
    <cellStyle name="Normal 19 3 2 2 2 4 2 2" xfId="17873"/>
    <cellStyle name="Normal 19 3 2 2 2 4 2 2 2" xfId="17874"/>
    <cellStyle name="Normal 19 3 2 2 2 4 2 3" xfId="17875"/>
    <cellStyle name="Normal 19 3 2 2 2 4 3" xfId="17876"/>
    <cellStyle name="Normal 19 3 2 2 2 4 3 2" xfId="17877"/>
    <cellStyle name="Normal 19 3 2 2 2 4 4" xfId="17878"/>
    <cellStyle name="Normal 19 3 2 2 2 5" xfId="17879"/>
    <cellStyle name="Normal 19 3 2 2 2 5 2" xfId="17880"/>
    <cellStyle name="Normal 19 3 2 2 2 5 2 2" xfId="17881"/>
    <cellStyle name="Normal 19 3 2 2 2 5 3" xfId="17882"/>
    <cellStyle name="Normal 19 3 2 2 2 6" xfId="17883"/>
    <cellStyle name="Normal 19 3 2 2 2 6 2" xfId="17884"/>
    <cellStyle name="Normal 19 3 2 2 2 7" xfId="17885"/>
    <cellStyle name="Normal 19 3 2 2 3" xfId="17886"/>
    <cellStyle name="Normal 19 3 2 2 3 2" xfId="17887"/>
    <cellStyle name="Normal 19 3 2 2 3 2 2" xfId="17888"/>
    <cellStyle name="Normal 19 3 2 2 3 2 2 2" xfId="17889"/>
    <cellStyle name="Normal 19 3 2 2 3 2 2 2 2" xfId="17890"/>
    <cellStyle name="Normal 19 3 2 2 3 2 2 3" xfId="17891"/>
    <cellStyle name="Normal 19 3 2 2 3 2 3" xfId="17892"/>
    <cellStyle name="Normal 19 3 2 2 3 2 3 2" xfId="17893"/>
    <cellStyle name="Normal 19 3 2 2 3 2 4" xfId="17894"/>
    <cellStyle name="Normal 19 3 2 2 3 3" xfId="17895"/>
    <cellStyle name="Normal 19 3 2 2 3 3 2" xfId="17896"/>
    <cellStyle name="Normal 19 3 2 2 3 3 2 2" xfId="17897"/>
    <cellStyle name="Normal 19 3 2 2 3 3 2 2 2" xfId="17898"/>
    <cellStyle name="Normal 19 3 2 2 3 3 2 3" xfId="17899"/>
    <cellStyle name="Normal 19 3 2 2 3 3 3" xfId="17900"/>
    <cellStyle name="Normal 19 3 2 2 3 3 3 2" xfId="17901"/>
    <cellStyle name="Normal 19 3 2 2 3 3 4" xfId="17902"/>
    <cellStyle name="Normal 19 3 2 2 3 4" xfId="17903"/>
    <cellStyle name="Normal 19 3 2 2 3 4 2" xfId="17904"/>
    <cellStyle name="Normal 19 3 2 2 3 4 2 2" xfId="17905"/>
    <cellStyle name="Normal 19 3 2 2 3 4 3" xfId="17906"/>
    <cellStyle name="Normal 19 3 2 2 3 5" xfId="17907"/>
    <cellStyle name="Normal 19 3 2 2 3 5 2" xfId="17908"/>
    <cellStyle name="Normal 19 3 2 2 3 6" xfId="17909"/>
    <cellStyle name="Normal 19 3 2 2 4" xfId="17910"/>
    <cellStyle name="Normal 19 3 2 2 4 2" xfId="17911"/>
    <cellStyle name="Normal 19 3 2 2 4 2 2" xfId="17912"/>
    <cellStyle name="Normal 19 3 2 2 4 2 2 2" xfId="17913"/>
    <cellStyle name="Normal 19 3 2 2 4 2 3" xfId="17914"/>
    <cellStyle name="Normal 19 3 2 2 4 3" xfId="17915"/>
    <cellStyle name="Normal 19 3 2 2 4 3 2" xfId="17916"/>
    <cellStyle name="Normal 19 3 2 2 4 4" xfId="17917"/>
    <cellStyle name="Normal 19 3 2 2 5" xfId="17918"/>
    <cellStyle name="Normal 19 3 2 2 5 2" xfId="17919"/>
    <cellStyle name="Normal 19 3 2 2 5 2 2" xfId="17920"/>
    <cellStyle name="Normal 19 3 2 2 5 2 2 2" xfId="17921"/>
    <cellStyle name="Normal 19 3 2 2 5 2 3" xfId="17922"/>
    <cellStyle name="Normal 19 3 2 2 5 3" xfId="17923"/>
    <cellStyle name="Normal 19 3 2 2 5 3 2" xfId="17924"/>
    <cellStyle name="Normal 19 3 2 2 5 4" xfId="17925"/>
    <cellStyle name="Normal 19 3 2 2 6" xfId="17926"/>
    <cellStyle name="Normal 19 3 2 2 6 2" xfId="17927"/>
    <cellStyle name="Normal 19 3 2 2 6 2 2" xfId="17928"/>
    <cellStyle name="Normal 19 3 2 2 6 2 2 2" xfId="17929"/>
    <cellStyle name="Normal 19 3 2 2 6 2 3" xfId="17930"/>
    <cellStyle name="Normal 19 3 2 2 6 3" xfId="17931"/>
    <cellStyle name="Normal 19 3 2 2 6 3 2" xfId="17932"/>
    <cellStyle name="Normal 19 3 2 2 6 4" xfId="17933"/>
    <cellStyle name="Normal 19 3 2 2 7" xfId="17934"/>
    <cellStyle name="Normal 19 3 2 2 7 2" xfId="17935"/>
    <cellStyle name="Normal 19 3 2 2 7 2 2" xfId="17936"/>
    <cellStyle name="Normal 19 3 2 2 7 3" xfId="17937"/>
    <cellStyle name="Normal 19 3 2 2 8" xfId="17938"/>
    <cellStyle name="Normal 19 3 2 2 8 2" xfId="17939"/>
    <cellStyle name="Normal 19 3 2 2 9" xfId="17940"/>
    <cellStyle name="Normal 19 3 2 3" xfId="17941"/>
    <cellStyle name="Normal 19 3 2 3 2" xfId="17942"/>
    <cellStyle name="Normal 19 3 2 3 2 2" xfId="17943"/>
    <cellStyle name="Normal 19 3 2 3 2 2 2" xfId="17944"/>
    <cellStyle name="Normal 19 3 2 3 2 2 2 2" xfId="17945"/>
    <cellStyle name="Normal 19 3 2 3 2 2 2 2 2" xfId="17946"/>
    <cellStyle name="Normal 19 3 2 3 2 2 2 3" xfId="17947"/>
    <cellStyle name="Normal 19 3 2 3 2 2 3" xfId="17948"/>
    <cellStyle name="Normal 19 3 2 3 2 2 3 2" xfId="17949"/>
    <cellStyle name="Normal 19 3 2 3 2 2 4" xfId="17950"/>
    <cellStyle name="Normal 19 3 2 3 2 3" xfId="17951"/>
    <cellStyle name="Normal 19 3 2 3 2 3 2" xfId="17952"/>
    <cellStyle name="Normal 19 3 2 3 2 3 2 2" xfId="17953"/>
    <cellStyle name="Normal 19 3 2 3 2 3 2 2 2" xfId="17954"/>
    <cellStyle name="Normal 19 3 2 3 2 3 2 3" xfId="17955"/>
    <cellStyle name="Normal 19 3 2 3 2 3 3" xfId="17956"/>
    <cellStyle name="Normal 19 3 2 3 2 3 3 2" xfId="17957"/>
    <cellStyle name="Normal 19 3 2 3 2 3 4" xfId="17958"/>
    <cellStyle name="Normal 19 3 2 3 2 4" xfId="17959"/>
    <cellStyle name="Normal 19 3 2 3 2 4 2" xfId="17960"/>
    <cellStyle name="Normal 19 3 2 3 2 4 2 2" xfId="17961"/>
    <cellStyle name="Normal 19 3 2 3 2 4 3" xfId="17962"/>
    <cellStyle name="Normal 19 3 2 3 2 5" xfId="17963"/>
    <cellStyle name="Normal 19 3 2 3 2 5 2" xfId="17964"/>
    <cellStyle name="Normal 19 3 2 3 2 6" xfId="17965"/>
    <cellStyle name="Normal 19 3 2 3 3" xfId="17966"/>
    <cellStyle name="Normal 19 3 2 3 3 2" xfId="17967"/>
    <cellStyle name="Normal 19 3 2 3 3 2 2" xfId="17968"/>
    <cellStyle name="Normal 19 3 2 3 3 2 2 2" xfId="17969"/>
    <cellStyle name="Normal 19 3 2 3 3 2 3" xfId="17970"/>
    <cellStyle name="Normal 19 3 2 3 3 3" xfId="17971"/>
    <cellStyle name="Normal 19 3 2 3 3 3 2" xfId="17972"/>
    <cellStyle name="Normal 19 3 2 3 3 4" xfId="17973"/>
    <cellStyle name="Normal 19 3 2 3 4" xfId="17974"/>
    <cellStyle name="Normal 19 3 2 3 4 2" xfId="17975"/>
    <cellStyle name="Normal 19 3 2 3 4 2 2" xfId="17976"/>
    <cellStyle name="Normal 19 3 2 3 4 2 2 2" xfId="17977"/>
    <cellStyle name="Normal 19 3 2 3 4 2 3" xfId="17978"/>
    <cellStyle name="Normal 19 3 2 3 4 3" xfId="17979"/>
    <cellStyle name="Normal 19 3 2 3 4 3 2" xfId="17980"/>
    <cellStyle name="Normal 19 3 2 3 4 4" xfId="17981"/>
    <cellStyle name="Normal 19 3 2 3 5" xfId="17982"/>
    <cellStyle name="Normal 19 3 2 3 5 2" xfId="17983"/>
    <cellStyle name="Normal 19 3 2 3 5 2 2" xfId="17984"/>
    <cellStyle name="Normal 19 3 2 3 5 3" xfId="17985"/>
    <cellStyle name="Normal 19 3 2 3 6" xfId="17986"/>
    <cellStyle name="Normal 19 3 2 3 6 2" xfId="17987"/>
    <cellStyle name="Normal 19 3 2 3 7" xfId="17988"/>
    <cellStyle name="Normal 19 3 2 4" xfId="17989"/>
    <cellStyle name="Normal 19 3 2 4 2" xfId="17990"/>
    <cellStyle name="Normal 19 3 2 4 2 2" xfId="17991"/>
    <cellStyle name="Normal 19 3 2 4 2 2 2" xfId="17992"/>
    <cellStyle name="Normal 19 3 2 4 2 2 2 2" xfId="17993"/>
    <cellStyle name="Normal 19 3 2 4 2 2 3" xfId="17994"/>
    <cellStyle name="Normal 19 3 2 4 2 3" xfId="17995"/>
    <cellStyle name="Normal 19 3 2 4 2 3 2" xfId="17996"/>
    <cellStyle name="Normal 19 3 2 4 2 4" xfId="17997"/>
    <cellStyle name="Normal 19 3 2 4 3" xfId="17998"/>
    <cellStyle name="Normal 19 3 2 4 3 2" xfId="17999"/>
    <cellStyle name="Normal 19 3 2 4 3 2 2" xfId="18000"/>
    <cellStyle name="Normal 19 3 2 4 3 2 2 2" xfId="18001"/>
    <cellStyle name="Normal 19 3 2 4 3 2 3" xfId="18002"/>
    <cellStyle name="Normal 19 3 2 4 3 3" xfId="18003"/>
    <cellStyle name="Normal 19 3 2 4 3 3 2" xfId="18004"/>
    <cellStyle name="Normal 19 3 2 4 3 4" xfId="18005"/>
    <cellStyle name="Normal 19 3 2 4 4" xfId="18006"/>
    <cellStyle name="Normal 19 3 2 4 4 2" xfId="18007"/>
    <cellStyle name="Normal 19 3 2 4 4 2 2" xfId="18008"/>
    <cellStyle name="Normal 19 3 2 4 4 3" xfId="18009"/>
    <cellStyle name="Normal 19 3 2 4 5" xfId="18010"/>
    <cellStyle name="Normal 19 3 2 4 5 2" xfId="18011"/>
    <cellStyle name="Normal 19 3 2 4 6" xfId="18012"/>
    <cellStyle name="Normal 19 3 2 5" xfId="18013"/>
    <cellStyle name="Normal 19 3 2 5 2" xfId="18014"/>
    <cellStyle name="Normal 19 3 2 5 2 2" xfId="18015"/>
    <cellStyle name="Normal 19 3 2 5 2 2 2" xfId="18016"/>
    <cellStyle name="Normal 19 3 2 5 2 3" xfId="18017"/>
    <cellStyle name="Normal 19 3 2 5 3" xfId="18018"/>
    <cellStyle name="Normal 19 3 2 5 3 2" xfId="18019"/>
    <cellStyle name="Normal 19 3 2 5 4" xfId="18020"/>
    <cellStyle name="Normal 19 3 2 6" xfId="18021"/>
    <cellStyle name="Normal 19 3 2 6 2" xfId="18022"/>
    <cellStyle name="Normal 19 3 2 6 2 2" xfId="18023"/>
    <cellStyle name="Normal 19 3 2 6 2 2 2" xfId="18024"/>
    <cellStyle name="Normal 19 3 2 6 2 3" xfId="18025"/>
    <cellStyle name="Normal 19 3 2 6 3" xfId="18026"/>
    <cellStyle name="Normal 19 3 2 6 3 2" xfId="18027"/>
    <cellStyle name="Normal 19 3 2 6 4" xfId="18028"/>
    <cellStyle name="Normal 19 3 2 7" xfId="18029"/>
    <cellStyle name="Normal 19 3 2 7 2" xfId="18030"/>
    <cellStyle name="Normal 19 3 2 7 2 2" xfId="18031"/>
    <cellStyle name="Normal 19 3 2 7 2 2 2" xfId="18032"/>
    <cellStyle name="Normal 19 3 2 7 2 3" xfId="18033"/>
    <cellStyle name="Normal 19 3 2 7 3" xfId="18034"/>
    <cellStyle name="Normal 19 3 2 7 3 2" xfId="18035"/>
    <cellStyle name="Normal 19 3 2 7 4" xfId="18036"/>
    <cellStyle name="Normal 19 3 2 8" xfId="18037"/>
    <cellStyle name="Normal 19 3 2 8 2" xfId="18038"/>
    <cellStyle name="Normal 19 3 2 8 2 2" xfId="18039"/>
    <cellStyle name="Normal 19 3 2 8 3" xfId="18040"/>
    <cellStyle name="Normal 19 3 2 9" xfId="18041"/>
    <cellStyle name="Normal 19 3 2 9 2" xfId="18042"/>
    <cellStyle name="Normal 19 3 3" xfId="18043"/>
    <cellStyle name="Normal 19 3 3 2" xfId="18044"/>
    <cellStyle name="Normal 19 3 3 2 2" xfId="18045"/>
    <cellStyle name="Normal 19 3 3 2 2 2" xfId="18046"/>
    <cellStyle name="Normal 19 3 3 2 2 2 2" xfId="18047"/>
    <cellStyle name="Normal 19 3 3 2 2 2 2 2" xfId="18048"/>
    <cellStyle name="Normal 19 3 3 2 2 2 2 2 2" xfId="18049"/>
    <cellStyle name="Normal 19 3 3 2 2 2 2 3" xfId="18050"/>
    <cellStyle name="Normal 19 3 3 2 2 2 3" xfId="18051"/>
    <cellStyle name="Normal 19 3 3 2 2 2 3 2" xfId="18052"/>
    <cellStyle name="Normal 19 3 3 2 2 2 4" xfId="18053"/>
    <cellStyle name="Normal 19 3 3 2 2 3" xfId="18054"/>
    <cellStyle name="Normal 19 3 3 2 2 3 2" xfId="18055"/>
    <cellStyle name="Normal 19 3 3 2 2 3 2 2" xfId="18056"/>
    <cellStyle name="Normal 19 3 3 2 2 3 2 2 2" xfId="18057"/>
    <cellStyle name="Normal 19 3 3 2 2 3 2 3" xfId="18058"/>
    <cellStyle name="Normal 19 3 3 2 2 3 3" xfId="18059"/>
    <cellStyle name="Normal 19 3 3 2 2 3 3 2" xfId="18060"/>
    <cellStyle name="Normal 19 3 3 2 2 3 4" xfId="18061"/>
    <cellStyle name="Normal 19 3 3 2 2 4" xfId="18062"/>
    <cellStyle name="Normal 19 3 3 2 2 4 2" xfId="18063"/>
    <cellStyle name="Normal 19 3 3 2 2 4 2 2" xfId="18064"/>
    <cellStyle name="Normal 19 3 3 2 2 4 3" xfId="18065"/>
    <cellStyle name="Normal 19 3 3 2 2 5" xfId="18066"/>
    <cellStyle name="Normal 19 3 3 2 2 5 2" xfId="18067"/>
    <cellStyle name="Normal 19 3 3 2 2 6" xfId="18068"/>
    <cellStyle name="Normal 19 3 3 2 3" xfId="18069"/>
    <cellStyle name="Normal 19 3 3 2 3 2" xfId="18070"/>
    <cellStyle name="Normal 19 3 3 2 3 2 2" xfId="18071"/>
    <cellStyle name="Normal 19 3 3 2 3 2 2 2" xfId="18072"/>
    <cellStyle name="Normal 19 3 3 2 3 2 3" xfId="18073"/>
    <cellStyle name="Normal 19 3 3 2 3 3" xfId="18074"/>
    <cellStyle name="Normal 19 3 3 2 3 3 2" xfId="18075"/>
    <cellStyle name="Normal 19 3 3 2 3 4" xfId="18076"/>
    <cellStyle name="Normal 19 3 3 2 4" xfId="18077"/>
    <cellStyle name="Normal 19 3 3 2 4 2" xfId="18078"/>
    <cellStyle name="Normal 19 3 3 2 4 2 2" xfId="18079"/>
    <cellStyle name="Normal 19 3 3 2 4 2 2 2" xfId="18080"/>
    <cellStyle name="Normal 19 3 3 2 4 2 3" xfId="18081"/>
    <cellStyle name="Normal 19 3 3 2 4 3" xfId="18082"/>
    <cellStyle name="Normal 19 3 3 2 4 3 2" xfId="18083"/>
    <cellStyle name="Normal 19 3 3 2 4 4" xfId="18084"/>
    <cellStyle name="Normal 19 3 3 2 5" xfId="18085"/>
    <cellStyle name="Normal 19 3 3 2 5 2" xfId="18086"/>
    <cellStyle name="Normal 19 3 3 2 5 2 2" xfId="18087"/>
    <cellStyle name="Normal 19 3 3 2 5 3" xfId="18088"/>
    <cellStyle name="Normal 19 3 3 2 6" xfId="18089"/>
    <cellStyle name="Normal 19 3 3 2 6 2" xfId="18090"/>
    <cellStyle name="Normal 19 3 3 2 7" xfId="18091"/>
    <cellStyle name="Normal 19 3 3 3" xfId="18092"/>
    <cellStyle name="Normal 19 3 3 3 2" xfId="18093"/>
    <cellStyle name="Normal 19 3 3 3 2 2" xfId="18094"/>
    <cellStyle name="Normal 19 3 3 3 2 2 2" xfId="18095"/>
    <cellStyle name="Normal 19 3 3 3 2 2 2 2" xfId="18096"/>
    <cellStyle name="Normal 19 3 3 3 2 2 3" xfId="18097"/>
    <cellStyle name="Normal 19 3 3 3 2 3" xfId="18098"/>
    <cellStyle name="Normal 19 3 3 3 2 3 2" xfId="18099"/>
    <cellStyle name="Normal 19 3 3 3 2 4" xfId="18100"/>
    <cellStyle name="Normal 19 3 3 3 3" xfId="18101"/>
    <cellStyle name="Normal 19 3 3 3 3 2" xfId="18102"/>
    <cellStyle name="Normal 19 3 3 3 3 2 2" xfId="18103"/>
    <cellStyle name="Normal 19 3 3 3 3 2 2 2" xfId="18104"/>
    <cellStyle name="Normal 19 3 3 3 3 2 3" xfId="18105"/>
    <cellStyle name="Normal 19 3 3 3 3 3" xfId="18106"/>
    <cellStyle name="Normal 19 3 3 3 3 3 2" xfId="18107"/>
    <cellStyle name="Normal 19 3 3 3 3 4" xfId="18108"/>
    <cellStyle name="Normal 19 3 3 3 4" xfId="18109"/>
    <cellStyle name="Normal 19 3 3 3 4 2" xfId="18110"/>
    <cellStyle name="Normal 19 3 3 3 4 2 2" xfId="18111"/>
    <cellStyle name="Normal 19 3 3 3 4 3" xfId="18112"/>
    <cellStyle name="Normal 19 3 3 3 5" xfId="18113"/>
    <cellStyle name="Normal 19 3 3 3 5 2" xfId="18114"/>
    <cellStyle name="Normal 19 3 3 3 6" xfId="18115"/>
    <cellStyle name="Normal 19 3 3 4" xfId="18116"/>
    <cellStyle name="Normal 19 3 3 4 2" xfId="18117"/>
    <cellStyle name="Normal 19 3 3 4 2 2" xfId="18118"/>
    <cellStyle name="Normal 19 3 3 4 2 2 2" xfId="18119"/>
    <cellStyle name="Normal 19 3 3 4 2 3" xfId="18120"/>
    <cellStyle name="Normal 19 3 3 4 3" xfId="18121"/>
    <cellStyle name="Normal 19 3 3 4 3 2" xfId="18122"/>
    <cellStyle name="Normal 19 3 3 4 4" xfId="18123"/>
    <cellStyle name="Normal 19 3 3 5" xfId="18124"/>
    <cellStyle name="Normal 19 3 3 5 2" xfId="18125"/>
    <cellStyle name="Normal 19 3 3 5 2 2" xfId="18126"/>
    <cellStyle name="Normal 19 3 3 5 2 2 2" xfId="18127"/>
    <cellStyle name="Normal 19 3 3 5 2 3" xfId="18128"/>
    <cellStyle name="Normal 19 3 3 5 3" xfId="18129"/>
    <cellStyle name="Normal 19 3 3 5 3 2" xfId="18130"/>
    <cellStyle name="Normal 19 3 3 5 4" xfId="18131"/>
    <cellStyle name="Normal 19 3 3 6" xfId="18132"/>
    <cellStyle name="Normal 19 3 3 6 2" xfId="18133"/>
    <cellStyle name="Normal 19 3 3 6 2 2" xfId="18134"/>
    <cellStyle name="Normal 19 3 3 6 2 2 2" xfId="18135"/>
    <cellStyle name="Normal 19 3 3 6 2 3" xfId="18136"/>
    <cellStyle name="Normal 19 3 3 6 3" xfId="18137"/>
    <cellStyle name="Normal 19 3 3 6 3 2" xfId="18138"/>
    <cellStyle name="Normal 19 3 3 6 4" xfId="18139"/>
    <cellStyle name="Normal 19 3 3 7" xfId="18140"/>
    <cellStyle name="Normal 19 3 3 7 2" xfId="18141"/>
    <cellStyle name="Normal 19 3 3 7 2 2" xfId="18142"/>
    <cellStyle name="Normal 19 3 3 7 3" xfId="18143"/>
    <cellStyle name="Normal 19 3 3 8" xfId="18144"/>
    <cellStyle name="Normal 19 3 3 8 2" xfId="18145"/>
    <cellStyle name="Normal 19 3 3 9" xfId="18146"/>
    <cellStyle name="Normal 19 3 4" xfId="18147"/>
    <cellStyle name="Normal 19 3 4 2" xfId="18148"/>
    <cellStyle name="Normal 19 3 4 2 2" xfId="18149"/>
    <cellStyle name="Normal 19 3 4 2 2 2" xfId="18150"/>
    <cellStyle name="Normal 19 3 4 2 2 2 2" xfId="18151"/>
    <cellStyle name="Normal 19 3 4 2 2 2 2 2" xfId="18152"/>
    <cellStyle name="Normal 19 3 4 2 2 2 3" xfId="18153"/>
    <cellStyle name="Normal 19 3 4 2 2 3" xfId="18154"/>
    <cellStyle name="Normal 19 3 4 2 2 3 2" xfId="18155"/>
    <cellStyle name="Normal 19 3 4 2 2 4" xfId="18156"/>
    <cellStyle name="Normal 19 3 4 2 3" xfId="18157"/>
    <cellStyle name="Normal 19 3 4 2 3 2" xfId="18158"/>
    <cellStyle name="Normal 19 3 4 2 3 2 2" xfId="18159"/>
    <cellStyle name="Normal 19 3 4 2 3 2 2 2" xfId="18160"/>
    <cellStyle name="Normal 19 3 4 2 3 2 3" xfId="18161"/>
    <cellStyle name="Normal 19 3 4 2 3 3" xfId="18162"/>
    <cellStyle name="Normal 19 3 4 2 3 3 2" xfId="18163"/>
    <cellStyle name="Normal 19 3 4 2 3 4" xfId="18164"/>
    <cellStyle name="Normal 19 3 4 2 4" xfId="18165"/>
    <cellStyle name="Normal 19 3 4 2 4 2" xfId="18166"/>
    <cellStyle name="Normal 19 3 4 2 4 2 2" xfId="18167"/>
    <cellStyle name="Normal 19 3 4 2 4 3" xfId="18168"/>
    <cellStyle name="Normal 19 3 4 2 5" xfId="18169"/>
    <cellStyle name="Normal 19 3 4 2 5 2" xfId="18170"/>
    <cellStyle name="Normal 19 3 4 2 6" xfId="18171"/>
    <cellStyle name="Normal 19 3 4 3" xfId="18172"/>
    <cellStyle name="Normal 19 3 4 3 2" xfId="18173"/>
    <cellStyle name="Normal 19 3 4 3 2 2" xfId="18174"/>
    <cellStyle name="Normal 19 3 4 3 2 2 2" xfId="18175"/>
    <cellStyle name="Normal 19 3 4 3 2 3" xfId="18176"/>
    <cellStyle name="Normal 19 3 4 3 3" xfId="18177"/>
    <cellStyle name="Normal 19 3 4 3 3 2" xfId="18178"/>
    <cellStyle name="Normal 19 3 4 3 4" xfId="18179"/>
    <cellStyle name="Normal 19 3 4 4" xfId="18180"/>
    <cellStyle name="Normal 19 3 4 4 2" xfId="18181"/>
    <cellStyle name="Normal 19 3 4 4 2 2" xfId="18182"/>
    <cellStyle name="Normal 19 3 4 4 2 2 2" xfId="18183"/>
    <cellStyle name="Normal 19 3 4 4 2 3" xfId="18184"/>
    <cellStyle name="Normal 19 3 4 4 3" xfId="18185"/>
    <cellStyle name="Normal 19 3 4 4 3 2" xfId="18186"/>
    <cellStyle name="Normal 19 3 4 4 4" xfId="18187"/>
    <cellStyle name="Normal 19 3 4 5" xfId="18188"/>
    <cellStyle name="Normal 19 3 4 5 2" xfId="18189"/>
    <cellStyle name="Normal 19 3 4 5 2 2" xfId="18190"/>
    <cellStyle name="Normal 19 3 4 5 3" xfId="18191"/>
    <cellStyle name="Normal 19 3 4 6" xfId="18192"/>
    <cellStyle name="Normal 19 3 4 6 2" xfId="18193"/>
    <cellStyle name="Normal 19 3 4 7" xfId="18194"/>
    <cellStyle name="Normal 19 3 5" xfId="18195"/>
    <cellStyle name="Normal 19 3 5 2" xfId="18196"/>
    <cellStyle name="Normal 19 3 5 2 2" xfId="18197"/>
    <cellStyle name="Normal 19 3 5 2 2 2" xfId="18198"/>
    <cellStyle name="Normal 19 3 5 2 2 2 2" xfId="18199"/>
    <cellStyle name="Normal 19 3 5 2 2 3" xfId="18200"/>
    <cellStyle name="Normal 19 3 5 2 3" xfId="18201"/>
    <cellStyle name="Normal 19 3 5 2 3 2" xfId="18202"/>
    <cellStyle name="Normal 19 3 5 2 4" xfId="18203"/>
    <cellStyle name="Normal 19 3 5 3" xfId="18204"/>
    <cellStyle name="Normal 19 3 5 3 2" xfId="18205"/>
    <cellStyle name="Normal 19 3 5 3 2 2" xfId="18206"/>
    <cellStyle name="Normal 19 3 5 3 2 2 2" xfId="18207"/>
    <cellStyle name="Normal 19 3 5 3 2 3" xfId="18208"/>
    <cellStyle name="Normal 19 3 5 3 3" xfId="18209"/>
    <cellStyle name="Normal 19 3 5 3 3 2" xfId="18210"/>
    <cellStyle name="Normal 19 3 5 3 4" xfId="18211"/>
    <cellStyle name="Normal 19 3 5 4" xfId="18212"/>
    <cellStyle name="Normal 19 3 5 4 2" xfId="18213"/>
    <cellStyle name="Normal 19 3 5 4 2 2" xfId="18214"/>
    <cellStyle name="Normal 19 3 5 4 3" xfId="18215"/>
    <cellStyle name="Normal 19 3 5 5" xfId="18216"/>
    <cellStyle name="Normal 19 3 5 5 2" xfId="18217"/>
    <cellStyle name="Normal 19 3 5 6" xfId="18218"/>
    <cellStyle name="Normal 19 3 6" xfId="18219"/>
    <cellStyle name="Normal 19 3 6 2" xfId="18220"/>
    <cellStyle name="Normal 19 3 6 2 2" xfId="18221"/>
    <cellStyle name="Normal 19 3 6 2 2 2" xfId="18222"/>
    <cellStyle name="Normal 19 3 6 2 3" xfId="18223"/>
    <cellStyle name="Normal 19 3 6 3" xfId="18224"/>
    <cellStyle name="Normal 19 3 6 3 2" xfId="18225"/>
    <cellStyle name="Normal 19 3 6 4" xfId="18226"/>
    <cellStyle name="Normal 19 3 7" xfId="18227"/>
    <cellStyle name="Normal 19 3 7 2" xfId="18228"/>
    <cellStyle name="Normal 19 3 7 2 2" xfId="18229"/>
    <cellStyle name="Normal 19 3 7 2 2 2" xfId="18230"/>
    <cellStyle name="Normal 19 3 7 2 3" xfId="18231"/>
    <cellStyle name="Normal 19 3 7 3" xfId="18232"/>
    <cellStyle name="Normal 19 3 7 3 2" xfId="18233"/>
    <cellStyle name="Normal 19 3 7 4" xfId="18234"/>
    <cellStyle name="Normal 19 3 8" xfId="18235"/>
    <cellStyle name="Normal 19 3 8 2" xfId="18236"/>
    <cellStyle name="Normal 19 3 8 2 2" xfId="18237"/>
    <cellStyle name="Normal 19 3 8 2 2 2" xfId="18238"/>
    <cellStyle name="Normal 19 3 8 2 3" xfId="18239"/>
    <cellStyle name="Normal 19 3 8 3" xfId="18240"/>
    <cellStyle name="Normal 19 3 8 3 2" xfId="18241"/>
    <cellStyle name="Normal 19 3 8 4" xfId="18242"/>
    <cellStyle name="Normal 19 3 9" xfId="18243"/>
    <cellStyle name="Normal 19 3 9 2" xfId="18244"/>
    <cellStyle name="Normal 19 3 9 2 2" xfId="18245"/>
    <cellStyle name="Normal 19 3 9 3" xfId="18246"/>
    <cellStyle name="Normal 19 4" xfId="18247"/>
    <cellStyle name="Normal 19 4 10" xfId="18248"/>
    <cellStyle name="Normal 19 4 2" xfId="18249"/>
    <cellStyle name="Normal 19 4 2 2" xfId="18250"/>
    <cellStyle name="Normal 19 4 2 2 2" xfId="18251"/>
    <cellStyle name="Normal 19 4 2 2 2 2" xfId="18252"/>
    <cellStyle name="Normal 19 4 2 2 2 2 2" xfId="18253"/>
    <cellStyle name="Normal 19 4 2 2 2 2 2 2" xfId="18254"/>
    <cellStyle name="Normal 19 4 2 2 2 2 2 2 2" xfId="18255"/>
    <cellStyle name="Normal 19 4 2 2 2 2 2 3" xfId="18256"/>
    <cellStyle name="Normal 19 4 2 2 2 2 3" xfId="18257"/>
    <cellStyle name="Normal 19 4 2 2 2 2 3 2" xfId="18258"/>
    <cellStyle name="Normal 19 4 2 2 2 2 4" xfId="18259"/>
    <cellStyle name="Normal 19 4 2 2 2 3" xfId="18260"/>
    <cellStyle name="Normal 19 4 2 2 2 3 2" xfId="18261"/>
    <cellStyle name="Normal 19 4 2 2 2 3 2 2" xfId="18262"/>
    <cellStyle name="Normal 19 4 2 2 2 3 2 2 2" xfId="18263"/>
    <cellStyle name="Normal 19 4 2 2 2 3 2 3" xfId="18264"/>
    <cellStyle name="Normal 19 4 2 2 2 3 3" xfId="18265"/>
    <cellStyle name="Normal 19 4 2 2 2 3 3 2" xfId="18266"/>
    <cellStyle name="Normal 19 4 2 2 2 3 4" xfId="18267"/>
    <cellStyle name="Normal 19 4 2 2 2 4" xfId="18268"/>
    <cellStyle name="Normal 19 4 2 2 2 4 2" xfId="18269"/>
    <cellStyle name="Normal 19 4 2 2 2 4 2 2" xfId="18270"/>
    <cellStyle name="Normal 19 4 2 2 2 4 3" xfId="18271"/>
    <cellStyle name="Normal 19 4 2 2 2 5" xfId="18272"/>
    <cellStyle name="Normal 19 4 2 2 2 5 2" xfId="18273"/>
    <cellStyle name="Normal 19 4 2 2 2 6" xfId="18274"/>
    <cellStyle name="Normal 19 4 2 2 3" xfId="18275"/>
    <cellStyle name="Normal 19 4 2 2 3 2" xfId="18276"/>
    <cellStyle name="Normal 19 4 2 2 3 2 2" xfId="18277"/>
    <cellStyle name="Normal 19 4 2 2 3 2 2 2" xfId="18278"/>
    <cellStyle name="Normal 19 4 2 2 3 2 3" xfId="18279"/>
    <cellStyle name="Normal 19 4 2 2 3 3" xfId="18280"/>
    <cellStyle name="Normal 19 4 2 2 3 3 2" xfId="18281"/>
    <cellStyle name="Normal 19 4 2 2 3 4" xfId="18282"/>
    <cellStyle name="Normal 19 4 2 2 4" xfId="18283"/>
    <cellStyle name="Normal 19 4 2 2 4 2" xfId="18284"/>
    <cellStyle name="Normal 19 4 2 2 4 2 2" xfId="18285"/>
    <cellStyle name="Normal 19 4 2 2 4 2 2 2" xfId="18286"/>
    <cellStyle name="Normal 19 4 2 2 4 2 3" xfId="18287"/>
    <cellStyle name="Normal 19 4 2 2 4 3" xfId="18288"/>
    <cellStyle name="Normal 19 4 2 2 4 3 2" xfId="18289"/>
    <cellStyle name="Normal 19 4 2 2 4 4" xfId="18290"/>
    <cellStyle name="Normal 19 4 2 2 5" xfId="18291"/>
    <cellStyle name="Normal 19 4 2 2 5 2" xfId="18292"/>
    <cellStyle name="Normal 19 4 2 2 5 2 2" xfId="18293"/>
    <cellStyle name="Normal 19 4 2 2 5 3" xfId="18294"/>
    <cellStyle name="Normal 19 4 2 2 6" xfId="18295"/>
    <cellStyle name="Normal 19 4 2 2 6 2" xfId="18296"/>
    <cellStyle name="Normal 19 4 2 2 7" xfId="18297"/>
    <cellStyle name="Normal 19 4 2 3" xfId="18298"/>
    <cellStyle name="Normal 19 4 2 3 2" xfId="18299"/>
    <cellStyle name="Normal 19 4 2 3 2 2" xfId="18300"/>
    <cellStyle name="Normal 19 4 2 3 2 2 2" xfId="18301"/>
    <cellStyle name="Normal 19 4 2 3 2 2 2 2" xfId="18302"/>
    <cellStyle name="Normal 19 4 2 3 2 2 3" xfId="18303"/>
    <cellStyle name="Normal 19 4 2 3 2 3" xfId="18304"/>
    <cellStyle name="Normal 19 4 2 3 2 3 2" xfId="18305"/>
    <cellStyle name="Normal 19 4 2 3 2 4" xfId="18306"/>
    <cellStyle name="Normal 19 4 2 3 3" xfId="18307"/>
    <cellStyle name="Normal 19 4 2 3 3 2" xfId="18308"/>
    <cellStyle name="Normal 19 4 2 3 3 2 2" xfId="18309"/>
    <cellStyle name="Normal 19 4 2 3 3 2 2 2" xfId="18310"/>
    <cellStyle name="Normal 19 4 2 3 3 2 3" xfId="18311"/>
    <cellStyle name="Normal 19 4 2 3 3 3" xfId="18312"/>
    <cellStyle name="Normal 19 4 2 3 3 3 2" xfId="18313"/>
    <cellStyle name="Normal 19 4 2 3 3 4" xfId="18314"/>
    <cellStyle name="Normal 19 4 2 3 4" xfId="18315"/>
    <cellStyle name="Normal 19 4 2 3 4 2" xfId="18316"/>
    <cellStyle name="Normal 19 4 2 3 4 2 2" xfId="18317"/>
    <cellStyle name="Normal 19 4 2 3 4 3" xfId="18318"/>
    <cellStyle name="Normal 19 4 2 3 5" xfId="18319"/>
    <cellStyle name="Normal 19 4 2 3 5 2" xfId="18320"/>
    <cellStyle name="Normal 19 4 2 3 6" xfId="18321"/>
    <cellStyle name="Normal 19 4 2 4" xfId="18322"/>
    <cellStyle name="Normal 19 4 2 4 2" xfId="18323"/>
    <cellStyle name="Normal 19 4 2 4 2 2" xfId="18324"/>
    <cellStyle name="Normal 19 4 2 4 2 2 2" xfId="18325"/>
    <cellStyle name="Normal 19 4 2 4 2 3" xfId="18326"/>
    <cellStyle name="Normal 19 4 2 4 3" xfId="18327"/>
    <cellStyle name="Normal 19 4 2 4 3 2" xfId="18328"/>
    <cellStyle name="Normal 19 4 2 4 4" xfId="18329"/>
    <cellStyle name="Normal 19 4 2 5" xfId="18330"/>
    <cellStyle name="Normal 19 4 2 5 2" xfId="18331"/>
    <cellStyle name="Normal 19 4 2 5 2 2" xfId="18332"/>
    <cellStyle name="Normal 19 4 2 5 2 2 2" xfId="18333"/>
    <cellStyle name="Normal 19 4 2 5 2 3" xfId="18334"/>
    <cellStyle name="Normal 19 4 2 5 3" xfId="18335"/>
    <cellStyle name="Normal 19 4 2 5 3 2" xfId="18336"/>
    <cellStyle name="Normal 19 4 2 5 4" xfId="18337"/>
    <cellStyle name="Normal 19 4 2 6" xfId="18338"/>
    <cellStyle name="Normal 19 4 2 6 2" xfId="18339"/>
    <cellStyle name="Normal 19 4 2 6 2 2" xfId="18340"/>
    <cellStyle name="Normal 19 4 2 6 2 2 2" xfId="18341"/>
    <cellStyle name="Normal 19 4 2 6 2 3" xfId="18342"/>
    <cellStyle name="Normal 19 4 2 6 3" xfId="18343"/>
    <cellStyle name="Normal 19 4 2 6 3 2" xfId="18344"/>
    <cellStyle name="Normal 19 4 2 6 4" xfId="18345"/>
    <cellStyle name="Normal 19 4 2 7" xfId="18346"/>
    <cellStyle name="Normal 19 4 2 7 2" xfId="18347"/>
    <cellStyle name="Normal 19 4 2 7 2 2" xfId="18348"/>
    <cellStyle name="Normal 19 4 2 7 3" xfId="18349"/>
    <cellStyle name="Normal 19 4 2 8" xfId="18350"/>
    <cellStyle name="Normal 19 4 2 8 2" xfId="18351"/>
    <cellStyle name="Normal 19 4 2 9" xfId="18352"/>
    <cellStyle name="Normal 19 4 3" xfId="18353"/>
    <cellStyle name="Normal 19 4 3 2" xfId="18354"/>
    <cellStyle name="Normal 19 4 3 2 2" xfId="18355"/>
    <cellStyle name="Normal 19 4 3 2 2 2" xfId="18356"/>
    <cellStyle name="Normal 19 4 3 2 2 2 2" xfId="18357"/>
    <cellStyle name="Normal 19 4 3 2 2 2 2 2" xfId="18358"/>
    <cellStyle name="Normal 19 4 3 2 2 2 3" xfId="18359"/>
    <cellStyle name="Normal 19 4 3 2 2 3" xfId="18360"/>
    <cellStyle name="Normal 19 4 3 2 2 3 2" xfId="18361"/>
    <cellStyle name="Normal 19 4 3 2 2 4" xfId="18362"/>
    <cellStyle name="Normal 19 4 3 2 3" xfId="18363"/>
    <cellStyle name="Normal 19 4 3 2 3 2" xfId="18364"/>
    <cellStyle name="Normal 19 4 3 2 3 2 2" xfId="18365"/>
    <cellStyle name="Normal 19 4 3 2 3 2 2 2" xfId="18366"/>
    <cellStyle name="Normal 19 4 3 2 3 2 3" xfId="18367"/>
    <cellStyle name="Normal 19 4 3 2 3 3" xfId="18368"/>
    <cellStyle name="Normal 19 4 3 2 3 3 2" xfId="18369"/>
    <cellStyle name="Normal 19 4 3 2 3 4" xfId="18370"/>
    <cellStyle name="Normal 19 4 3 2 4" xfId="18371"/>
    <cellStyle name="Normal 19 4 3 2 4 2" xfId="18372"/>
    <cellStyle name="Normal 19 4 3 2 4 2 2" xfId="18373"/>
    <cellStyle name="Normal 19 4 3 2 4 3" xfId="18374"/>
    <cellStyle name="Normal 19 4 3 2 5" xfId="18375"/>
    <cellStyle name="Normal 19 4 3 2 5 2" xfId="18376"/>
    <cellStyle name="Normal 19 4 3 2 6" xfId="18377"/>
    <cellStyle name="Normal 19 4 3 3" xfId="18378"/>
    <cellStyle name="Normal 19 4 3 3 2" xfId="18379"/>
    <cellStyle name="Normal 19 4 3 3 2 2" xfId="18380"/>
    <cellStyle name="Normal 19 4 3 3 2 2 2" xfId="18381"/>
    <cellStyle name="Normal 19 4 3 3 2 3" xfId="18382"/>
    <cellStyle name="Normal 19 4 3 3 3" xfId="18383"/>
    <cellStyle name="Normal 19 4 3 3 3 2" xfId="18384"/>
    <cellStyle name="Normal 19 4 3 3 4" xfId="18385"/>
    <cellStyle name="Normal 19 4 3 4" xfId="18386"/>
    <cellStyle name="Normal 19 4 3 4 2" xfId="18387"/>
    <cellStyle name="Normal 19 4 3 4 2 2" xfId="18388"/>
    <cellStyle name="Normal 19 4 3 4 2 2 2" xfId="18389"/>
    <cellStyle name="Normal 19 4 3 4 2 3" xfId="18390"/>
    <cellStyle name="Normal 19 4 3 4 3" xfId="18391"/>
    <cellStyle name="Normal 19 4 3 4 3 2" xfId="18392"/>
    <cellStyle name="Normal 19 4 3 4 4" xfId="18393"/>
    <cellStyle name="Normal 19 4 3 5" xfId="18394"/>
    <cellStyle name="Normal 19 4 3 5 2" xfId="18395"/>
    <cellStyle name="Normal 19 4 3 5 2 2" xfId="18396"/>
    <cellStyle name="Normal 19 4 3 5 3" xfId="18397"/>
    <cellStyle name="Normal 19 4 3 6" xfId="18398"/>
    <cellStyle name="Normal 19 4 3 6 2" xfId="18399"/>
    <cellStyle name="Normal 19 4 3 7" xfId="18400"/>
    <cellStyle name="Normal 19 4 4" xfId="18401"/>
    <cellStyle name="Normal 19 4 4 2" xfId="18402"/>
    <cellStyle name="Normal 19 4 4 2 2" xfId="18403"/>
    <cellStyle name="Normal 19 4 4 2 2 2" xfId="18404"/>
    <cellStyle name="Normal 19 4 4 2 2 2 2" xfId="18405"/>
    <cellStyle name="Normal 19 4 4 2 2 3" xfId="18406"/>
    <cellStyle name="Normal 19 4 4 2 3" xfId="18407"/>
    <cellStyle name="Normal 19 4 4 2 3 2" xfId="18408"/>
    <cellStyle name="Normal 19 4 4 2 4" xfId="18409"/>
    <cellStyle name="Normal 19 4 4 3" xfId="18410"/>
    <cellStyle name="Normal 19 4 4 3 2" xfId="18411"/>
    <cellStyle name="Normal 19 4 4 3 2 2" xfId="18412"/>
    <cellStyle name="Normal 19 4 4 3 2 2 2" xfId="18413"/>
    <cellStyle name="Normal 19 4 4 3 2 3" xfId="18414"/>
    <cellStyle name="Normal 19 4 4 3 3" xfId="18415"/>
    <cellStyle name="Normal 19 4 4 3 3 2" xfId="18416"/>
    <cellStyle name="Normal 19 4 4 3 4" xfId="18417"/>
    <cellStyle name="Normal 19 4 4 4" xfId="18418"/>
    <cellStyle name="Normal 19 4 4 4 2" xfId="18419"/>
    <cellStyle name="Normal 19 4 4 4 2 2" xfId="18420"/>
    <cellStyle name="Normal 19 4 4 4 3" xfId="18421"/>
    <cellStyle name="Normal 19 4 4 5" xfId="18422"/>
    <cellStyle name="Normal 19 4 4 5 2" xfId="18423"/>
    <cellStyle name="Normal 19 4 4 6" xfId="18424"/>
    <cellStyle name="Normal 19 4 5" xfId="18425"/>
    <cellStyle name="Normal 19 4 5 2" xfId="18426"/>
    <cellStyle name="Normal 19 4 5 2 2" xfId="18427"/>
    <cellStyle name="Normal 19 4 5 2 2 2" xfId="18428"/>
    <cellStyle name="Normal 19 4 5 2 3" xfId="18429"/>
    <cellStyle name="Normal 19 4 5 3" xfId="18430"/>
    <cellStyle name="Normal 19 4 5 3 2" xfId="18431"/>
    <cellStyle name="Normal 19 4 5 4" xfId="18432"/>
    <cellStyle name="Normal 19 4 6" xfId="18433"/>
    <cellStyle name="Normal 19 4 6 2" xfId="18434"/>
    <cellStyle name="Normal 19 4 6 2 2" xfId="18435"/>
    <cellStyle name="Normal 19 4 6 2 2 2" xfId="18436"/>
    <cellStyle name="Normal 19 4 6 2 3" xfId="18437"/>
    <cellStyle name="Normal 19 4 6 3" xfId="18438"/>
    <cellStyle name="Normal 19 4 6 3 2" xfId="18439"/>
    <cellStyle name="Normal 19 4 6 4" xfId="18440"/>
    <cellStyle name="Normal 19 4 7" xfId="18441"/>
    <cellStyle name="Normal 19 4 7 2" xfId="18442"/>
    <cellStyle name="Normal 19 4 7 2 2" xfId="18443"/>
    <cellStyle name="Normal 19 4 7 2 2 2" xfId="18444"/>
    <cellStyle name="Normal 19 4 7 2 3" xfId="18445"/>
    <cellStyle name="Normal 19 4 7 3" xfId="18446"/>
    <cellStyle name="Normal 19 4 7 3 2" xfId="18447"/>
    <cellStyle name="Normal 19 4 7 4" xfId="18448"/>
    <cellStyle name="Normal 19 4 8" xfId="18449"/>
    <cellStyle name="Normal 19 4 8 2" xfId="18450"/>
    <cellStyle name="Normal 19 4 8 2 2" xfId="18451"/>
    <cellStyle name="Normal 19 4 8 3" xfId="18452"/>
    <cellStyle name="Normal 19 4 9" xfId="18453"/>
    <cellStyle name="Normal 19 4 9 2" xfId="18454"/>
    <cellStyle name="Normal 19 5" xfId="18455"/>
    <cellStyle name="Normal 19 5 10" xfId="18456"/>
    <cellStyle name="Normal 19 5 2" xfId="18457"/>
    <cellStyle name="Normal 19 5 2 2" xfId="18458"/>
    <cellStyle name="Normal 19 5 2 2 2" xfId="18459"/>
    <cellStyle name="Normal 19 5 2 2 2 2" xfId="18460"/>
    <cellStyle name="Normal 19 5 2 2 2 2 2" xfId="18461"/>
    <cellStyle name="Normal 19 5 2 2 2 2 2 2" xfId="18462"/>
    <cellStyle name="Normal 19 5 2 2 2 2 2 2 2" xfId="18463"/>
    <cellStyle name="Normal 19 5 2 2 2 2 2 3" xfId="18464"/>
    <cellStyle name="Normal 19 5 2 2 2 2 3" xfId="18465"/>
    <cellStyle name="Normal 19 5 2 2 2 2 3 2" xfId="18466"/>
    <cellStyle name="Normal 19 5 2 2 2 2 4" xfId="18467"/>
    <cellStyle name="Normal 19 5 2 2 2 3" xfId="18468"/>
    <cellStyle name="Normal 19 5 2 2 2 3 2" xfId="18469"/>
    <cellStyle name="Normal 19 5 2 2 2 3 2 2" xfId="18470"/>
    <cellStyle name="Normal 19 5 2 2 2 3 2 2 2" xfId="18471"/>
    <cellStyle name="Normal 19 5 2 2 2 3 2 3" xfId="18472"/>
    <cellStyle name="Normal 19 5 2 2 2 3 3" xfId="18473"/>
    <cellStyle name="Normal 19 5 2 2 2 3 3 2" xfId="18474"/>
    <cellStyle name="Normal 19 5 2 2 2 3 4" xfId="18475"/>
    <cellStyle name="Normal 19 5 2 2 2 4" xfId="18476"/>
    <cellStyle name="Normal 19 5 2 2 2 4 2" xfId="18477"/>
    <cellStyle name="Normal 19 5 2 2 2 4 2 2" xfId="18478"/>
    <cellStyle name="Normal 19 5 2 2 2 4 3" xfId="18479"/>
    <cellStyle name="Normal 19 5 2 2 2 5" xfId="18480"/>
    <cellStyle name="Normal 19 5 2 2 2 5 2" xfId="18481"/>
    <cellStyle name="Normal 19 5 2 2 2 6" xfId="18482"/>
    <cellStyle name="Normal 19 5 2 2 3" xfId="18483"/>
    <cellStyle name="Normal 19 5 2 2 3 2" xfId="18484"/>
    <cellStyle name="Normal 19 5 2 2 3 2 2" xfId="18485"/>
    <cellStyle name="Normal 19 5 2 2 3 2 2 2" xfId="18486"/>
    <cellStyle name="Normal 19 5 2 2 3 2 3" xfId="18487"/>
    <cellStyle name="Normal 19 5 2 2 3 3" xfId="18488"/>
    <cellStyle name="Normal 19 5 2 2 3 3 2" xfId="18489"/>
    <cellStyle name="Normal 19 5 2 2 3 4" xfId="18490"/>
    <cellStyle name="Normal 19 5 2 2 4" xfId="18491"/>
    <cellStyle name="Normal 19 5 2 2 4 2" xfId="18492"/>
    <cellStyle name="Normal 19 5 2 2 4 2 2" xfId="18493"/>
    <cellStyle name="Normal 19 5 2 2 4 2 2 2" xfId="18494"/>
    <cellStyle name="Normal 19 5 2 2 4 2 3" xfId="18495"/>
    <cellStyle name="Normal 19 5 2 2 4 3" xfId="18496"/>
    <cellStyle name="Normal 19 5 2 2 4 3 2" xfId="18497"/>
    <cellStyle name="Normal 19 5 2 2 4 4" xfId="18498"/>
    <cellStyle name="Normal 19 5 2 2 5" xfId="18499"/>
    <cellStyle name="Normal 19 5 2 2 5 2" xfId="18500"/>
    <cellStyle name="Normal 19 5 2 2 5 2 2" xfId="18501"/>
    <cellStyle name="Normal 19 5 2 2 5 3" xfId="18502"/>
    <cellStyle name="Normal 19 5 2 2 6" xfId="18503"/>
    <cellStyle name="Normal 19 5 2 2 6 2" xfId="18504"/>
    <cellStyle name="Normal 19 5 2 2 7" xfId="18505"/>
    <cellStyle name="Normal 19 5 2 3" xfId="18506"/>
    <cellStyle name="Normal 19 5 2 3 2" xfId="18507"/>
    <cellStyle name="Normal 19 5 2 3 2 2" xfId="18508"/>
    <cellStyle name="Normal 19 5 2 3 2 2 2" xfId="18509"/>
    <cellStyle name="Normal 19 5 2 3 2 2 2 2" xfId="18510"/>
    <cellStyle name="Normal 19 5 2 3 2 2 3" xfId="18511"/>
    <cellStyle name="Normal 19 5 2 3 2 3" xfId="18512"/>
    <cellStyle name="Normal 19 5 2 3 2 3 2" xfId="18513"/>
    <cellStyle name="Normal 19 5 2 3 2 4" xfId="18514"/>
    <cellStyle name="Normal 19 5 2 3 3" xfId="18515"/>
    <cellStyle name="Normal 19 5 2 3 3 2" xfId="18516"/>
    <cellStyle name="Normal 19 5 2 3 3 2 2" xfId="18517"/>
    <cellStyle name="Normal 19 5 2 3 3 2 2 2" xfId="18518"/>
    <cellStyle name="Normal 19 5 2 3 3 2 3" xfId="18519"/>
    <cellStyle name="Normal 19 5 2 3 3 3" xfId="18520"/>
    <cellStyle name="Normal 19 5 2 3 3 3 2" xfId="18521"/>
    <cellStyle name="Normal 19 5 2 3 3 4" xfId="18522"/>
    <cellStyle name="Normal 19 5 2 3 4" xfId="18523"/>
    <cellStyle name="Normal 19 5 2 3 4 2" xfId="18524"/>
    <cellStyle name="Normal 19 5 2 3 4 2 2" xfId="18525"/>
    <cellStyle name="Normal 19 5 2 3 4 3" xfId="18526"/>
    <cellStyle name="Normal 19 5 2 3 5" xfId="18527"/>
    <cellStyle name="Normal 19 5 2 3 5 2" xfId="18528"/>
    <cellStyle name="Normal 19 5 2 3 6" xfId="18529"/>
    <cellStyle name="Normal 19 5 2 4" xfId="18530"/>
    <cellStyle name="Normal 19 5 2 4 2" xfId="18531"/>
    <cellStyle name="Normal 19 5 2 4 2 2" xfId="18532"/>
    <cellStyle name="Normal 19 5 2 4 2 2 2" xfId="18533"/>
    <cellStyle name="Normal 19 5 2 4 2 3" xfId="18534"/>
    <cellStyle name="Normal 19 5 2 4 3" xfId="18535"/>
    <cellStyle name="Normal 19 5 2 4 3 2" xfId="18536"/>
    <cellStyle name="Normal 19 5 2 4 4" xfId="18537"/>
    <cellStyle name="Normal 19 5 2 5" xfId="18538"/>
    <cellStyle name="Normal 19 5 2 5 2" xfId="18539"/>
    <cellStyle name="Normal 19 5 2 5 2 2" xfId="18540"/>
    <cellStyle name="Normal 19 5 2 5 2 2 2" xfId="18541"/>
    <cellStyle name="Normal 19 5 2 5 2 3" xfId="18542"/>
    <cellStyle name="Normal 19 5 2 5 3" xfId="18543"/>
    <cellStyle name="Normal 19 5 2 5 3 2" xfId="18544"/>
    <cellStyle name="Normal 19 5 2 5 4" xfId="18545"/>
    <cellStyle name="Normal 19 5 2 6" xfId="18546"/>
    <cellStyle name="Normal 19 5 2 6 2" xfId="18547"/>
    <cellStyle name="Normal 19 5 2 6 2 2" xfId="18548"/>
    <cellStyle name="Normal 19 5 2 6 2 2 2" xfId="18549"/>
    <cellStyle name="Normal 19 5 2 6 2 3" xfId="18550"/>
    <cellStyle name="Normal 19 5 2 6 3" xfId="18551"/>
    <cellStyle name="Normal 19 5 2 6 3 2" xfId="18552"/>
    <cellStyle name="Normal 19 5 2 6 4" xfId="18553"/>
    <cellStyle name="Normal 19 5 2 7" xfId="18554"/>
    <cellStyle name="Normal 19 5 2 7 2" xfId="18555"/>
    <cellStyle name="Normal 19 5 2 7 2 2" xfId="18556"/>
    <cellStyle name="Normal 19 5 2 7 3" xfId="18557"/>
    <cellStyle name="Normal 19 5 2 8" xfId="18558"/>
    <cellStyle name="Normal 19 5 2 8 2" xfId="18559"/>
    <cellStyle name="Normal 19 5 2 9" xfId="18560"/>
    <cellStyle name="Normal 19 5 3" xfId="18561"/>
    <cellStyle name="Normal 19 5 3 2" xfId="18562"/>
    <cellStyle name="Normal 19 5 3 2 2" xfId="18563"/>
    <cellStyle name="Normal 19 5 3 2 2 2" xfId="18564"/>
    <cellStyle name="Normal 19 5 3 2 2 2 2" xfId="18565"/>
    <cellStyle name="Normal 19 5 3 2 2 2 2 2" xfId="18566"/>
    <cellStyle name="Normal 19 5 3 2 2 2 3" xfId="18567"/>
    <cellStyle name="Normal 19 5 3 2 2 3" xfId="18568"/>
    <cellStyle name="Normal 19 5 3 2 2 3 2" xfId="18569"/>
    <cellStyle name="Normal 19 5 3 2 2 4" xfId="18570"/>
    <cellStyle name="Normal 19 5 3 2 3" xfId="18571"/>
    <cellStyle name="Normal 19 5 3 2 3 2" xfId="18572"/>
    <cellStyle name="Normal 19 5 3 2 3 2 2" xfId="18573"/>
    <cellStyle name="Normal 19 5 3 2 3 2 2 2" xfId="18574"/>
    <cellStyle name="Normal 19 5 3 2 3 2 3" xfId="18575"/>
    <cellStyle name="Normal 19 5 3 2 3 3" xfId="18576"/>
    <cellStyle name="Normal 19 5 3 2 3 3 2" xfId="18577"/>
    <cellStyle name="Normal 19 5 3 2 3 4" xfId="18578"/>
    <cellStyle name="Normal 19 5 3 2 4" xfId="18579"/>
    <cellStyle name="Normal 19 5 3 2 4 2" xfId="18580"/>
    <cellStyle name="Normal 19 5 3 2 4 2 2" xfId="18581"/>
    <cellStyle name="Normal 19 5 3 2 4 3" xfId="18582"/>
    <cellStyle name="Normal 19 5 3 2 5" xfId="18583"/>
    <cellStyle name="Normal 19 5 3 2 5 2" xfId="18584"/>
    <cellStyle name="Normal 19 5 3 2 6" xfId="18585"/>
    <cellStyle name="Normal 19 5 3 3" xfId="18586"/>
    <cellStyle name="Normal 19 5 3 3 2" xfId="18587"/>
    <cellStyle name="Normal 19 5 3 3 2 2" xfId="18588"/>
    <cellStyle name="Normal 19 5 3 3 2 2 2" xfId="18589"/>
    <cellStyle name="Normal 19 5 3 3 2 3" xfId="18590"/>
    <cellStyle name="Normal 19 5 3 3 3" xfId="18591"/>
    <cellStyle name="Normal 19 5 3 3 3 2" xfId="18592"/>
    <cellStyle name="Normal 19 5 3 3 4" xfId="18593"/>
    <cellStyle name="Normal 19 5 3 4" xfId="18594"/>
    <cellStyle name="Normal 19 5 3 4 2" xfId="18595"/>
    <cellStyle name="Normal 19 5 3 4 2 2" xfId="18596"/>
    <cellStyle name="Normal 19 5 3 4 2 2 2" xfId="18597"/>
    <cellStyle name="Normal 19 5 3 4 2 3" xfId="18598"/>
    <cellStyle name="Normal 19 5 3 4 3" xfId="18599"/>
    <cellStyle name="Normal 19 5 3 4 3 2" xfId="18600"/>
    <cellStyle name="Normal 19 5 3 4 4" xfId="18601"/>
    <cellStyle name="Normal 19 5 3 5" xfId="18602"/>
    <cellStyle name="Normal 19 5 3 5 2" xfId="18603"/>
    <cellStyle name="Normal 19 5 3 5 2 2" xfId="18604"/>
    <cellStyle name="Normal 19 5 3 5 3" xfId="18605"/>
    <cellStyle name="Normal 19 5 3 6" xfId="18606"/>
    <cellStyle name="Normal 19 5 3 6 2" xfId="18607"/>
    <cellStyle name="Normal 19 5 3 7" xfId="18608"/>
    <cellStyle name="Normal 19 5 4" xfId="18609"/>
    <cellStyle name="Normal 19 5 4 2" xfId="18610"/>
    <cellStyle name="Normal 19 5 4 2 2" xfId="18611"/>
    <cellStyle name="Normal 19 5 4 2 2 2" xfId="18612"/>
    <cellStyle name="Normal 19 5 4 2 2 2 2" xfId="18613"/>
    <cellStyle name="Normal 19 5 4 2 2 3" xfId="18614"/>
    <cellStyle name="Normal 19 5 4 2 3" xfId="18615"/>
    <cellStyle name="Normal 19 5 4 2 3 2" xfId="18616"/>
    <cellStyle name="Normal 19 5 4 2 4" xfId="18617"/>
    <cellStyle name="Normal 19 5 4 3" xfId="18618"/>
    <cellStyle name="Normal 19 5 4 3 2" xfId="18619"/>
    <cellStyle name="Normal 19 5 4 3 2 2" xfId="18620"/>
    <cellStyle name="Normal 19 5 4 3 2 2 2" xfId="18621"/>
    <cellStyle name="Normal 19 5 4 3 2 3" xfId="18622"/>
    <cellStyle name="Normal 19 5 4 3 3" xfId="18623"/>
    <cellStyle name="Normal 19 5 4 3 3 2" xfId="18624"/>
    <cellStyle name="Normal 19 5 4 3 4" xfId="18625"/>
    <cellStyle name="Normal 19 5 4 4" xfId="18626"/>
    <cellStyle name="Normal 19 5 4 4 2" xfId="18627"/>
    <cellStyle name="Normal 19 5 4 4 2 2" xfId="18628"/>
    <cellStyle name="Normal 19 5 4 4 3" xfId="18629"/>
    <cellStyle name="Normal 19 5 4 5" xfId="18630"/>
    <cellStyle name="Normal 19 5 4 5 2" xfId="18631"/>
    <cellStyle name="Normal 19 5 4 6" xfId="18632"/>
    <cellStyle name="Normal 19 5 5" xfId="18633"/>
    <cellStyle name="Normal 19 5 5 2" xfId="18634"/>
    <cellStyle name="Normal 19 5 5 2 2" xfId="18635"/>
    <cellStyle name="Normal 19 5 5 2 2 2" xfId="18636"/>
    <cellStyle name="Normal 19 5 5 2 3" xfId="18637"/>
    <cellStyle name="Normal 19 5 5 3" xfId="18638"/>
    <cellStyle name="Normal 19 5 5 3 2" xfId="18639"/>
    <cellStyle name="Normal 19 5 5 4" xfId="18640"/>
    <cellStyle name="Normal 19 5 6" xfId="18641"/>
    <cellStyle name="Normal 19 5 6 2" xfId="18642"/>
    <cellStyle name="Normal 19 5 6 2 2" xfId="18643"/>
    <cellStyle name="Normal 19 5 6 2 2 2" xfId="18644"/>
    <cellStyle name="Normal 19 5 6 2 3" xfId="18645"/>
    <cellStyle name="Normal 19 5 6 3" xfId="18646"/>
    <cellStyle name="Normal 19 5 6 3 2" xfId="18647"/>
    <cellStyle name="Normal 19 5 6 4" xfId="18648"/>
    <cellStyle name="Normal 19 5 7" xfId="18649"/>
    <cellStyle name="Normal 19 5 7 2" xfId="18650"/>
    <cellStyle name="Normal 19 5 7 2 2" xfId="18651"/>
    <cellStyle name="Normal 19 5 7 2 2 2" xfId="18652"/>
    <cellStyle name="Normal 19 5 7 2 3" xfId="18653"/>
    <cellStyle name="Normal 19 5 7 3" xfId="18654"/>
    <cellStyle name="Normal 19 5 7 3 2" xfId="18655"/>
    <cellStyle name="Normal 19 5 7 4" xfId="18656"/>
    <cellStyle name="Normal 19 5 8" xfId="18657"/>
    <cellStyle name="Normal 19 5 8 2" xfId="18658"/>
    <cellStyle name="Normal 19 5 8 2 2" xfId="18659"/>
    <cellStyle name="Normal 19 5 8 3" xfId="18660"/>
    <cellStyle name="Normal 19 5 9" xfId="18661"/>
    <cellStyle name="Normal 19 5 9 2" xfId="18662"/>
    <cellStyle name="Normal 19 6" xfId="18663"/>
    <cellStyle name="Normal 19 6 2" xfId="18664"/>
    <cellStyle name="Normal 19 6 2 2" xfId="18665"/>
    <cellStyle name="Normal 19 6 2 2 2" xfId="18666"/>
    <cellStyle name="Normal 19 6 2 2 2 2" xfId="18667"/>
    <cellStyle name="Normal 19 6 2 2 2 2 2" xfId="18668"/>
    <cellStyle name="Normal 19 6 2 2 2 2 2 2" xfId="18669"/>
    <cellStyle name="Normal 19 6 2 2 2 2 3" xfId="18670"/>
    <cellStyle name="Normal 19 6 2 2 2 3" xfId="18671"/>
    <cellStyle name="Normal 19 6 2 2 2 3 2" xfId="18672"/>
    <cellStyle name="Normal 19 6 2 2 2 4" xfId="18673"/>
    <cellStyle name="Normal 19 6 2 2 3" xfId="18674"/>
    <cellStyle name="Normal 19 6 2 2 3 2" xfId="18675"/>
    <cellStyle name="Normal 19 6 2 2 3 2 2" xfId="18676"/>
    <cellStyle name="Normal 19 6 2 2 3 2 2 2" xfId="18677"/>
    <cellStyle name="Normal 19 6 2 2 3 2 3" xfId="18678"/>
    <cellStyle name="Normal 19 6 2 2 3 3" xfId="18679"/>
    <cellStyle name="Normal 19 6 2 2 3 3 2" xfId="18680"/>
    <cellStyle name="Normal 19 6 2 2 3 4" xfId="18681"/>
    <cellStyle name="Normal 19 6 2 2 4" xfId="18682"/>
    <cellStyle name="Normal 19 6 2 2 4 2" xfId="18683"/>
    <cellStyle name="Normal 19 6 2 2 4 2 2" xfId="18684"/>
    <cellStyle name="Normal 19 6 2 2 4 3" xfId="18685"/>
    <cellStyle name="Normal 19 6 2 2 5" xfId="18686"/>
    <cellStyle name="Normal 19 6 2 2 5 2" xfId="18687"/>
    <cellStyle name="Normal 19 6 2 2 6" xfId="18688"/>
    <cellStyle name="Normal 19 6 2 3" xfId="18689"/>
    <cellStyle name="Normal 19 6 2 3 2" xfId="18690"/>
    <cellStyle name="Normal 19 6 2 3 2 2" xfId="18691"/>
    <cellStyle name="Normal 19 6 2 3 2 2 2" xfId="18692"/>
    <cellStyle name="Normal 19 6 2 3 2 3" xfId="18693"/>
    <cellStyle name="Normal 19 6 2 3 3" xfId="18694"/>
    <cellStyle name="Normal 19 6 2 3 3 2" xfId="18695"/>
    <cellStyle name="Normal 19 6 2 3 4" xfId="18696"/>
    <cellStyle name="Normal 19 6 2 4" xfId="18697"/>
    <cellStyle name="Normal 19 6 2 4 2" xfId="18698"/>
    <cellStyle name="Normal 19 6 2 4 2 2" xfId="18699"/>
    <cellStyle name="Normal 19 6 2 4 2 2 2" xfId="18700"/>
    <cellStyle name="Normal 19 6 2 4 2 3" xfId="18701"/>
    <cellStyle name="Normal 19 6 2 4 3" xfId="18702"/>
    <cellStyle name="Normal 19 6 2 4 3 2" xfId="18703"/>
    <cellStyle name="Normal 19 6 2 4 4" xfId="18704"/>
    <cellStyle name="Normal 19 6 2 5" xfId="18705"/>
    <cellStyle name="Normal 19 6 2 5 2" xfId="18706"/>
    <cellStyle name="Normal 19 6 2 5 2 2" xfId="18707"/>
    <cellStyle name="Normal 19 6 2 5 3" xfId="18708"/>
    <cellStyle name="Normal 19 6 2 6" xfId="18709"/>
    <cellStyle name="Normal 19 6 2 6 2" xfId="18710"/>
    <cellStyle name="Normal 19 6 2 7" xfId="18711"/>
    <cellStyle name="Normal 19 6 3" xfId="18712"/>
    <cellStyle name="Normal 19 6 3 2" xfId="18713"/>
    <cellStyle name="Normal 19 6 3 2 2" xfId="18714"/>
    <cellStyle name="Normal 19 6 3 2 2 2" xfId="18715"/>
    <cellStyle name="Normal 19 6 3 2 2 2 2" xfId="18716"/>
    <cellStyle name="Normal 19 6 3 2 2 3" xfId="18717"/>
    <cellStyle name="Normal 19 6 3 2 3" xfId="18718"/>
    <cellStyle name="Normal 19 6 3 2 3 2" xfId="18719"/>
    <cellStyle name="Normal 19 6 3 2 4" xfId="18720"/>
    <cellStyle name="Normal 19 6 3 3" xfId="18721"/>
    <cellStyle name="Normal 19 6 3 3 2" xfId="18722"/>
    <cellStyle name="Normal 19 6 3 3 2 2" xfId="18723"/>
    <cellStyle name="Normal 19 6 3 3 2 2 2" xfId="18724"/>
    <cellStyle name="Normal 19 6 3 3 2 3" xfId="18725"/>
    <cellStyle name="Normal 19 6 3 3 3" xfId="18726"/>
    <cellStyle name="Normal 19 6 3 3 3 2" xfId="18727"/>
    <cellStyle name="Normal 19 6 3 3 4" xfId="18728"/>
    <cellStyle name="Normal 19 6 3 4" xfId="18729"/>
    <cellStyle name="Normal 19 6 3 4 2" xfId="18730"/>
    <cellStyle name="Normal 19 6 3 4 2 2" xfId="18731"/>
    <cellStyle name="Normal 19 6 3 4 3" xfId="18732"/>
    <cellStyle name="Normal 19 6 3 5" xfId="18733"/>
    <cellStyle name="Normal 19 6 3 5 2" xfId="18734"/>
    <cellStyle name="Normal 19 6 3 6" xfId="18735"/>
    <cellStyle name="Normal 19 6 4" xfId="18736"/>
    <cellStyle name="Normal 19 6 4 2" xfId="18737"/>
    <cellStyle name="Normal 19 6 4 2 2" xfId="18738"/>
    <cellStyle name="Normal 19 6 4 2 2 2" xfId="18739"/>
    <cellStyle name="Normal 19 6 4 2 3" xfId="18740"/>
    <cellStyle name="Normal 19 6 4 3" xfId="18741"/>
    <cellStyle name="Normal 19 6 4 3 2" xfId="18742"/>
    <cellStyle name="Normal 19 6 4 4" xfId="18743"/>
    <cellStyle name="Normal 19 6 5" xfId="18744"/>
    <cellStyle name="Normal 19 6 5 2" xfId="18745"/>
    <cellStyle name="Normal 19 6 5 2 2" xfId="18746"/>
    <cellStyle name="Normal 19 6 5 2 2 2" xfId="18747"/>
    <cellStyle name="Normal 19 6 5 2 3" xfId="18748"/>
    <cellStyle name="Normal 19 6 5 3" xfId="18749"/>
    <cellStyle name="Normal 19 6 5 3 2" xfId="18750"/>
    <cellStyle name="Normal 19 6 5 4" xfId="18751"/>
    <cellStyle name="Normal 19 6 6" xfId="18752"/>
    <cellStyle name="Normal 19 6 6 2" xfId="18753"/>
    <cellStyle name="Normal 19 6 6 2 2" xfId="18754"/>
    <cellStyle name="Normal 19 6 6 2 2 2" xfId="18755"/>
    <cellStyle name="Normal 19 6 6 2 3" xfId="18756"/>
    <cellStyle name="Normal 19 6 6 3" xfId="18757"/>
    <cellStyle name="Normal 19 6 6 3 2" xfId="18758"/>
    <cellStyle name="Normal 19 6 6 4" xfId="18759"/>
    <cellStyle name="Normal 19 6 7" xfId="18760"/>
    <cellStyle name="Normal 19 6 7 2" xfId="18761"/>
    <cellStyle name="Normal 19 6 7 2 2" xfId="18762"/>
    <cellStyle name="Normal 19 6 7 3" xfId="18763"/>
    <cellStyle name="Normal 19 6 8" xfId="18764"/>
    <cellStyle name="Normal 19 6 8 2" xfId="18765"/>
    <cellStyle name="Normal 19 6 9" xfId="18766"/>
    <cellStyle name="Normal 19 7" xfId="18767"/>
    <cellStyle name="Normal 19 7 2" xfId="18768"/>
    <cellStyle name="Normal 19 7 2 2" xfId="18769"/>
    <cellStyle name="Normal 19 7 2 2 2" xfId="18770"/>
    <cellStyle name="Normal 19 7 2 2 2 2" xfId="18771"/>
    <cellStyle name="Normal 19 7 2 2 2 2 2" xfId="18772"/>
    <cellStyle name="Normal 19 7 2 2 2 3" xfId="18773"/>
    <cellStyle name="Normal 19 7 2 2 3" xfId="18774"/>
    <cellStyle name="Normal 19 7 2 2 3 2" xfId="18775"/>
    <cellStyle name="Normal 19 7 2 2 4" xfId="18776"/>
    <cellStyle name="Normal 19 7 2 3" xfId="18777"/>
    <cellStyle name="Normal 19 7 2 3 2" xfId="18778"/>
    <cellStyle name="Normal 19 7 2 3 2 2" xfId="18779"/>
    <cellStyle name="Normal 19 7 2 3 2 2 2" xfId="18780"/>
    <cellStyle name="Normal 19 7 2 3 2 3" xfId="18781"/>
    <cellStyle name="Normal 19 7 2 3 3" xfId="18782"/>
    <cellStyle name="Normal 19 7 2 3 3 2" xfId="18783"/>
    <cellStyle name="Normal 19 7 2 3 4" xfId="18784"/>
    <cellStyle name="Normal 19 7 2 4" xfId="18785"/>
    <cellStyle name="Normal 19 7 2 4 2" xfId="18786"/>
    <cellStyle name="Normal 19 7 2 4 2 2" xfId="18787"/>
    <cellStyle name="Normal 19 7 2 4 3" xfId="18788"/>
    <cellStyle name="Normal 19 7 2 5" xfId="18789"/>
    <cellStyle name="Normal 19 7 2 5 2" xfId="18790"/>
    <cellStyle name="Normal 19 7 2 6" xfId="18791"/>
    <cellStyle name="Normal 19 7 3" xfId="18792"/>
    <cellStyle name="Normal 19 7 3 2" xfId="18793"/>
    <cellStyle name="Normal 19 7 3 2 2" xfId="18794"/>
    <cellStyle name="Normal 19 7 3 2 2 2" xfId="18795"/>
    <cellStyle name="Normal 19 7 3 2 3" xfId="18796"/>
    <cellStyle name="Normal 19 7 3 3" xfId="18797"/>
    <cellStyle name="Normal 19 7 3 3 2" xfId="18798"/>
    <cellStyle name="Normal 19 7 3 4" xfId="18799"/>
    <cellStyle name="Normal 19 7 4" xfId="18800"/>
    <cellStyle name="Normal 19 7 4 2" xfId="18801"/>
    <cellStyle name="Normal 19 7 4 2 2" xfId="18802"/>
    <cellStyle name="Normal 19 7 4 2 2 2" xfId="18803"/>
    <cellStyle name="Normal 19 7 4 2 3" xfId="18804"/>
    <cellStyle name="Normal 19 7 4 3" xfId="18805"/>
    <cellStyle name="Normal 19 7 4 3 2" xfId="18806"/>
    <cellStyle name="Normal 19 7 4 4" xfId="18807"/>
    <cellStyle name="Normal 19 7 5" xfId="18808"/>
    <cellStyle name="Normal 19 7 5 2" xfId="18809"/>
    <cellStyle name="Normal 19 7 5 2 2" xfId="18810"/>
    <cellStyle name="Normal 19 7 5 3" xfId="18811"/>
    <cellStyle name="Normal 19 7 6" xfId="18812"/>
    <cellStyle name="Normal 19 7 6 2" xfId="18813"/>
    <cellStyle name="Normal 19 7 7" xfId="18814"/>
    <cellStyle name="Normal 19 8" xfId="18815"/>
    <cellStyle name="Normal 19 8 2" xfId="18816"/>
    <cellStyle name="Normal 19 8 2 2" xfId="18817"/>
    <cellStyle name="Normal 19 8 2 2 2" xfId="18818"/>
    <cellStyle name="Normal 19 8 2 2 2 2" xfId="18819"/>
    <cellStyle name="Normal 19 8 2 2 3" xfId="18820"/>
    <cellStyle name="Normal 19 8 2 3" xfId="18821"/>
    <cellStyle name="Normal 19 8 2 3 2" xfId="18822"/>
    <cellStyle name="Normal 19 8 2 4" xfId="18823"/>
    <cellStyle name="Normal 19 8 3" xfId="18824"/>
    <cellStyle name="Normal 19 8 3 2" xfId="18825"/>
    <cellStyle name="Normal 19 8 3 2 2" xfId="18826"/>
    <cellStyle name="Normal 19 8 3 2 2 2" xfId="18827"/>
    <cellStyle name="Normal 19 8 3 2 3" xfId="18828"/>
    <cellStyle name="Normal 19 8 3 3" xfId="18829"/>
    <cellStyle name="Normal 19 8 3 3 2" xfId="18830"/>
    <cellStyle name="Normal 19 8 3 4" xfId="18831"/>
    <cellStyle name="Normal 19 8 4" xfId="18832"/>
    <cellStyle name="Normal 19 8 4 2" xfId="18833"/>
    <cellStyle name="Normal 19 8 4 2 2" xfId="18834"/>
    <cellStyle name="Normal 19 8 4 3" xfId="18835"/>
    <cellStyle name="Normal 19 8 5" xfId="18836"/>
    <cellStyle name="Normal 19 8 5 2" xfId="18837"/>
    <cellStyle name="Normal 19 8 6" xfId="18838"/>
    <cellStyle name="Normal 19 9" xfId="18839"/>
    <cellStyle name="Normal 19 9 2" xfId="18840"/>
    <cellStyle name="Normal 19 9 2 2" xfId="18841"/>
    <cellStyle name="Normal 19 9 2 2 2" xfId="18842"/>
    <cellStyle name="Normal 19 9 2 3" xfId="18843"/>
    <cellStyle name="Normal 19 9 3" xfId="18844"/>
    <cellStyle name="Normal 19 9 3 2" xfId="18845"/>
    <cellStyle name="Normal 19 9 4" xfId="18846"/>
    <cellStyle name="Normal 2" xfId="1"/>
    <cellStyle name="Normal 2 19" xfId="18847"/>
    <cellStyle name="Normal 2 2" xfId="18848"/>
    <cellStyle name="Normal 20" xfId="18849"/>
    <cellStyle name="Normal 20 10" xfId="18850"/>
    <cellStyle name="Normal 20 10 2" xfId="18851"/>
    <cellStyle name="Normal 20 10 2 2" xfId="18852"/>
    <cellStyle name="Normal 20 10 2 2 2" xfId="18853"/>
    <cellStyle name="Normal 20 10 2 3" xfId="18854"/>
    <cellStyle name="Normal 20 10 3" xfId="18855"/>
    <cellStyle name="Normal 20 10 3 2" xfId="18856"/>
    <cellStyle name="Normal 20 10 4" xfId="18857"/>
    <cellStyle name="Normal 20 11" xfId="18858"/>
    <cellStyle name="Normal 20 11 2" xfId="18859"/>
    <cellStyle name="Normal 20 11 2 2" xfId="18860"/>
    <cellStyle name="Normal 20 11 2 2 2" xfId="18861"/>
    <cellStyle name="Normal 20 11 2 3" xfId="18862"/>
    <cellStyle name="Normal 20 11 3" xfId="18863"/>
    <cellStyle name="Normal 20 11 3 2" xfId="18864"/>
    <cellStyle name="Normal 20 11 4" xfId="18865"/>
    <cellStyle name="Normal 20 12" xfId="18866"/>
    <cellStyle name="Normal 20 12 2" xfId="18867"/>
    <cellStyle name="Normal 20 12 2 2" xfId="18868"/>
    <cellStyle name="Normal 20 12 2 2 2" xfId="18869"/>
    <cellStyle name="Normal 20 12 2 3" xfId="18870"/>
    <cellStyle name="Normal 20 12 3" xfId="18871"/>
    <cellStyle name="Normal 20 12 3 2" xfId="18872"/>
    <cellStyle name="Normal 20 12 4" xfId="18873"/>
    <cellStyle name="Normal 20 13" xfId="18874"/>
    <cellStyle name="Normal 20 13 2" xfId="18875"/>
    <cellStyle name="Normal 20 13 2 2" xfId="18876"/>
    <cellStyle name="Normal 20 13 3" xfId="18877"/>
    <cellStyle name="Normal 20 14" xfId="18878"/>
    <cellStyle name="Normal 20 14 2" xfId="18879"/>
    <cellStyle name="Normal 20 15" xfId="18880"/>
    <cellStyle name="Normal 20 2" xfId="18881"/>
    <cellStyle name="Normal 20 2 10" xfId="18882"/>
    <cellStyle name="Normal 20 2 10 2" xfId="18883"/>
    <cellStyle name="Normal 20 2 10 2 2" xfId="18884"/>
    <cellStyle name="Normal 20 2 10 2 2 2" xfId="18885"/>
    <cellStyle name="Normal 20 2 10 2 3" xfId="18886"/>
    <cellStyle name="Normal 20 2 10 3" xfId="18887"/>
    <cellStyle name="Normal 20 2 10 3 2" xfId="18888"/>
    <cellStyle name="Normal 20 2 10 4" xfId="18889"/>
    <cellStyle name="Normal 20 2 11" xfId="18890"/>
    <cellStyle name="Normal 20 2 11 2" xfId="18891"/>
    <cellStyle name="Normal 20 2 11 2 2" xfId="18892"/>
    <cellStyle name="Normal 20 2 11 2 2 2" xfId="18893"/>
    <cellStyle name="Normal 20 2 11 2 3" xfId="18894"/>
    <cellStyle name="Normal 20 2 11 3" xfId="18895"/>
    <cellStyle name="Normal 20 2 11 3 2" xfId="18896"/>
    <cellStyle name="Normal 20 2 11 4" xfId="18897"/>
    <cellStyle name="Normal 20 2 12" xfId="18898"/>
    <cellStyle name="Normal 20 2 12 2" xfId="18899"/>
    <cellStyle name="Normal 20 2 12 2 2" xfId="18900"/>
    <cellStyle name="Normal 20 2 12 3" xfId="18901"/>
    <cellStyle name="Normal 20 2 13" xfId="18902"/>
    <cellStyle name="Normal 20 2 13 2" xfId="18903"/>
    <cellStyle name="Normal 20 2 14" xfId="18904"/>
    <cellStyle name="Normal 20 2 2" xfId="18905"/>
    <cellStyle name="Normal 20 2 2 10" xfId="18906"/>
    <cellStyle name="Normal 20 2 2 10 2" xfId="18907"/>
    <cellStyle name="Normal 20 2 2 10 2 2" xfId="18908"/>
    <cellStyle name="Normal 20 2 2 10 2 2 2" xfId="18909"/>
    <cellStyle name="Normal 20 2 2 10 2 3" xfId="18910"/>
    <cellStyle name="Normal 20 2 2 10 3" xfId="18911"/>
    <cellStyle name="Normal 20 2 2 10 3 2" xfId="18912"/>
    <cellStyle name="Normal 20 2 2 10 4" xfId="18913"/>
    <cellStyle name="Normal 20 2 2 11" xfId="18914"/>
    <cellStyle name="Normal 20 2 2 11 2" xfId="18915"/>
    <cellStyle name="Normal 20 2 2 11 2 2" xfId="18916"/>
    <cellStyle name="Normal 20 2 2 11 3" xfId="18917"/>
    <cellStyle name="Normal 20 2 2 12" xfId="18918"/>
    <cellStyle name="Normal 20 2 2 12 2" xfId="18919"/>
    <cellStyle name="Normal 20 2 2 13" xfId="18920"/>
    <cellStyle name="Normal 20 2 2 2" xfId="18921"/>
    <cellStyle name="Normal 20 2 2 2 10" xfId="18922"/>
    <cellStyle name="Normal 20 2 2 2 10 2" xfId="18923"/>
    <cellStyle name="Normal 20 2 2 2 11" xfId="18924"/>
    <cellStyle name="Normal 20 2 2 2 2" xfId="18925"/>
    <cellStyle name="Normal 20 2 2 2 2 10" xfId="18926"/>
    <cellStyle name="Normal 20 2 2 2 2 2" xfId="18927"/>
    <cellStyle name="Normal 20 2 2 2 2 2 2" xfId="18928"/>
    <cellStyle name="Normal 20 2 2 2 2 2 2 2" xfId="18929"/>
    <cellStyle name="Normal 20 2 2 2 2 2 2 2 2" xfId="18930"/>
    <cellStyle name="Normal 20 2 2 2 2 2 2 2 2 2" xfId="18931"/>
    <cellStyle name="Normal 20 2 2 2 2 2 2 2 2 2 2" xfId="18932"/>
    <cellStyle name="Normal 20 2 2 2 2 2 2 2 2 2 2 2" xfId="18933"/>
    <cellStyle name="Normal 20 2 2 2 2 2 2 2 2 2 3" xfId="18934"/>
    <cellStyle name="Normal 20 2 2 2 2 2 2 2 2 3" xfId="18935"/>
    <cellStyle name="Normal 20 2 2 2 2 2 2 2 2 3 2" xfId="18936"/>
    <cellStyle name="Normal 20 2 2 2 2 2 2 2 2 4" xfId="18937"/>
    <cellStyle name="Normal 20 2 2 2 2 2 2 2 3" xfId="18938"/>
    <cellStyle name="Normal 20 2 2 2 2 2 2 2 3 2" xfId="18939"/>
    <cellStyle name="Normal 20 2 2 2 2 2 2 2 3 2 2" xfId="18940"/>
    <cellStyle name="Normal 20 2 2 2 2 2 2 2 3 2 2 2" xfId="18941"/>
    <cellStyle name="Normal 20 2 2 2 2 2 2 2 3 2 3" xfId="18942"/>
    <cellStyle name="Normal 20 2 2 2 2 2 2 2 3 3" xfId="18943"/>
    <cellStyle name="Normal 20 2 2 2 2 2 2 2 3 3 2" xfId="18944"/>
    <cellStyle name="Normal 20 2 2 2 2 2 2 2 3 4" xfId="18945"/>
    <cellStyle name="Normal 20 2 2 2 2 2 2 2 4" xfId="18946"/>
    <cellStyle name="Normal 20 2 2 2 2 2 2 2 4 2" xfId="18947"/>
    <cellStyle name="Normal 20 2 2 2 2 2 2 2 4 2 2" xfId="18948"/>
    <cellStyle name="Normal 20 2 2 2 2 2 2 2 4 3" xfId="18949"/>
    <cellStyle name="Normal 20 2 2 2 2 2 2 2 5" xfId="18950"/>
    <cellStyle name="Normal 20 2 2 2 2 2 2 2 5 2" xfId="18951"/>
    <cellStyle name="Normal 20 2 2 2 2 2 2 2 6" xfId="18952"/>
    <cellStyle name="Normal 20 2 2 2 2 2 2 3" xfId="18953"/>
    <cellStyle name="Normal 20 2 2 2 2 2 2 3 2" xfId="18954"/>
    <cellStyle name="Normal 20 2 2 2 2 2 2 3 2 2" xfId="18955"/>
    <cellStyle name="Normal 20 2 2 2 2 2 2 3 2 2 2" xfId="18956"/>
    <cellStyle name="Normal 20 2 2 2 2 2 2 3 2 3" xfId="18957"/>
    <cellStyle name="Normal 20 2 2 2 2 2 2 3 3" xfId="18958"/>
    <cellStyle name="Normal 20 2 2 2 2 2 2 3 3 2" xfId="18959"/>
    <cellStyle name="Normal 20 2 2 2 2 2 2 3 4" xfId="18960"/>
    <cellStyle name="Normal 20 2 2 2 2 2 2 4" xfId="18961"/>
    <cellStyle name="Normal 20 2 2 2 2 2 2 4 2" xfId="18962"/>
    <cellStyle name="Normal 20 2 2 2 2 2 2 4 2 2" xfId="18963"/>
    <cellStyle name="Normal 20 2 2 2 2 2 2 4 2 2 2" xfId="18964"/>
    <cellStyle name="Normal 20 2 2 2 2 2 2 4 2 3" xfId="18965"/>
    <cellStyle name="Normal 20 2 2 2 2 2 2 4 3" xfId="18966"/>
    <cellStyle name="Normal 20 2 2 2 2 2 2 4 3 2" xfId="18967"/>
    <cellStyle name="Normal 20 2 2 2 2 2 2 4 4" xfId="18968"/>
    <cellStyle name="Normal 20 2 2 2 2 2 2 5" xfId="18969"/>
    <cellStyle name="Normal 20 2 2 2 2 2 2 5 2" xfId="18970"/>
    <cellStyle name="Normal 20 2 2 2 2 2 2 5 2 2" xfId="18971"/>
    <cellStyle name="Normal 20 2 2 2 2 2 2 5 3" xfId="18972"/>
    <cellStyle name="Normal 20 2 2 2 2 2 2 6" xfId="18973"/>
    <cellStyle name="Normal 20 2 2 2 2 2 2 6 2" xfId="18974"/>
    <cellStyle name="Normal 20 2 2 2 2 2 2 7" xfId="18975"/>
    <cellStyle name="Normal 20 2 2 2 2 2 3" xfId="18976"/>
    <cellStyle name="Normal 20 2 2 2 2 2 3 2" xfId="18977"/>
    <cellStyle name="Normal 20 2 2 2 2 2 3 2 2" xfId="18978"/>
    <cellStyle name="Normal 20 2 2 2 2 2 3 2 2 2" xfId="18979"/>
    <cellStyle name="Normal 20 2 2 2 2 2 3 2 2 2 2" xfId="18980"/>
    <cellStyle name="Normal 20 2 2 2 2 2 3 2 2 3" xfId="18981"/>
    <cellStyle name="Normal 20 2 2 2 2 2 3 2 3" xfId="18982"/>
    <cellStyle name="Normal 20 2 2 2 2 2 3 2 3 2" xfId="18983"/>
    <cellStyle name="Normal 20 2 2 2 2 2 3 2 4" xfId="18984"/>
    <cellStyle name="Normal 20 2 2 2 2 2 3 3" xfId="18985"/>
    <cellStyle name="Normal 20 2 2 2 2 2 3 3 2" xfId="18986"/>
    <cellStyle name="Normal 20 2 2 2 2 2 3 3 2 2" xfId="18987"/>
    <cellStyle name="Normal 20 2 2 2 2 2 3 3 2 2 2" xfId="18988"/>
    <cellStyle name="Normal 20 2 2 2 2 2 3 3 2 3" xfId="18989"/>
    <cellStyle name="Normal 20 2 2 2 2 2 3 3 3" xfId="18990"/>
    <cellStyle name="Normal 20 2 2 2 2 2 3 3 3 2" xfId="18991"/>
    <cellStyle name="Normal 20 2 2 2 2 2 3 3 4" xfId="18992"/>
    <cellStyle name="Normal 20 2 2 2 2 2 3 4" xfId="18993"/>
    <cellStyle name="Normal 20 2 2 2 2 2 3 4 2" xfId="18994"/>
    <cellStyle name="Normal 20 2 2 2 2 2 3 4 2 2" xfId="18995"/>
    <cellStyle name="Normal 20 2 2 2 2 2 3 4 3" xfId="18996"/>
    <cellStyle name="Normal 20 2 2 2 2 2 3 5" xfId="18997"/>
    <cellStyle name="Normal 20 2 2 2 2 2 3 5 2" xfId="18998"/>
    <cellStyle name="Normal 20 2 2 2 2 2 3 6" xfId="18999"/>
    <cellStyle name="Normal 20 2 2 2 2 2 4" xfId="19000"/>
    <cellStyle name="Normal 20 2 2 2 2 2 4 2" xfId="19001"/>
    <cellStyle name="Normal 20 2 2 2 2 2 4 2 2" xfId="19002"/>
    <cellStyle name="Normal 20 2 2 2 2 2 4 2 2 2" xfId="19003"/>
    <cellStyle name="Normal 20 2 2 2 2 2 4 2 3" xfId="19004"/>
    <cellStyle name="Normal 20 2 2 2 2 2 4 3" xfId="19005"/>
    <cellStyle name="Normal 20 2 2 2 2 2 4 3 2" xfId="19006"/>
    <cellStyle name="Normal 20 2 2 2 2 2 4 4" xfId="19007"/>
    <cellStyle name="Normal 20 2 2 2 2 2 5" xfId="19008"/>
    <cellStyle name="Normal 20 2 2 2 2 2 5 2" xfId="19009"/>
    <cellStyle name="Normal 20 2 2 2 2 2 5 2 2" xfId="19010"/>
    <cellStyle name="Normal 20 2 2 2 2 2 5 2 2 2" xfId="19011"/>
    <cellStyle name="Normal 20 2 2 2 2 2 5 2 3" xfId="19012"/>
    <cellStyle name="Normal 20 2 2 2 2 2 5 3" xfId="19013"/>
    <cellStyle name="Normal 20 2 2 2 2 2 5 3 2" xfId="19014"/>
    <cellStyle name="Normal 20 2 2 2 2 2 5 4" xfId="19015"/>
    <cellStyle name="Normal 20 2 2 2 2 2 6" xfId="19016"/>
    <cellStyle name="Normal 20 2 2 2 2 2 6 2" xfId="19017"/>
    <cellStyle name="Normal 20 2 2 2 2 2 6 2 2" xfId="19018"/>
    <cellStyle name="Normal 20 2 2 2 2 2 6 2 2 2" xfId="19019"/>
    <cellStyle name="Normal 20 2 2 2 2 2 6 2 3" xfId="19020"/>
    <cellStyle name="Normal 20 2 2 2 2 2 6 3" xfId="19021"/>
    <cellStyle name="Normal 20 2 2 2 2 2 6 3 2" xfId="19022"/>
    <cellStyle name="Normal 20 2 2 2 2 2 6 4" xfId="19023"/>
    <cellStyle name="Normal 20 2 2 2 2 2 7" xfId="19024"/>
    <cellStyle name="Normal 20 2 2 2 2 2 7 2" xfId="19025"/>
    <cellStyle name="Normal 20 2 2 2 2 2 7 2 2" xfId="19026"/>
    <cellStyle name="Normal 20 2 2 2 2 2 7 3" xfId="19027"/>
    <cellStyle name="Normal 20 2 2 2 2 2 8" xfId="19028"/>
    <cellStyle name="Normal 20 2 2 2 2 2 8 2" xfId="19029"/>
    <cellStyle name="Normal 20 2 2 2 2 2 9" xfId="19030"/>
    <cellStyle name="Normal 20 2 2 2 2 3" xfId="19031"/>
    <cellStyle name="Normal 20 2 2 2 2 3 2" xfId="19032"/>
    <cellStyle name="Normal 20 2 2 2 2 3 2 2" xfId="19033"/>
    <cellStyle name="Normal 20 2 2 2 2 3 2 2 2" xfId="19034"/>
    <cellStyle name="Normal 20 2 2 2 2 3 2 2 2 2" xfId="19035"/>
    <cellStyle name="Normal 20 2 2 2 2 3 2 2 2 2 2" xfId="19036"/>
    <cellStyle name="Normal 20 2 2 2 2 3 2 2 2 3" xfId="19037"/>
    <cellStyle name="Normal 20 2 2 2 2 3 2 2 3" xfId="19038"/>
    <cellStyle name="Normal 20 2 2 2 2 3 2 2 3 2" xfId="19039"/>
    <cellStyle name="Normal 20 2 2 2 2 3 2 2 4" xfId="19040"/>
    <cellStyle name="Normal 20 2 2 2 2 3 2 3" xfId="19041"/>
    <cellStyle name="Normal 20 2 2 2 2 3 2 3 2" xfId="19042"/>
    <cellStyle name="Normal 20 2 2 2 2 3 2 3 2 2" xfId="19043"/>
    <cellStyle name="Normal 20 2 2 2 2 3 2 3 2 2 2" xfId="19044"/>
    <cellStyle name="Normal 20 2 2 2 2 3 2 3 2 3" xfId="19045"/>
    <cellStyle name="Normal 20 2 2 2 2 3 2 3 3" xfId="19046"/>
    <cellStyle name="Normal 20 2 2 2 2 3 2 3 3 2" xfId="19047"/>
    <cellStyle name="Normal 20 2 2 2 2 3 2 3 4" xfId="19048"/>
    <cellStyle name="Normal 20 2 2 2 2 3 2 4" xfId="19049"/>
    <cellStyle name="Normal 20 2 2 2 2 3 2 4 2" xfId="19050"/>
    <cellStyle name="Normal 20 2 2 2 2 3 2 4 2 2" xfId="19051"/>
    <cellStyle name="Normal 20 2 2 2 2 3 2 4 3" xfId="19052"/>
    <cellStyle name="Normal 20 2 2 2 2 3 2 5" xfId="19053"/>
    <cellStyle name="Normal 20 2 2 2 2 3 2 5 2" xfId="19054"/>
    <cellStyle name="Normal 20 2 2 2 2 3 2 6" xfId="19055"/>
    <cellStyle name="Normal 20 2 2 2 2 3 3" xfId="19056"/>
    <cellStyle name="Normal 20 2 2 2 2 3 3 2" xfId="19057"/>
    <cellStyle name="Normal 20 2 2 2 2 3 3 2 2" xfId="19058"/>
    <cellStyle name="Normal 20 2 2 2 2 3 3 2 2 2" xfId="19059"/>
    <cellStyle name="Normal 20 2 2 2 2 3 3 2 3" xfId="19060"/>
    <cellStyle name="Normal 20 2 2 2 2 3 3 3" xfId="19061"/>
    <cellStyle name="Normal 20 2 2 2 2 3 3 3 2" xfId="19062"/>
    <cellStyle name="Normal 20 2 2 2 2 3 3 4" xfId="19063"/>
    <cellStyle name="Normal 20 2 2 2 2 3 4" xfId="19064"/>
    <cellStyle name="Normal 20 2 2 2 2 3 4 2" xfId="19065"/>
    <cellStyle name="Normal 20 2 2 2 2 3 4 2 2" xfId="19066"/>
    <cellStyle name="Normal 20 2 2 2 2 3 4 2 2 2" xfId="19067"/>
    <cellStyle name="Normal 20 2 2 2 2 3 4 2 3" xfId="19068"/>
    <cellStyle name="Normal 20 2 2 2 2 3 4 3" xfId="19069"/>
    <cellStyle name="Normal 20 2 2 2 2 3 4 3 2" xfId="19070"/>
    <cellStyle name="Normal 20 2 2 2 2 3 4 4" xfId="19071"/>
    <cellStyle name="Normal 20 2 2 2 2 3 5" xfId="19072"/>
    <cellStyle name="Normal 20 2 2 2 2 3 5 2" xfId="19073"/>
    <cellStyle name="Normal 20 2 2 2 2 3 5 2 2" xfId="19074"/>
    <cellStyle name="Normal 20 2 2 2 2 3 5 3" xfId="19075"/>
    <cellStyle name="Normal 20 2 2 2 2 3 6" xfId="19076"/>
    <cellStyle name="Normal 20 2 2 2 2 3 6 2" xfId="19077"/>
    <cellStyle name="Normal 20 2 2 2 2 3 7" xfId="19078"/>
    <cellStyle name="Normal 20 2 2 2 2 4" xfId="19079"/>
    <cellStyle name="Normal 20 2 2 2 2 4 2" xfId="19080"/>
    <cellStyle name="Normal 20 2 2 2 2 4 2 2" xfId="19081"/>
    <cellStyle name="Normal 20 2 2 2 2 4 2 2 2" xfId="19082"/>
    <cellStyle name="Normal 20 2 2 2 2 4 2 2 2 2" xfId="19083"/>
    <cellStyle name="Normal 20 2 2 2 2 4 2 2 3" xfId="19084"/>
    <cellStyle name="Normal 20 2 2 2 2 4 2 3" xfId="19085"/>
    <cellStyle name="Normal 20 2 2 2 2 4 2 3 2" xfId="19086"/>
    <cellStyle name="Normal 20 2 2 2 2 4 2 4" xfId="19087"/>
    <cellStyle name="Normal 20 2 2 2 2 4 3" xfId="19088"/>
    <cellStyle name="Normal 20 2 2 2 2 4 3 2" xfId="19089"/>
    <cellStyle name="Normal 20 2 2 2 2 4 3 2 2" xfId="19090"/>
    <cellStyle name="Normal 20 2 2 2 2 4 3 2 2 2" xfId="19091"/>
    <cellStyle name="Normal 20 2 2 2 2 4 3 2 3" xfId="19092"/>
    <cellStyle name="Normal 20 2 2 2 2 4 3 3" xfId="19093"/>
    <cellStyle name="Normal 20 2 2 2 2 4 3 3 2" xfId="19094"/>
    <cellStyle name="Normal 20 2 2 2 2 4 3 4" xfId="19095"/>
    <cellStyle name="Normal 20 2 2 2 2 4 4" xfId="19096"/>
    <cellStyle name="Normal 20 2 2 2 2 4 4 2" xfId="19097"/>
    <cellStyle name="Normal 20 2 2 2 2 4 4 2 2" xfId="19098"/>
    <cellStyle name="Normal 20 2 2 2 2 4 4 3" xfId="19099"/>
    <cellStyle name="Normal 20 2 2 2 2 4 5" xfId="19100"/>
    <cellStyle name="Normal 20 2 2 2 2 4 5 2" xfId="19101"/>
    <cellStyle name="Normal 20 2 2 2 2 4 6" xfId="19102"/>
    <cellStyle name="Normal 20 2 2 2 2 5" xfId="19103"/>
    <cellStyle name="Normal 20 2 2 2 2 5 2" xfId="19104"/>
    <cellStyle name="Normal 20 2 2 2 2 5 2 2" xfId="19105"/>
    <cellStyle name="Normal 20 2 2 2 2 5 2 2 2" xfId="19106"/>
    <cellStyle name="Normal 20 2 2 2 2 5 2 3" xfId="19107"/>
    <cellStyle name="Normal 20 2 2 2 2 5 3" xfId="19108"/>
    <cellStyle name="Normal 20 2 2 2 2 5 3 2" xfId="19109"/>
    <cellStyle name="Normal 20 2 2 2 2 5 4" xfId="19110"/>
    <cellStyle name="Normal 20 2 2 2 2 6" xfId="19111"/>
    <cellStyle name="Normal 20 2 2 2 2 6 2" xfId="19112"/>
    <cellStyle name="Normal 20 2 2 2 2 6 2 2" xfId="19113"/>
    <cellStyle name="Normal 20 2 2 2 2 6 2 2 2" xfId="19114"/>
    <cellStyle name="Normal 20 2 2 2 2 6 2 3" xfId="19115"/>
    <cellStyle name="Normal 20 2 2 2 2 6 3" xfId="19116"/>
    <cellStyle name="Normal 20 2 2 2 2 6 3 2" xfId="19117"/>
    <cellStyle name="Normal 20 2 2 2 2 6 4" xfId="19118"/>
    <cellStyle name="Normal 20 2 2 2 2 7" xfId="19119"/>
    <cellStyle name="Normal 20 2 2 2 2 7 2" xfId="19120"/>
    <cellStyle name="Normal 20 2 2 2 2 7 2 2" xfId="19121"/>
    <cellStyle name="Normal 20 2 2 2 2 7 2 2 2" xfId="19122"/>
    <cellStyle name="Normal 20 2 2 2 2 7 2 3" xfId="19123"/>
    <cellStyle name="Normal 20 2 2 2 2 7 3" xfId="19124"/>
    <cellStyle name="Normal 20 2 2 2 2 7 3 2" xfId="19125"/>
    <cellStyle name="Normal 20 2 2 2 2 7 4" xfId="19126"/>
    <cellStyle name="Normal 20 2 2 2 2 8" xfId="19127"/>
    <cellStyle name="Normal 20 2 2 2 2 8 2" xfId="19128"/>
    <cellStyle name="Normal 20 2 2 2 2 8 2 2" xfId="19129"/>
    <cellStyle name="Normal 20 2 2 2 2 8 3" xfId="19130"/>
    <cellStyle name="Normal 20 2 2 2 2 9" xfId="19131"/>
    <cellStyle name="Normal 20 2 2 2 2 9 2" xfId="19132"/>
    <cellStyle name="Normal 20 2 2 2 3" xfId="19133"/>
    <cellStyle name="Normal 20 2 2 2 3 2" xfId="19134"/>
    <cellStyle name="Normal 20 2 2 2 3 2 2" xfId="19135"/>
    <cellStyle name="Normal 20 2 2 2 3 2 2 2" xfId="19136"/>
    <cellStyle name="Normal 20 2 2 2 3 2 2 2 2" xfId="19137"/>
    <cellStyle name="Normal 20 2 2 2 3 2 2 2 2 2" xfId="19138"/>
    <cellStyle name="Normal 20 2 2 2 3 2 2 2 2 2 2" xfId="19139"/>
    <cellStyle name="Normal 20 2 2 2 3 2 2 2 2 3" xfId="19140"/>
    <cellStyle name="Normal 20 2 2 2 3 2 2 2 3" xfId="19141"/>
    <cellStyle name="Normal 20 2 2 2 3 2 2 2 3 2" xfId="19142"/>
    <cellStyle name="Normal 20 2 2 2 3 2 2 2 4" xfId="19143"/>
    <cellStyle name="Normal 20 2 2 2 3 2 2 3" xfId="19144"/>
    <cellStyle name="Normal 20 2 2 2 3 2 2 3 2" xfId="19145"/>
    <cellStyle name="Normal 20 2 2 2 3 2 2 3 2 2" xfId="19146"/>
    <cellStyle name="Normal 20 2 2 2 3 2 2 3 2 2 2" xfId="19147"/>
    <cellStyle name="Normal 20 2 2 2 3 2 2 3 2 3" xfId="19148"/>
    <cellStyle name="Normal 20 2 2 2 3 2 2 3 3" xfId="19149"/>
    <cellStyle name="Normal 20 2 2 2 3 2 2 3 3 2" xfId="19150"/>
    <cellStyle name="Normal 20 2 2 2 3 2 2 3 4" xfId="19151"/>
    <cellStyle name="Normal 20 2 2 2 3 2 2 4" xfId="19152"/>
    <cellStyle name="Normal 20 2 2 2 3 2 2 4 2" xfId="19153"/>
    <cellStyle name="Normal 20 2 2 2 3 2 2 4 2 2" xfId="19154"/>
    <cellStyle name="Normal 20 2 2 2 3 2 2 4 3" xfId="19155"/>
    <cellStyle name="Normal 20 2 2 2 3 2 2 5" xfId="19156"/>
    <cellStyle name="Normal 20 2 2 2 3 2 2 5 2" xfId="19157"/>
    <cellStyle name="Normal 20 2 2 2 3 2 2 6" xfId="19158"/>
    <cellStyle name="Normal 20 2 2 2 3 2 3" xfId="19159"/>
    <cellStyle name="Normal 20 2 2 2 3 2 3 2" xfId="19160"/>
    <cellStyle name="Normal 20 2 2 2 3 2 3 2 2" xfId="19161"/>
    <cellStyle name="Normal 20 2 2 2 3 2 3 2 2 2" xfId="19162"/>
    <cellStyle name="Normal 20 2 2 2 3 2 3 2 3" xfId="19163"/>
    <cellStyle name="Normal 20 2 2 2 3 2 3 3" xfId="19164"/>
    <cellStyle name="Normal 20 2 2 2 3 2 3 3 2" xfId="19165"/>
    <cellStyle name="Normal 20 2 2 2 3 2 3 4" xfId="19166"/>
    <cellStyle name="Normal 20 2 2 2 3 2 4" xfId="19167"/>
    <cellStyle name="Normal 20 2 2 2 3 2 4 2" xfId="19168"/>
    <cellStyle name="Normal 20 2 2 2 3 2 4 2 2" xfId="19169"/>
    <cellStyle name="Normal 20 2 2 2 3 2 4 2 2 2" xfId="19170"/>
    <cellStyle name="Normal 20 2 2 2 3 2 4 2 3" xfId="19171"/>
    <cellStyle name="Normal 20 2 2 2 3 2 4 3" xfId="19172"/>
    <cellStyle name="Normal 20 2 2 2 3 2 4 3 2" xfId="19173"/>
    <cellStyle name="Normal 20 2 2 2 3 2 4 4" xfId="19174"/>
    <cellStyle name="Normal 20 2 2 2 3 2 5" xfId="19175"/>
    <cellStyle name="Normal 20 2 2 2 3 2 5 2" xfId="19176"/>
    <cellStyle name="Normal 20 2 2 2 3 2 5 2 2" xfId="19177"/>
    <cellStyle name="Normal 20 2 2 2 3 2 5 3" xfId="19178"/>
    <cellStyle name="Normal 20 2 2 2 3 2 6" xfId="19179"/>
    <cellStyle name="Normal 20 2 2 2 3 2 6 2" xfId="19180"/>
    <cellStyle name="Normal 20 2 2 2 3 2 7" xfId="19181"/>
    <cellStyle name="Normal 20 2 2 2 3 3" xfId="19182"/>
    <cellStyle name="Normal 20 2 2 2 3 3 2" xfId="19183"/>
    <cellStyle name="Normal 20 2 2 2 3 3 2 2" xfId="19184"/>
    <cellStyle name="Normal 20 2 2 2 3 3 2 2 2" xfId="19185"/>
    <cellStyle name="Normal 20 2 2 2 3 3 2 2 2 2" xfId="19186"/>
    <cellStyle name="Normal 20 2 2 2 3 3 2 2 3" xfId="19187"/>
    <cellStyle name="Normal 20 2 2 2 3 3 2 3" xfId="19188"/>
    <cellStyle name="Normal 20 2 2 2 3 3 2 3 2" xfId="19189"/>
    <cellStyle name="Normal 20 2 2 2 3 3 2 4" xfId="19190"/>
    <cellStyle name="Normal 20 2 2 2 3 3 3" xfId="19191"/>
    <cellStyle name="Normal 20 2 2 2 3 3 3 2" xfId="19192"/>
    <cellStyle name="Normal 20 2 2 2 3 3 3 2 2" xfId="19193"/>
    <cellStyle name="Normal 20 2 2 2 3 3 3 2 2 2" xfId="19194"/>
    <cellStyle name="Normal 20 2 2 2 3 3 3 2 3" xfId="19195"/>
    <cellStyle name="Normal 20 2 2 2 3 3 3 3" xfId="19196"/>
    <cellStyle name="Normal 20 2 2 2 3 3 3 3 2" xfId="19197"/>
    <cellStyle name="Normal 20 2 2 2 3 3 3 4" xfId="19198"/>
    <cellStyle name="Normal 20 2 2 2 3 3 4" xfId="19199"/>
    <cellStyle name="Normal 20 2 2 2 3 3 4 2" xfId="19200"/>
    <cellStyle name="Normal 20 2 2 2 3 3 4 2 2" xfId="19201"/>
    <cellStyle name="Normal 20 2 2 2 3 3 4 3" xfId="19202"/>
    <cellStyle name="Normal 20 2 2 2 3 3 5" xfId="19203"/>
    <cellStyle name="Normal 20 2 2 2 3 3 5 2" xfId="19204"/>
    <cellStyle name="Normal 20 2 2 2 3 3 6" xfId="19205"/>
    <cellStyle name="Normal 20 2 2 2 3 4" xfId="19206"/>
    <cellStyle name="Normal 20 2 2 2 3 4 2" xfId="19207"/>
    <cellStyle name="Normal 20 2 2 2 3 4 2 2" xfId="19208"/>
    <cellStyle name="Normal 20 2 2 2 3 4 2 2 2" xfId="19209"/>
    <cellStyle name="Normal 20 2 2 2 3 4 2 3" xfId="19210"/>
    <cellStyle name="Normal 20 2 2 2 3 4 3" xfId="19211"/>
    <cellStyle name="Normal 20 2 2 2 3 4 3 2" xfId="19212"/>
    <cellStyle name="Normal 20 2 2 2 3 4 4" xfId="19213"/>
    <cellStyle name="Normal 20 2 2 2 3 5" xfId="19214"/>
    <cellStyle name="Normal 20 2 2 2 3 5 2" xfId="19215"/>
    <cellStyle name="Normal 20 2 2 2 3 5 2 2" xfId="19216"/>
    <cellStyle name="Normal 20 2 2 2 3 5 2 2 2" xfId="19217"/>
    <cellStyle name="Normal 20 2 2 2 3 5 2 3" xfId="19218"/>
    <cellStyle name="Normal 20 2 2 2 3 5 3" xfId="19219"/>
    <cellStyle name="Normal 20 2 2 2 3 5 3 2" xfId="19220"/>
    <cellStyle name="Normal 20 2 2 2 3 5 4" xfId="19221"/>
    <cellStyle name="Normal 20 2 2 2 3 6" xfId="19222"/>
    <cellStyle name="Normal 20 2 2 2 3 6 2" xfId="19223"/>
    <cellStyle name="Normal 20 2 2 2 3 6 2 2" xfId="19224"/>
    <cellStyle name="Normal 20 2 2 2 3 6 2 2 2" xfId="19225"/>
    <cellStyle name="Normal 20 2 2 2 3 6 2 3" xfId="19226"/>
    <cellStyle name="Normal 20 2 2 2 3 6 3" xfId="19227"/>
    <cellStyle name="Normal 20 2 2 2 3 6 3 2" xfId="19228"/>
    <cellStyle name="Normal 20 2 2 2 3 6 4" xfId="19229"/>
    <cellStyle name="Normal 20 2 2 2 3 7" xfId="19230"/>
    <cellStyle name="Normal 20 2 2 2 3 7 2" xfId="19231"/>
    <cellStyle name="Normal 20 2 2 2 3 7 2 2" xfId="19232"/>
    <cellStyle name="Normal 20 2 2 2 3 7 3" xfId="19233"/>
    <cellStyle name="Normal 20 2 2 2 3 8" xfId="19234"/>
    <cellStyle name="Normal 20 2 2 2 3 8 2" xfId="19235"/>
    <cellStyle name="Normal 20 2 2 2 3 9" xfId="19236"/>
    <cellStyle name="Normal 20 2 2 2 4" xfId="19237"/>
    <cellStyle name="Normal 20 2 2 2 4 2" xfId="19238"/>
    <cellStyle name="Normal 20 2 2 2 4 2 2" xfId="19239"/>
    <cellStyle name="Normal 20 2 2 2 4 2 2 2" xfId="19240"/>
    <cellStyle name="Normal 20 2 2 2 4 2 2 2 2" xfId="19241"/>
    <cellStyle name="Normal 20 2 2 2 4 2 2 2 2 2" xfId="19242"/>
    <cellStyle name="Normal 20 2 2 2 4 2 2 2 3" xfId="19243"/>
    <cellStyle name="Normal 20 2 2 2 4 2 2 3" xfId="19244"/>
    <cellStyle name="Normal 20 2 2 2 4 2 2 3 2" xfId="19245"/>
    <cellStyle name="Normal 20 2 2 2 4 2 2 4" xfId="19246"/>
    <cellStyle name="Normal 20 2 2 2 4 2 3" xfId="19247"/>
    <cellStyle name="Normal 20 2 2 2 4 2 3 2" xfId="19248"/>
    <cellStyle name="Normal 20 2 2 2 4 2 3 2 2" xfId="19249"/>
    <cellStyle name="Normal 20 2 2 2 4 2 3 2 2 2" xfId="19250"/>
    <cellStyle name="Normal 20 2 2 2 4 2 3 2 3" xfId="19251"/>
    <cellStyle name="Normal 20 2 2 2 4 2 3 3" xfId="19252"/>
    <cellStyle name="Normal 20 2 2 2 4 2 3 3 2" xfId="19253"/>
    <cellStyle name="Normal 20 2 2 2 4 2 3 4" xfId="19254"/>
    <cellStyle name="Normal 20 2 2 2 4 2 4" xfId="19255"/>
    <cellStyle name="Normal 20 2 2 2 4 2 4 2" xfId="19256"/>
    <cellStyle name="Normal 20 2 2 2 4 2 4 2 2" xfId="19257"/>
    <cellStyle name="Normal 20 2 2 2 4 2 4 3" xfId="19258"/>
    <cellStyle name="Normal 20 2 2 2 4 2 5" xfId="19259"/>
    <cellStyle name="Normal 20 2 2 2 4 2 5 2" xfId="19260"/>
    <cellStyle name="Normal 20 2 2 2 4 2 6" xfId="19261"/>
    <cellStyle name="Normal 20 2 2 2 4 3" xfId="19262"/>
    <cellStyle name="Normal 20 2 2 2 4 3 2" xfId="19263"/>
    <cellStyle name="Normal 20 2 2 2 4 3 2 2" xfId="19264"/>
    <cellStyle name="Normal 20 2 2 2 4 3 2 2 2" xfId="19265"/>
    <cellStyle name="Normal 20 2 2 2 4 3 2 3" xfId="19266"/>
    <cellStyle name="Normal 20 2 2 2 4 3 3" xfId="19267"/>
    <cellStyle name="Normal 20 2 2 2 4 3 3 2" xfId="19268"/>
    <cellStyle name="Normal 20 2 2 2 4 3 4" xfId="19269"/>
    <cellStyle name="Normal 20 2 2 2 4 4" xfId="19270"/>
    <cellStyle name="Normal 20 2 2 2 4 4 2" xfId="19271"/>
    <cellStyle name="Normal 20 2 2 2 4 4 2 2" xfId="19272"/>
    <cellStyle name="Normal 20 2 2 2 4 4 2 2 2" xfId="19273"/>
    <cellStyle name="Normal 20 2 2 2 4 4 2 3" xfId="19274"/>
    <cellStyle name="Normal 20 2 2 2 4 4 3" xfId="19275"/>
    <cellStyle name="Normal 20 2 2 2 4 4 3 2" xfId="19276"/>
    <cellStyle name="Normal 20 2 2 2 4 4 4" xfId="19277"/>
    <cellStyle name="Normal 20 2 2 2 4 5" xfId="19278"/>
    <cellStyle name="Normal 20 2 2 2 4 5 2" xfId="19279"/>
    <cellStyle name="Normal 20 2 2 2 4 5 2 2" xfId="19280"/>
    <cellStyle name="Normal 20 2 2 2 4 5 3" xfId="19281"/>
    <cellStyle name="Normal 20 2 2 2 4 6" xfId="19282"/>
    <cellStyle name="Normal 20 2 2 2 4 6 2" xfId="19283"/>
    <cellStyle name="Normal 20 2 2 2 4 7" xfId="19284"/>
    <cellStyle name="Normal 20 2 2 2 5" xfId="19285"/>
    <cellStyle name="Normal 20 2 2 2 5 2" xfId="19286"/>
    <cellStyle name="Normal 20 2 2 2 5 2 2" xfId="19287"/>
    <cellStyle name="Normal 20 2 2 2 5 2 2 2" xfId="19288"/>
    <cellStyle name="Normal 20 2 2 2 5 2 2 2 2" xfId="19289"/>
    <cellStyle name="Normal 20 2 2 2 5 2 2 3" xfId="19290"/>
    <cellStyle name="Normal 20 2 2 2 5 2 3" xfId="19291"/>
    <cellStyle name="Normal 20 2 2 2 5 2 3 2" xfId="19292"/>
    <cellStyle name="Normal 20 2 2 2 5 2 4" xfId="19293"/>
    <cellStyle name="Normal 20 2 2 2 5 3" xfId="19294"/>
    <cellStyle name="Normal 20 2 2 2 5 3 2" xfId="19295"/>
    <cellStyle name="Normal 20 2 2 2 5 3 2 2" xfId="19296"/>
    <cellStyle name="Normal 20 2 2 2 5 3 2 2 2" xfId="19297"/>
    <cellStyle name="Normal 20 2 2 2 5 3 2 3" xfId="19298"/>
    <cellStyle name="Normal 20 2 2 2 5 3 3" xfId="19299"/>
    <cellStyle name="Normal 20 2 2 2 5 3 3 2" xfId="19300"/>
    <cellStyle name="Normal 20 2 2 2 5 3 4" xfId="19301"/>
    <cellStyle name="Normal 20 2 2 2 5 4" xfId="19302"/>
    <cellStyle name="Normal 20 2 2 2 5 4 2" xfId="19303"/>
    <cellStyle name="Normal 20 2 2 2 5 4 2 2" xfId="19304"/>
    <cellStyle name="Normal 20 2 2 2 5 4 3" xfId="19305"/>
    <cellStyle name="Normal 20 2 2 2 5 5" xfId="19306"/>
    <cellStyle name="Normal 20 2 2 2 5 5 2" xfId="19307"/>
    <cellStyle name="Normal 20 2 2 2 5 6" xfId="19308"/>
    <cellStyle name="Normal 20 2 2 2 6" xfId="19309"/>
    <cellStyle name="Normal 20 2 2 2 6 2" xfId="19310"/>
    <cellStyle name="Normal 20 2 2 2 6 2 2" xfId="19311"/>
    <cellStyle name="Normal 20 2 2 2 6 2 2 2" xfId="19312"/>
    <cellStyle name="Normal 20 2 2 2 6 2 3" xfId="19313"/>
    <cellStyle name="Normal 20 2 2 2 6 3" xfId="19314"/>
    <cellStyle name="Normal 20 2 2 2 6 3 2" xfId="19315"/>
    <cellStyle name="Normal 20 2 2 2 6 4" xfId="19316"/>
    <cellStyle name="Normal 20 2 2 2 7" xfId="19317"/>
    <cellStyle name="Normal 20 2 2 2 7 2" xfId="19318"/>
    <cellStyle name="Normal 20 2 2 2 7 2 2" xfId="19319"/>
    <cellStyle name="Normal 20 2 2 2 7 2 2 2" xfId="19320"/>
    <cellStyle name="Normal 20 2 2 2 7 2 3" xfId="19321"/>
    <cellStyle name="Normal 20 2 2 2 7 3" xfId="19322"/>
    <cellStyle name="Normal 20 2 2 2 7 3 2" xfId="19323"/>
    <cellStyle name="Normal 20 2 2 2 7 4" xfId="19324"/>
    <cellStyle name="Normal 20 2 2 2 8" xfId="19325"/>
    <cellStyle name="Normal 20 2 2 2 8 2" xfId="19326"/>
    <cellStyle name="Normal 20 2 2 2 8 2 2" xfId="19327"/>
    <cellStyle name="Normal 20 2 2 2 8 2 2 2" xfId="19328"/>
    <cellStyle name="Normal 20 2 2 2 8 2 3" xfId="19329"/>
    <cellStyle name="Normal 20 2 2 2 8 3" xfId="19330"/>
    <cellStyle name="Normal 20 2 2 2 8 3 2" xfId="19331"/>
    <cellStyle name="Normal 20 2 2 2 8 4" xfId="19332"/>
    <cellStyle name="Normal 20 2 2 2 9" xfId="19333"/>
    <cellStyle name="Normal 20 2 2 2 9 2" xfId="19334"/>
    <cellStyle name="Normal 20 2 2 2 9 2 2" xfId="19335"/>
    <cellStyle name="Normal 20 2 2 2 9 3" xfId="19336"/>
    <cellStyle name="Normal 20 2 2 3" xfId="19337"/>
    <cellStyle name="Normal 20 2 2 3 10" xfId="19338"/>
    <cellStyle name="Normal 20 2 2 3 2" xfId="19339"/>
    <cellStyle name="Normal 20 2 2 3 2 2" xfId="19340"/>
    <cellStyle name="Normal 20 2 2 3 2 2 2" xfId="19341"/>
    <cellStyle name="Normal 20 2 2 3 2 2 2 2" xfId="19342"/>
    <cellStyle name="Normal 20 2 2 3 2 2 2 2 2" xfId="19343"/>
    <cellStyle name="Normal 20 2 2 3 2 2 2 2 2 2" xfId="19344"/>
    <cellStyle name="Normal 20 2 2 3 2 2 2 2 2 2 2" xfId="19345"/>
    <cellStyle name="Normal 20 2 2 3 2 2 2 2 2 3" xfId="19346"/>
    <cellStyle name="Normal 20 2 2 3 2 2 2 2 3" xfId="19347"/>
    <cellStyle name="Normal 20 2 2 3 2 2 2 2 3 2" xfId="19348"/>
    <cellStyle name="Normal 20 2 2 3 2 2 2 2 4" xfId="19349"/>
    <cellStyle name="Normal 20 2 2 3 2 2 2 3" xfId="19350"/>
    <cellStyle name="Normal 20 2 2 3 2 2 2 3 2" xfId="19351"/>
    <cellStyle name="Normal 20 2 2 3 2 2 2 3 2 2" xfId="19352"/>
    <cellStyle name="Normal 20 2 2 3 2 2 2 3 2 2 2" xfId="19353"/>
    <cellStyle name="Normal 20 2 2 3 2 2 2 3 2 3" xfId="19354"/>
    <cellStyle name="Normal 20 2 2 3 2 2 2 3 3" xfId="19355"/>
    <cellStyle name="Normal 20 2 2 3 2 2 2 3 3 2" xfId="19356"/>
    <cellStyle name="Normal 20 2 2 3 2 2 2 3 4" xfId="19357"/>
    <cellStyle name="Normal 20 2 2 3 2 2 2 4" xfId="19358"/>
    <cellStyle name="Normal 20 2 2 3 2 2 2 4 2" xfId="19359"/>
    <cellStyle name="Normal 20 2 2 3 2 2 2 4 2 2" xfId="19360"/>
    <cellStyle name="Normal 20 2 2 3 2 2 2 4 3" xfId="19361"/>
    <cellStyle name="Normal 20 2 2 3 2 2 2 5" xfId="19362"/>
    <cellStyle name="Normal 20 2 2 3 2 2 2 5 2" xfId="19363"/>
    <cellStyle name="Normal 20 2 2 3 2 2 2 6" xfId="19364"/>
    <cellStyle name="Normal 20 2 2 3 2 2 3" xfId="19365"/>
    <cellStyle name="Normal 20 2 2 3 2 2 3 2" xfId="19366"/>
    <cellStyle name="Normal 20 2 2 3 2 2 3 2 2" xfId="19367"/>
    <cellStyle name="Normal 20 2 2 3 2 2 3 2 2 2" xfId="19368"/>
    <cellStyle name="Normal 20 2 2 3 2 2 3 2 3" xfId="19369"/>
    <cellStyle name="Normal 20 2 2 3 2 2 3 3" xfId="19370"/>
    <cellStyle name="Normal 20 2 2 3 2 2 3 3 2" xfId="19371"/>
    <cellStyle name="Normal 20 2 2 3 2 2 3 4" xfId="19372"/>
    <cellStyle name="Normal 20 2 2 3 2 2 4" xfId="19373"/>
    <cellStyle name="Normal 20 2 2 3 2 2 4 2" xfId="19374"/>
    <cellStyle name="Normal 20 2 2 3 2 2 4 2 2" xfId="19375"/>
    <cellStyle name="Normal 20 2 2 3 2 2 4 2 2 2" xfId="19376"/>
    <cellStyle name="Normal 20 2 2 3 2 2 4 2 3" xfId="19377"/>
    <cellStyle name="Normal 20 2 2 3 2 2 4 3" xfId="19378"/>
    <cellStyle name="Normal 20 2 2 3 2 2 4 3 2" xfId="19379"/>
    <cellStyle name="Normal 20 2 2 3 2 2 4 4" xfId="19380"/>
    <cellStyle name="Normal 20 2 2 3 2 2 5" xfId="19381"/>
    <cellStyle name="Normal 20 2 2 3 2 2 5 2" xfId="19382"/>
    <cellStyle name="Normal 20 2 2 3 2 2 5 2 2" xfId="19383"/>
    <cellStyle name="Normal 20 2 2 3 2 2 5 3" xfId="19384"/>
    <cellStyle name="Normal 20 2 2 3 2 2 6" xfId="19385"/>
    <cellStyle name="Normal 20 2 2 3 2 2 6 2" xfId="19386"/>
    <cellStyle name="Normal 20 2 2 3 2 2 7" xfId="19387"/>
    <cellStyle name="Normal 20 2 2 3 2 3" xfId="19388"/>
    <cellStyle name="Normal 20 2 2 3 2 3 2" xfId="19389"/>
    <cellStyle name="Normal 20 2 2 3 2 3 2 2" xfId="19390"/>
    <cellStyle name="Normal 20 2 2 3 2 3 2 2 2" xfId="19391"/>
    <cellStyle name="Normal 20 2 2 3 2 3 2 2 2 2" xfId="19392"/>
    <cellStyle name="Normal 20 2 2 3 2 3 2 2 3" xfId="19393"/>
    <cellStyle name="Normal 20 2 2 3 2 3 2 3" xfId="19394"/>
    <cellStyle name="Normal 20 2 2 3 2 3 2 3 2" xfId="19395"/>
    <cellStyle name="Normal 20 2 2 3 2 3 2 4" xfId="19396"/>
    <cellStyle name="Normal 20 2 2 3 2 3 3" xfId="19397"/>
    <cellStyle name="Normal 20 2 2 3 2 3 3 2" xfId="19398"/>
    <cellStyle name="Normal 20 2 2 3 2 3 3 2 2" xfId="19399"/>
    <cellStyle name="Normal 20 2 2 3 2 3 3 2 2 2" xfId="19400"/>
    <cellStyle name="Normal 20 2 2 3 2 3 3 2 3" xfId="19401"/>
    <cellStyle name="Normal 20 2 2 3 2 3 3 3" xfId="19402"/>
    <cellStyle name="Normal 20 2 2 3 2 3 3 3 2" xfId="19403"/>
    <cellStyle name="Normal 20 2 2 3 2 3 3 4" xfId="19404"/>
    <cellStyle name="Normal 20 2 2 3 2 3 4" xfId="19405"/>
    <cellStyle name="Normal 20 2 2 3 2 3 4 2" xfId="19406"/>
    <cellStyle name="Normal 20 2 2 3 2 3 4 2 2" xfId="19407"/>
    <cellStyle name="Normal 20 2 2 3 2 3 4 3" xfId="19408"/>
    <cellStyle name="Normal 20 2 2 3 2 3 5" xfId="19409"/>
    <cellStyle name="Normal 20 2 2 3 2 3 5 2" xfId="19410"/>
    <cellStyle name="Normal 20 2 2 3 2 3 6" xfId="19411"/>
    <cellStyle name="Normal 20 2 2 3 2 4" xfId="19412"/>
    <cellStyle name="Normal 20 2 2 3 2 4 2" xfId="19413"/>
    <cellStyle name="Normal 20 2 2 3 2 4 2 2" xfId="19414"/>
    <cellStyle name="Normal 20 2 2 3 2 4 2 2 2" xfId="19415"/>
    <cellStyle name="Normal 20 2 2 3 2 4 2 3" xfId="19416"/>
    <cellStyle name="Normal 20 2 2 3 2 4 3" xfId="19417"/>
    <cellStyle name="Normal 20 2 2 3 2 4 3 2" xfId="19418"/>
    <cellStyle name="Normal 20 2 2 3 2 4 4" xfId="19419"/>
    <cellStyle name="Normal 20 2 2 3 2 5" xfId="19420"/>
    <cellStyle name="Normal 20 2 2 3 2 5 2" xfId="19421"/>
    <cellStyle name="Normal 20 2 2 3 2 5 2 2" xfId="19422"/>
    <cellStyle name="Normal 20 2 2 3 2 5 2 2 2" xfId="19423"/>
    <cellStyle name="Normal 20 2 2 3 2 5 2 3" xfId="19424"/>
    <cellStyle name="Normal 20 2 2 3 2 5 3" xfId="19425"/>
    <cellStyle name="Normal 20 2 2 3 2 5 3 2" xfId="19426"/>
    <cellStyle name="Normal 20 2 2 3 2 5 4" xfId="19427"/>
    <cellStyle name="Normal 20 2 2 3 2 6" xfId="19428"/>
    <cellStyle name="Normal 20 2 2 3 2 6 2" xfId="19429"/>
    <cellStyle name="Normal 20 2 2 3 2 6 2 2" xfId="19430"/>
    <cellStyle name="Normal 20 2 2 3 2 6 2 2 2" xfId="19431"/>
    <cellStyle name="Normal 20 2 2 3 2 6 2 3" xfId="19432"/>
    <cellStyle name="Normal 20 2 2 3 2 6 3" xfId="19433"/>
    <cellStyle name="Normal 20 2 2 3 2 6 3 2" xfId="19434"/>
    <cellStyle name="Normal 20 2 2 3 2 6 4" xfId="19435"/>
    <cellStyle name="Normal 20 2 2 3 2 7" xfId="19436"/>
    <cellStyle name="Normal 20 2 2 3 2 7 2" xfId="19437"/>
    <cellStyle name="Normal 20 2 2 3 2 7 2 2" xfId="19438"/>
    <cellStyle name="Normal 20 2 2 3 2 7 3" xfId="19439"/>
    <cellStyle name="Normal 20 2 2 3 2 8" xfId="19440"/>
    <cellStyle name="Normal 20 2 2 3 2 8 2" xfId="19441"/>
    <cellStyle name="Normal 20 2 2 3 2 9" xfId="19442"/>
    <cellStyle name="Normal 20 2 2 3 3" xfId="19443"/>
    <cellStyle name="Normal 20 2 2 3 3 2" xfId="19444"/>
    <cellStyle name="Normal 20 2 2 3 3 2 2" xfId="19445"/>
    <cellStyle name="Normal 20 2 2 3 3 2 2 2" xfId="19446"/>
    <cellStyle name="Normal 20 2 2 3 3 2 2 2 2" xfId="19447"/>
    <cellStyle name="Normal 20 2 2 3 3 2 2 2 2 2" xfId="19448"/>
    <cellStyle name="Normal 20 2 2 3 3 2 2 2 3" xfId="19449"/>
    <cellStyle name="Normal 20 2 2 3 3 2 2 3" xfId="19450"/>
    <cellStyle name="Normal 20 2 2 3 3 2 2 3 2" xfId="19451"/>
    <cellStyle name="Normal 20 2 2 3 3 2 2 4" xfId="19452"/>
    <cellStyle name="Normal 20 2 2 3 3 2 3" xfId="19453"/>
    <cellStyle name="Normal 20 2 2 3 3 2 3 2" xfId="19454"/>
    <cellStyle name="Normal 20 2 2 3 3 2 3 2 2" xfId="19455"/>
    <cellStyle name="Normal 20 2 2 3 3 2 3 2 2 2" xfId="19456"/>
    <cellStyle name="Normal 20 2 2 3 3 2 3 2 3" xfId="19457"/>
    <cellStyle name="Normal 20 2 2 3 3 2 3 3" xfId="19458"/>
    <cellStyle name="Normal 20 2 2 3 3 2 3 3 2" xfId="19459"/>
    <cellStyle name="Normal 20 2 2 3 3 2 3 4" xfId="19460"/>
    <cellStyle name="Normal 20 2 2 3 3 2 4" xfId="19461"/>
    <cellStyle name="Normal 20 2 2 3 3 2 4 2" xfId="19462"/>
    <cellStyle name="Normal 20 2 2 3 3 2 4 2 2" xfId="19463"/>
    <cellStyle name="Normal 20 2 2 3 3 2 4 3" xfId="19464"/>
    <cellStyle name="Normal 20 2 2 3 3 2 5" xfId="19465"/>
    <cellStyle name="Normal 20 2 2 3 3 2 5 2" xfId="19466"/>
    <cellStyle name="Normal 20 2 2 3 3 2 6" xfId="19467"/>
    <cellStyle name="Normal 20 2 2 3 3 3" xfId="19468"/>
    <cellStyle name="Normal 20 2 2 3 3 3 2" xfId="19469"/>
    <cellStyle name="Normal 20 2 2 3 3 3 2 2" xfId="19470"/>
    <cellStyle name="Normal 20 2 2 3 3 3 2 2 2" xfId="19471"/>
    <cellStyle name="Normal 20 2 2 3 3 3 2 3" xfId="19472"/>
    <cellStyle name="Normal 20 2 2 3 3 3 3" xfId="19473"/>
    <cellStyle name="Normal 20 2 2 3 3 3 3 2" xfId="19474"/>
    <cellStyle name="Normal 20 2 2 3 3 3 4" xfId="19475"/>
    <cellStyle name="Normal 20 2 2 3 3 4" xfId="19476"/>
    <cellStyle name="Normal 20 2 2 3 3 4 2" xfId="19477"/>
    <cellStyle name="Normal 20 2 2 3 3 4 2 2" xfId="19478"/>
    <cellStyle name="Normal 20 2 2 3 3 4 2 2 2" xfId="19479"/>
    <cellStyle name="Normal 20 2 2 3 3 4 2 3" xfId="19480"/>
    <cellStyle name="Normal 20 2 2 3 3 4 3" xfId="19481"/>
    <cellStyle name="Normal 20 2 2 3 3 4 3 2" xfId="19482"/>
    <cellStyle name="Normal 20 2 2 3 3 4 4" xfId="19483"/>
    <cellStyle name="Normal 20 2 2 3 3 5" xfId="19484"/>
    <cellStyle name="Normal 20 2 2 3 3 5 2" xfId="19485"/>
    <cellStyle name="Normal 20 2 2 3 3 5 2 2" xfId="19486"/>
    <cellStyle name="Normal 20 2 2 3 3 5 3" xfId="19487"/>
    <cellStyle name="Normal 20 2 2 3 3 6" xfId="19488"/>
    <cellStyle name="Normal 20 2 2 3 3 6 2" xfId="19489"/>
    <cellStyle name="Normal 20 2 2 3 3 7" xfId="19490"/>
    <cellStyle name="Normal 20 2 2 3 4" xfId="19491"/>
    <cellStyle name="Normal 20 2 2 3 4 2" xfId="19492"/>
    <cellStyle name="Normal 20 2 2 3 4 2 2" xfId="19493"/>
    <cellStyle name="Normal 20 2 2 3 4 2 2 2" xfId="19494"/>
    <cellStyle name="Normal 20 2 2 3 4 2 2 2 2" xfId="19495"/>
    <cellStyle name="Normal 20 2 2 3 4 2 2 3" xfId="19496"/>
    <cellStyle name="Normal 20 2 2 3 4 2 3" xfId="19497"/>
    <cellStyle name="Normal 20 2 2 3 4 2 3 2" xfId="19498"/>
    <cellStyle name="Normal 20 2 2 3 4 2 4" xfId="19499"/>
    <cellStyle name="Normal 20 2 2 3 4 3" xfId="19500"/>
    <cellStyle name="Normal 20 2 2 3 4 3 2" xfId="19501"/>
    <cellStyle name="Normal 20 2 2 3 4 3 2 2" xfId="19502"/>
    <cellStyle name="Normal 20 2 2 3 4 3 2 2 2" xfId="19503"/>
    <cellStyle name="Normal 20 2 2 3 4 3 2 3" xfId="19504"/>
    <cellStyle name="Normal 20 2 2 3 4 3 3" xfId="19505"/>
    <cellStyle name="Normal 20 2 2 3 4 3 3 2" xfId="19506"/>
    <cellStyle name="Normal 20 2 2 3 4 3 4" xfId="19507"/>
    <cellStyle name="Normal 20 2 2 3 4 4" xfId="19508"/>
    <cellStyle name="Normal 20 2 2 3 4 4 2" xfId="19509"/>
    <cellStyle name="Normal 20 2 2 3 4 4 2 2" xfId="19510"/>
    <cellStyle name="Normal 20 2 2 3 4 4 3" xfId="19511"/>
    <cellStyle name="Normal 20 2 2 3 4 5" xfId="19512"/>
    <cellStyle name="Normal 20 2 2 3 4 5 2" xfId="19513"/>
    <cellStyle name="Normal 20 2 2 3 4 6" xfId="19514"/>
    <cellStyle name="Normal 20 2 2 3 5" xfId="19515"/>
    <cellStyle name="Normal 20 2 2 3 5 2" xfId="19516"/>
    <cellStyle name="Normal 20 2 2 3 5 2 2" xfId="19517"/>
    <cellStyle name="Normal 20 2 2 3 5 2 2 2" xfId="19518"/>
    <cellStyle name="Normal 20 2 2 3 5 2 3" xfId="19519"/>
    <cellStyle name="Normal 20 2 2 3 5 3" xfId="19520"/>
    <cellStyle name="Normal 20 2 2 3 5 3 2" xfId="19521"/>
    <cellStyle name="Normal 20 2 2 3 5 4" xfId="19522"/>
    <cellStyle name="Normal 20 2 2 3 6" xfId="19523"/>
    <cellStyle name="Normal 20 2 2 3 6 2" xfId="19524"/>
    <cellStyle name="Normal 20 2 2 3 6 2 2" xfId="19525"/>
    <cellStyle name="Normal 20 2 2 3 6 2 2 2" xfId="19526"/>
    <cellStyle name="Normal 20 2 2 3 6 2 3" xfId="19527"/>
    <cellStyle name="Normal 20 2 2 3 6 3" xfId="19528"/>
    <cellStyle name="Normal 20 2 2 3 6 3 2" xfId="19529"/>
    <cellStyle name="Normal 20 2 2 3 6 4" xfId="19530"/>
    <cellStyle name="Normal 20 2 2 3 7" xfId="19531"/>
    <cellStyle name="Normal 20 2 2 3 7 2" xfId="19532"/>
    <cellStyle name="Normal 20 2 2 3 7 2 2" xfId="19533"/>
    <cellStyle name="Normal 20 2 2 3 7 2 2 2" xfId="19534"/>
    <cellStyle name="Normal 20 2 2 3 7 2 3" xfId="19535"/>
    <cellStyle name="Normal 20 2 2 3 7 3" xfId="19536"/>
    <cellStyle name="Normal 20 2 2 3 7 3 2" xfId="19537"/>
    <cellStyle name="Normal 20 2 2 3 7 4" xfId="19538"/>
    <cellStyle name="Normal 20 2 2 3 8" xfId="19539"/>
    <cellStyle name="Normal 20 2 2 3 8 2" xfId="19540"/>
    <cellStyle name="Normal 20 2 2 3 8 2 2" xfId="19541"/>
    <cellStyle name="Normal 20 2 2 3 8 3" xfId="19542"/>
    <cellStyle name="Normal 20 2 2 3 9" xfId="19543"/>
    <cellStyle name="Normal 20 2 2 3 9 2" xfId="19544"/>
    <cellStyle name="Normal 20 2 2 4" xfId="19545"/>
    <cellStyle name="Normal 20 2 2 4 10" xfId="19546"/>
    <cellStyle name="Normal 20 2 2 4 2" xfId="19547"/>
    <cellStyle name="Normal 20 2 2 4 2 2" xfId="19548"/>
    <cellStyle name="Normal 20 2 2 4 2 2 2" xfId="19549"/>
    <cellStyle name="Normal 20 2 2 4 2 2 2 2" xfId="19550"/>
    <cellStyle name="Normal 20 2 2 4 2 2 2 2 2" xfId="19551"/>
    <cellStyle name="Normal 20 2 2 4 2 2 2 2 2 2" xfId="19552"/>
    <cellStyle name="Normal 20 2 2 4 2 2 2 2 2 2 2" xfId="19553"/>
    <cellStyle name="Normal 20 2 2 4 2 2 2 2 2 3" xfId="19554"/>
    <cellStyle name="Normal 20 2 2 4 2 2 2 2 3" xfId="19555"/>
    <cellStyle name="Normal 20 2 2 4 2 2 2 2 3 2" xfId="19556"/>
    <cellStyle name="Normal 20 2 2 4 2 2 2 2 4" xfId="19557"/>
    <cellStyle name="Normal 20 2 2 4 2 2 2 3" xfId="19558"/>
    <cellStyle name="Normal 20 2 2 4 2 2 2 3 2" xfId="19559"/>
    <cellStyle name="Normal 20 2 2 4 2 2 2 3 2 2" xfId="19560"/>
    <cellStyle name="Normal 20 2 2 4 2 2 2 3 2 2 2" xfId="19561"/>
    <cellStyle name="Normal 20 2 2 4 2 2 2 3 2 3" xfId="19562"/>
    <cellStyle name="Normal 20 2 2 4 2 2 2 3 3" xfId="19563"/>
    <cellStyle name="Normal 20 2 2 4 2 2 2 3 3 2" xfId="19564"/>
    <cellStyle name="Normal 20 2 2 4 2 2 2 3 4" xfId="19565"/>
    <cellStyle name="Normal 20 2 2 4 2 2 2 4" xfId="19566"/>
    <cellStyle name="Normal 20 2 2 4 2 2 2 4 2" xfId="19567"/>
    <cellStyle name="Normal 20 2 2 4 2 2 2 4 2 2" xfId="19568"/>
    <cellStyle name="Normal 20 2 2 4 2 2 2 4 3" xfId="19569"/>
    <cellStyle name="Normal 20 2 2 4 2 2 2 5" xfId="19570"/>
    <cellStyle name="Normal 20 2 2 4 2 2 2 5 2" xfId="19571"/>
    <cellStyle name="Normal 20 2 2 4 2 2 2 6" xfId="19572"/>
    <cellStyle name="Normal 20 2 2 4 2 2 3" xfId="19573"/>
    <cellStyle name="Normal 20 2 2 4 2 2 3 2" xfId="19574"/>
    <cellStyle name="Normal 20 2 2 4 2 2 3 2 2" xfId="19575"/>
    <cellStyle name="Normal 20 2 2 4 2 2 3 2 2 2" xfId="19576"/>
    <cellStyle name="Normal 20 2 2 4 2 2 3 2 3" xfId="19577"/>
    <cellStyle name="Normal 20 2 2 4 2 2 3 3" xfId="19578"/>
    <cellStyle name="Normal 20 2 2 4 2 2 3 3 2" xfId="19579"/>
    <cellStyle name="Normal 20 2 2 4 2 2 3 4" xfId="19580"/>
    <cellStyle name="Normal 20 2 2 4 2 2 4" xfId="19581"/>
    <cellStyle name="Normal 20 2 2 4 2 2 4 2" xfId="19582"/>
    <cellStyle name="Normal 20 2 2 4 2 2 4 2 2" xfId="19583"/>
    <cellStyle name="Normal 20 2 2 4 2 2 4 2 2 2" xfId="19584"/>
    <cellStyle name="Normal 20 2 2 4 2 2 4 2 3" xfId="19585"/>
    <cellStyle name="Normal 20 2 2 4 2 2 4 3" xfId="19586"/>
    <cellStyle name="Normal 20 2 2 4 2 2 4 3 2" xfId="19587"/>
    <cellStyle name="Normal 20 2 2 4 2 2 4 4" xfId="19588"/>
    <cellStyle name="Normal 20 2 2 4 2 2 5" xfId="19589"/>
    <cellStyle name="Normal 20 2 2 4 2 2 5 2" xfId="19590"/>
    <cellStyle name="Normal 20 2 2 4 2 2 5 2 2" xfId="19591"/>
    <cellStyle name="Normal 20 2 2 4 2 2 5 3" xfId="19592"/>
    <cellStyle name="Normal 20 2 2 4 2 2 6" xfId="19593"/>
    <cellStyle name="Normal 20 2 2 4 2 2 6 2" xfId="19594"/>
    <cellStyle name="Normal 20 2 2 4 2 2 7" xfId="19595"/>
    <cellStyle name="Normal 20 2 2 4 2 3" xfId="19596"/>
    <cellStyle name="Normal 20 2 2 4 2 3 2" xfId="19597"/>
    <cellStyle name="Normal 20 2 2 4 2 3 2 2" xfId="19598"/>
    <cellStyle name="Normal 20 2 2 4 2 3 2 2 2" xfId="19599"/>
    <cellStyle name="Normal 20 2 2 4 2 3 2 2 2 2" xfId="19600"/>
    <cellStyle name="Normal 20 2 2 4 2 3 2 2 3" xfId="19601"/>
    <cellStyle name="Normal 20 2 2 4 2 3 2 3" xfId="19602"/>
    <cellStyle name="Normal 20 2 2 4 2 3 2 3 2" xfId="19603"/>
    <cellStyle name="Normal 20 2 2 4 2 3 2 4" xfId="19604"/>
    <cellStyle name="Normal 20 2 2 4 2 3 3" xfId="19605"/>
    <cellStyle name="Normal 20 2 2 4 2 3 3 2" xfId="19606"/>
    <cellStyle name="Normal 20 2 2 4 2 3 3 2 2" xfId="19607"/>
    <cellStyle name="Normal 20 2 2 4 2 3 3 2 2 2" xfId="19608"/>
    <cellStyle name="Normal 20 2 2 4 2 3 3 2 3" xfId="19609"/>
    <cellStyle name="Normal 20 2 2 4 2 3 3 3" xfId="19610"/>
    <cellStyle name="Normal 20 2 2 4 2 3 3 3 2" xfId="19611"/>
    <cellStyle name="Normal 20 2 2 4 2 3 3 4" xfId="19612"/>
    <cellStyle name="Normal 20 2 2 4 2 3 4" xfId="19613"/>
    <cellStyle name="Normal 20 2 2 4 2 3 4 2" xfId="19614"/>
    <cellStyle name="Normal 20 2 2 4 2 3 4 2 2" xfId="19615"/>
    <cellStyle name="Normal 20 2 2 4 2 3 4 3" xfId="19616"/>
    <cellStyle name="Normal 20 2 2 4 2 3 5" xfId="19617"/>
    <cellStyle name="Normal 20 2 2 4 2 3 5 2" xfId="19618"/>
    <cellStyle name="Normal 20 2 2 4 2 3 6" xfId="19619"/>
    <cellStyle name="Normal 20 2 2 4 2 4" xfId="19620"/>
    <cellStyle name="Normal 20 2 2 4 2 4 2" xfId="19621"/>
    <cellStyle name="Normal 20 2 2 4 2 4 2 2" xfId="19622"/>
    <cellStyle name="Normal 20 2 2 4 2 4 2 2 2" xfId="19623"/>
    <cellStyle name="Normal 20 2 2 4 2 4 2 3" xfId="19624"/>
    <cellStyle name="Normal 20 2 2 4 2 4 3" xfId="19625"/>
    <cellStyle name="Normal 20 2 2 4 2 4 3 2" xfId="19626"/>
    <cellStyle name="Normal 20 2 2 4 2 4 4" xfId="19627"/>
    <cellStyle name="Normal 20 2 2 4 2 5" xfId="19628"/>
    <cellStyle name="Normal 20 2 2 4 2 5 2" xfId="19629"/>
    <cellStyle name="Normal 20 2 2 4 2 5 2 2" xfId="19630"/>
    <cellStyle name="Normal 20 2 2 4 2 5 2 2 2" xfId="19631"/>
    <cellStyle name="Normal 20 2 2 4 2 5 2 3" xfId="19632"/>
    <cellStyle name="Normal 20 2 2 4 2 5 3" xfId="19633"/>
    <cellStyle name="Normal 20 2 2 4 2 5 3 2" xfId="19634"/>
    <cellStyle name="Normal 20 2 2 4 2 5 4" xfId="19635"/>
    <cellStyle name="Normal 20 2 2 4 2 6" xfId="19636"/>
    <cellStyle name="Normal 20 2 2 4 2 6 2" xfId="19637"/>
    <cellStyle name="Normal 20 2 2 4 2 6 2 2" xfId="19638"/>
    <cellStyle name="Normal 20 2 2 4 2 6 2 2 2" xfId="19639"/>
    <cellStyle name="Normal 20 2 2 4 2 6 2 3" xfId="19640"/>
    <cellStyle name="Normal 20 2 2 4 2 6 3" xfId="19641"/>
    <cellStyle name="Normal 20 2 2 4 2 6 3 2" xfId="19642"/>
    <cellStyle name="Normal 20 2 2 4 2 6 4" xfId="19643"/>
    <cellStyle name="Normal 20 2 2 4 2 7" xfId="19644"/>
    <cellStyle name="Normal 20 2 2 4 2 7 2" xfId="19645"/>
    <cellStyle name="Normal 20 2 2 4 2 7 2 2" xfId="19646"/>
    <cellStyle name="Normal 20 2 2 4 2 7 3" xfId="19647"/>
    <cellStyle name="Normal 20 2 2 4 2 8" xfId="19648"/>
    <cellStyle name="Normal 20 2 2 4 2 8 2" xfId="19649"/>
    <cellStyle name="Normal 20 2 2 4 2 9" xfId="19650"/>
    <cellStyle name="Normal 20 2 2 4 3" xfId="19651"/>
    <cellStyle name="Normal 20 2 2 4 3 2" xfId="19652"/>
    <cellStyle name="Normal 20 2 2 4 3 2 2" xfId="19653"/>
    <cellStyle name="Normal 20 2 2 4 3 2 2 2" xfId="19654"/>
    <cellStyle name="Normal 20 2 2 4 3 2 2 2 2" xfId="19655"/>
    <cellStyle name="Normal 20 2 2 4 3 2 2 2 2 2" xfId="19656"/>
    <cellStyle name="Normal 20 2 2 4 3 2 2 2 3" xfId="19657"/>
    <cellStyle name="Normal 20 2 2 4 3 2 2 3" xfId="19658"/>
    <cellStyle name="Normal 20 2 2 4 3 2 2 3 2" xfId="19659"/>
    <cellStyle name="Normal 20 2 2 4 3 2 2 4" xfId="19660"/>
    <cellStyle name="Normal 20 2 2 4 3 2 3" xfId="19661"/>
    <cellStyle name="Normal 20 2 2 4 3 2 3 2" xfId="19662"/>
    <cellStyle name="Normal 20 2 2 4 3 2 3 2 2" xfId="19663"/>
    <cellStyle name="Normal 20 2 2 4 3 2 3 2 2 2" xfId="19664"/>
    <cellStyle name="Normal 20 2 2 4 3 2 3 2 3" xfId="19665"/>
    <cellStyle name="Normal 20 2 2 4 3 2 3 3" xfId="19666"/>
    <cellStyle name="Normal 20 2 2 4 3 2 3 3 2" xfId="19667"/>
    <cellStyle name="Normal 20 2 2 4 3 2 3 4" xfId="19668"/>
    <cellStyle name="Normal 20 2 2 4 3 2 4" xfId="19669"/>
    <cellStyle name="Normal 20 2 2 4 3 2 4 2" xfId="19670"/>
    <cellStyle name="Normal 20 2 2 4 3 2 4 2 2" xfId="19671"/>
    <cellStyle name="Normal 20 2 2 4 3 2 4 3" xfId="19672"/>
    <cellStyle name="Normal 20 2 2 4 3 2 5" xfId="19673"/>
    <cellStyle name="Normal 20 2 2 4 3 2 5 2" xfId="19674"/>
    <cellStyle name="Normal 20 2 2 4 3 2 6" xfId="19675"/>
    <cellStyle name="Normal 20 2 2 4 3 3" xfId="19676"/>
    <cellStyle name="Normal 20 2 2 4 3 3 2" xfId="19677"/>
    <cellStyle name="Normal 20 2 2 4 3 3 2 2" xfId="19678"/>
    <cellStyle name="Normal 20 2 2 4 3 3 2 2 2" xfId="19679"/>
    <cellStyle name="Normal 20 2 2 4 3 3 2 3" xfId="19680"/>
    <cellStyle name="Normal 20 2 2 4 3 3 3" xfId="19681"/>
    <cellStyle name="Normal 20 2 2 4 3 3 3 2" xfId="19682"/>
    <cellStyle name="Normal 20 2 2 4 3 3 4" xfId="19683"/>
    <cellStyle name="Normal 20 2 2 4 3 4" xfId="19684"/>
    <cellStyle name="Normal 20 2 2 4 3 4 2" xfId="19685"/>
    <cellStyle name="Normal 20 2 2 4 3 4 2 2" xfId="19686"/>
    <cellStyle name="Normal 20 2 2 4 3 4 2 2 2" xfId="19687"/>
    <cellStyle name="Normal 20 2 2 4 3 4 2 3" xfId="19688"/>
    <cellStyle name="Normal 20 2 2 4 3 4 3" xfId="19689"/>
    <cellStyle name="Normal 20 2 2 4 3 4 3 2" xfId="19690"/>
    <cellStyle name="Normal 20 2 2 4 3 4 4" xfId="19691"/>
    <cellStyle name="Normal 20 2 2 4 3 5" xfId="19692"/>
    <cellStyle name="Normal 20 2 2 4 3 5 2" xfId="19693"/>
    <cellStyle name="Normal 20 2 2 4 3 5 2 2" xfId="19694"/>
    <cellStyle name="Normal 20 2 2 4 3 5 3" xfId="19695"/>
    <cellStyle name="Normal 20 2 2 4 3 6" xfId="19696"/>
    <cellStyle name="Normal 20 2 2 4 3 6 2" xfId="19697"/>
    <cellStyle name="Normal 20 2 2 4 3 7" xfId="19698"/>
    <cellStyle name="Normal 20 2 2 4 4" xfId="19699"/>
    <cellStyle name="Normal 20 2 2 4 4 2" xfId="19700"/>
    <cellStyle name="Normal 20 2 2 4 4 2 2" xfId="19701"/>
    <cellStyle name="Normal 20 2 2 4 4 2 2 2" xfId="19702"/>
    <cellStyle name="Normal 20 2 2 4 4 2 2 2 2" xfId="19703"/>
    <cellStyle name="Normal 20 2 2 4 4 2 2 3" xfId="19704"/>
    <cellStyle name="Normal 20 2 2 4 4 2 3" xfId="19705"/>
    <cellStyle name="Normal 20 2 2 4 4 2 3 2" xfId="19706"/>
    <cellStyle name="Normal 20 2 2 4 4 2 4" xfId="19707"/>
    <cellStyle name="Normal 20 2 2 4 4 3" xfId="19708"/>
    <cellStyle name="Normal 20 2 2 4 4 3 2" xfId="19709"/>
    <cellStyle name="Normal 20 2 2 4 4 3 2 2" xfId="19710"/>
    <cellStyle name="Normal 20 2 2 4 4 3 2 2 2" xfId="19711"/>
    <cellStyle name="Normal 20 2 2 4 4 3 2 3" xfId="19712"/>
    <cellStyle name="Normal 20 2 2 4 4 3 3" xfId="19713"/>
    <cellStyle name="Normal 20 2 2 4 4 3 3 2" xfId="19714"/>
    <cellStyle name="Normal 20 2 2 4 4 3 4" xfId="19715"/>
    <cellStyle name="Normal 20 2 2 4 4 4" xfId="19716"/>
    <cellStyle name="Normal 20 2 2 4 4 4 2" xfId="19717"/>
    <cellStyle name="Normal 20 2 2 4 4 4 2 2" xfId="19718"/>
    <cellStyle name="Normal 20 2 2 4 4 4 3" xfId="19719"/>
    <cellStyle name="Normal 20 2 2 4 4 5" xfId="19720"/>
    <cellStyle name="Normal 20 2 2 4 4 5 2" xfId="19721"/>
    <cellStyle name="Normal 20 2 2 4 4 6" xfId="19722"/>
    <cellStyle name="Normal 20 2 2 4 5" xfId="19723"/>
    <cellStyle name="Normal 20 2 2 4 5 2" xfId="19724"/>
    <cellStyle name="Normal 20 2 2 4 5 2 2" xfId="19725"/>
    <cellStyle name="Normal 20 2 2 4 5 2 2 2" xfId="19726"/>
    <cellStyle name="Normal 20 2 2 4 5 2 3" xfId="19727"/>
    <cellStyle name="Normal 20 2 2 4 5 3" xfId="19728"/>
    <cellStyle name="Normal 20 2 2 4 5 3 2" xfId="19729"/>
    <cellStyle name="Normal 20 2 2 4 5 4" xfId="19730"/>
    <cellStyle name="Normal 20 2 2 4 6" xfId="19731"/>
    <cellStyle name="Normal 20 2 2 4 6 2" xfId="19732"/>
    <cellStyle name="Normal 20 2 2 4 6 2 2" xfId="19733"/>
    <cellStyle name="Normal 20 2 2 4 6 2 2 2" xfId="19734"/>
    <cellStyle name="Normal 20 2 2 4 6 2 3" xfId="19735"/>
    <cellStyle name="Normal 20 2 2 4 6 3" xfId="19736"/>
    <cellStyle name="Normal 20 2 2 4 6 3 2" xfId="19737"/>
    <cellStyle name="Normal 20 2 2 4 6 4" xfId="19738"/>
    <cellStyle name="Normal 20 2 2 4 7" xfId="19739"/>
    <cellStyle name="Normal 20 2 2 4 7 2" xfId="19740"/>
    <cellStyle name="Normal 20 2 2 4 7 2 2" xfId="19741"/>
    <cellStyle name="Normal 20 2 2 4 7 2 2 2" xfId="19742"/>
    <cellStyle name="Normal 20 2 2 4 7 2 3" xfId="19743"/>
    <cellStyle name="Normal 20 2 2 4 7 3" xfId="19744"/>
    <cellStyle name="Normal 20 2 2 4 7 3 2" xfId="19745"/>
    <cellStyle name="Normal 20 2 2 4 7 4" xfId="19746"/>
    <cellStyle name="Normal 20 2 2 4 8" xfId="19747"/>
    <cellStyle name="Normal 20 2 2 4 8 2" xfId="19748"/>
    <cellStyle name="Normal 20 2 2 4 8 2 2" xfId="19749"/>
    <cellStyle name="Normal 20 2 2 4 8 3" xfId="19750"/>
    <cellStyle name="Normal 20 2 2 4 9" xfId="19751"/>
    <cellStyle name="Normal 20 2 2 4 9 2" xfId="19752"/>
    <cellStyle name="Normal 20 2 2 5" xfId="19753"/>
    <cellStyle name="Normal 20 2 2 5 2" xfId="19754"/>
    <cellStyle name="Normal 20 2 2 5 2 2" xfId="19755"/>
    <cellStyle name="Normal 20 2 2 5 2 2 2" xfId="19756"/>
    <cellStyle name="Normal 20 2 2 5 2 2 2 2" xfId="19757"/>
    <cellStyle name="Normal 20 2 2 5 2 2 2 2 2" xfId="19758"/>
    <cellStyle name="Normal 20 2 2 5 2 2 2 2 2 2" xfId="19759"/>
    <cellStyle name="Normal 20 2 2 5 2 2 2 2 3" xfId="19760"/>
    <cellStyle name="Normal 20 2 2 5 2 2 2 3" xfId="19761"/>
    <cellStyle name="Normal 20 2 2 5 2 2 2 3 2" xfId="19762"/>
    <cellStyle name="Normal 20 2 2 5 2 2 2 4" xfId="19763"/>
    <cellStyle name="Normal 20 2 2 5 2 2 3" xfId="19764"/>
    <cellStyle name="Normal 20 2 2 5 2 2 3 2" xfId="19765"/>
    <cellStyle name="Normal 20 2 2 5 2 2 3 2 2" xfId="19766"/>
    <cellStyle name="Normal 20 2 2 5 2 2 3 2 2 2" xfId="19767"/>
    <cellStyle name="Normal 20 2 2 5 2 2 3 2 3" xfId="19768"/>
    <cellStyle name="Normal 20 2 2 5 2 2 3 3" xfId="19769"/>
    <cellStyle name="Normal 20 2 2 5 2 2 3 3 2" xfId="19770"/>
    <cellStyle name="Normal 20 2 2 5 2 2 3 4" xfId="19771"/>
    <cellStyle name="Normal 20 2 2 5 2 2 4" xfId="19772"/>
    <cellStyle name="Normal 20 2 2 5 2 2 4 2" xfId="19773"/>
    <cellStyle name="Normal 20 2 2 5 2 2 4 2 2" xfId="19774"/>
    <cellStyle name="Normal 20 2 2 5 2 2 4 3" xfId="19775"/>
    <cellStyle name="Normal 20 2 2 5 2 2 5" xfId="19776"/>
    <cellStyle name="Normal 20 2 2 5 2 2 5 2" xfId="19777"/>
    <cellStyle name="Normal 20 2 2 5 2 2 6" xfId="19778"/>
    <cellStyle name="Normal 20 2 2 5 2 3" xfId="19779"/>
    <cellStyle name="Normal 20 2 2 5 2 3 2" xfId="19780"/>
    <cellStyle name="Normal 20 2 2 5 2 3 2 2" xfId="19781"/>
    <cellStyle name="Normal 20 2 2 5 2 3 2 2 2" xfId="19782"/>
    <cellStyle name="Normal 20 2 2 5 2 3 2 3" xfId="19783"/>
    <cellStyle name="Normal 20 2 2 5 2 3 3" xfId="19784"/>
    <cellStyle name="Normal 20 2 2 5 2 3 3 2" xfId="19785"/>
    <cellStyle name="Normal 20 2 2 5 2 3 4" xfId="19786"/>
    <cellStyle name="Normal 20 2 2 5 2 4" xfId="19787"/>
    <cellStyle name="Normal 20 2 2 5 2 4 2" xfId="19788"/>
    <cellStyle name="Normal 20 2 2 5 2 4 2 2" xfId="19789"/>
    <cellStyle name="Normal 20 2 2 5 2 4 2 2 2" xfId="19790"/>
    <cellStyle name="Normal 20 2 2 5 2 4 2 3" xfId="19791"/>
    <cellStyle name="Normal 20 2 2 5 2 4 3" xfId="19792"/>
    <cellStyle name="Normal 20 2 2 5 2 4 3 2" xfId="19793"/>
    <cellStyle name="Normal 20 2 2 5 2 4 4" xfId="19794"/>
    <cellStyle name="Normal 20 2 2 5 2 5" xfId="19795"/>
    <cellStyle name="Normal 20 2 2 5 2 5 2" xfId="19796"/>
    <cellStyle name="Normal 20 2 2 5 2 5 2 2" xfId="19797"/>
    <cellStyle name="Normal 20 2 2 5 2 5 3" xfId="19798"/>
    <cellStyle name="Normal 20 2 2 5 2 6" xfId="19799"/>
    <cellStyle name="Normal 20 2 2 5 2 6 2" xfId="19800"/>
    <cellStyle name="Normal 20 2 2 5 2 7" xfId="19801"/>
    <cellStyle name="Normal 20 2 2 5 3" xfId="19802"/>
    <cellStyle name="Normal 20 2 2 5 3 2" xfId="19803"/>
    <cellStyle name="Normal 20 2 2 5 3 2 2" xfId="19804"/>
    <cellStyle name="Normal 20 2 2 5 3 2 2 2" xfId="19805"/>
    <cellStyle name="Normal 20 2 2 5 3 2 2 2 2" xfId="19806"/>
    <cellStyle name="Normal 20 2 2 5 3 2 2 3" xfId="19807"/>
    <cellStyle name="Normal 20 2 2 5 3 2 3" xfId="19808"/>
    <cellStyle name="Normal 20 2 2 5 3 2 3 2" xfId="19809"/>
    <cellStyle name="Normal 20 2 2 5 3 2 4" xfId="19810"/>
    <cellStyle name="Normal 20 2 2 5 3 3" xfId="19811"/>
    <cellStyle name="Normal 20 2 2 5 3 3 2" xfId="19812"/>
    <cellStyle name="Normal 20 2 2 5 3 3 2 2" xfId="19813"/>
    <cellStyle name="Normal 20 2 2 5 3 3 2 2 2" xfId="19814"/>
    <cellStyle name="Normal 20 2 2 5 3 3 2 3" xfId="19815"/>
    <cellStyle name="Normal 20 2 2 5 3 3 3" xfId="19816"/>
    <cellStyle name="Normal 20 2 2 5 3 3 3 2" xfId="19817"/>
    <cellStyle name="Normal 20 2 2 5 3 3 4" xfId="19818"/>
    <cellStyle name="Normal 20 2 2 5 3 4" xfId="19819"/>
    <cellStyle name="Normal 20 2 2 5 3 4 2" xfId="19820"/>
    <cellStyle name="Normal 20 2 2 5 3 4 2 2" xfId="19821"/>
    <cellStyle name="Normal 20 2 2 5 3 4 3" xfId="19822"/>
    <cellStyle name="Normal 20 2 2 5 3 5" xfId="19823"/>
    <cellStyle name="Normal 20 2 2 5 3 5 2" xfId="19824"/>
    <cellStyle name="Normal 20 2 2 5 3 6" xfId="19825"/>
    <cellStyle name="Normal 20 2 2 5 4" xfId="19826"/>
    <cellStyle name="Normal 20 2 2 5 4 2" xfId="19827"/>
    <cellStyle name="Normal 20 2 2 5 4 2 2" xfId="19828"/>
    <cellStyle name="Normal 20 2 2 5 4 2 2 2" xfId="19829"/>
    <cellStyle name="Normal 20 2 2 5 4 2 3" xfId="19830"/>
    <cellStyle name="Normal 20 2 2 5 4 3" xfId="19831"/>
    <cellStyle name="Normal 20 2 2 5 4 3 2" xfId="19832"/>
    <cellStyle name="Normal 20 2 2 5 4 4" xfId="19833"/>
    <cellStyle name="Normal 20 2 2 5 5" xfId="19834"/>
    <cellStyle name="Normal 20 2 2 5 5 2" xfId="19835"/>
    <cellStyle name="Normal 20 2 2 5 5 2 2" xfId="19836"/>
    <cellStyle name="Normal 20 2 2 5 5 2 2 2" xfId="19837"/>
    <cellStyle name="Normal 20 2 2 5 5 2 3" xfId="19838"/>
    <cellStyle name="Normal 20 2 2 5 5 3" xfId="19839"/>
    <cellStyle name="Normal 20 2 2 5 5 3 2" xfId="19840"/>
    <cellStyle name="Normal 20 2 2 5 5 4" xfId="19841"/>
    <cellStyle name="Normal 20 2 2 5 6" xfId="19842"/>
    <cellStyle name="Normal 20 2 2 5 6 2" xfId="19843"/>
    <cellStyle name="Normal 20 2 2 5 6 2 2" xfId="19844"/>
    <cellStyle name="Normal 20 2 2 5 6 2 2 2" xfId="19845"/>
    <cellStyle name="Normal 20 2 2 5 6 2 3" xfId="19846"/>
    <cellStyle name="Normal 20 2 2 5 6 3" xfId="19847"/>
    <cellStyle name="Normal 20 2 2 5 6 3 2" xfId="19848"/>
    <cellStyle name="Normal 20 2 2 5 6 4" xfId="19849"/>
    <cellStyle name="Normal 20 2 2 5 7" xfId="19850"/>
    <cellStyle name="Normal 20 2 2 5 7 2" xfId="19851"/>
    <cellStyle name="Normal 20 2 2 5 7 2 2" xfId="19852"/>
    <cellStyle name="Normal 20 2 2 5 7 3" xfId="19853"/>
    <cellStyle name="Normal 20 2 2 5 8" xfId="19854"/>
    <cellStyle name="Normal 20 2 2 5 8 2" xfId="19855"/>
    <cellStyle name="Normal 20 2 2 5 9" xfId="19856"/>
    <cellStyle name="Normal 20 2 2 6" xfId="19857"/>
    <cellStyle name="Normal 20 2 2 6 2" xfId="19858"/>
    <cellStyle name="Normal 20 2 2 6 2 2" xfId="19859"/>
    <cellStyle name="Normal 20 2 2 6 2 2 2" xfId="19860"/>
    <cellStyle name="Normal 20 2 2 6 2 2 2 2" xfId="19861"/>
    <cellStyle name="Normal 20 2 2 6 2 2 2 2 2" xfId="19862"/>
    <cellStyle name="Normal 20 2 2 6 2 2 2 3" xfId="19863"/>
    <cellStyle name="Normal 20 2 2 6 2 2 3" xfId="19864"/>
    <cellStyle name="Normal 20 2 2 6 2 2 3 2" xfId="19865"/>
    <cellStyle name="Normal 20 2 2 6 2 2 4" xfId="19866"/>
    <cellStyle name="Normal 20 2 2 6 2 3" xfId="19867"/>
    <cellStyle name="Normal 20 2 2 6 2 3 2" xfId="19868"/>
    <cellStyle name="Normal 20 2 2 6 2 3 2 2" xfId="19869"/>
    <cellStyle name="Normal 20 2 2 6 2 3 2 2 2" xfId="19870"/>
    <cellStyle name="Normal 20 2 2 6 2 3 2 3" xfId="19871"/>
    <cellStyle name="Normal 20 2 2 6 2 3 3" xfId="19872"/>
    <cellStyle name="Normal 20 2 2 6 2 3 3 2" xfId="19873"/>
    <cellStyle name="Normal 20 2 2 6 2 3 4" xfId="19874"/>
    <cellStyle name="Normal 20 2 2 6 2 4" xfId="19875"/>
    <cellStyle name="Normal 20 2 2 6 2 4 2" xfId="19876"/>
    <cellStyle name="Normal 20 2 2 6 2 4 2 2" xfId="19877"/>
    <cellStyle name="Normal 20 2 2 6 2 4 3" xfId="19878"/>
    <cellStyle name="Normal 20 2 2 6 2 5" xfId="19879"/>
    <cellStyle name="Normal 20 2 2 6 2 5 2" xfId="19880"/>
    <cellStyle name="Normal 20 2 2 6 2 6" xfId="19881"/>
    <cellStyle name="Normal 20 2 2 6 3" xfId="19882"/>
    <cellStyle name="Normal 20 2 2 6 3 2" xfId="19883"/>
    <cellStyle name="Normal 20 2 2 6 3 2 2" xfId="19884"/>
    <cellStyle name="Normal 20 2 2 6 3 2 2 2" xfId="19885"/>
    <cellStyle name="Normal 20 2 2 6 3 2 3" xfId="19886"/>
    <cellStyle name="Normal 20 2 2 6 3 3" xfId="19887"/>
    <cellStyle name="Normal 20 2 2 6 3 3 2" xfId="19888"/>
    <cellStyle name="Normal 20 2 2 6 3 4" xfId="19889"/>
    <cellStyle name="Normal 20 2 2 6 4" xfId="19890"/>
    <cellStyle name="Normal 20 2 2 6 4 2" xfId="19891"/>
    <cellStyle name="Normal 20 2 2 6 4 2 2" xfId="19892"/>
    <cellStyle name="Normal 20 2 2 6 4 2 2 2" xfId="19893"/>
    <cellStyle name="Normal 20 2 2 6 4 2 3" xfId="19894"/>
    <cellStyle name="Normal 20 2 2 6 4 3" xfId="19895"/>
    <cellStyle name="Normal 20 2 2 6 4 3 2" xfId="19896"/>
    <cellStyle name="Normal 20 2 2 6 4 4" xfId="19897"/>
    <cellStyle name="Normal 20 2 2 6 5" xfId="19898"/>
    <cellStyle name="Normal 20 2 2 6 5 2" xfId="19899"/>
    <cellStyle name="Normal 20 2 2 6 5 2 2" xfId="19900"/>
    <cellStyle name="Normal 20 2 2 6 5 3" xfId="19901"/>
    <cellStyle name="Normal 20 2 2 6 6" xfId="19902"/>
    <cellStyle name="Normal 20 2 2 6 6 2" xfId="19903"/>
    <cellStyle name="Normal 20 2 2 6 7" xfId="19904"/>
    <cellStyle name="Normal 20 2 2 7" xfId="19905"/>
    <cellStyle name="Normal 20 2 2 7 2" xfId="19906"/>
    <cellStyle name="Normal 20 2 2 7 2 2" xfId="19907"/>
    <cellStyle name="Normal 20 2 2 7 2 2 2" xfId="19908"/>
    <cellStyle name="Normal 20 2 2 7 2 2 2 2" xfId="19909"/>
    <cellStyle name="Normal 20 2 2 7 2 2 3" xfId="19910"/>
    <cellStyle name="Normal 20 2 2 7 2 3" xfId="19911"/>
    <cellStyle name="Normal 20 2 2 7 2 3 2" xfId="19912"/>
    <cellStyle name="Normal 20 2 2 7 2 4" xfId="19913"/>
    <cellStyle name="Normal 20 2 2 7 3" xfId="19914"/>
    <cellStyle name="Normal 20 2 2 7 3 2" xfId="19915"/>
    <cellStyle name="Normal 20 2 2 7 3 2 2" xfId="19916"/>
    <cellStyle name="Normal 20 2 2 7 3 2 2 2" xfId="19917"/>
    <cellStyle name="Normal 20 2 2 7 3 2 3" xfId="19918"/>
    <cellStyle name="Normal 20 2 2 7 3 3" xfId="19919"/>
    <cellStyle name="Normal 20 2 2 7 3 3 2" xfId="19920"/>
    <cellStyle name="Normal 20 2 2 7 3 4" xfId="19921"/>
    <cellStyle name="Normal 20 2 2 7 4" xfId="19922"/>
    <cellStyle name="Normal 20 2 2 7 4 2" xfId="19923"/>
    <cellStyle name="Normal 20 2 2 7 4 2 2" xfId="19924"/>
    <cellStyle name="Normal 20 2 2 7 4 3" xfId="19925"/>
    <cellStyle name="Normal 20 2 2 7 5" xfId="19926"/>
    <cellStyle name="Normal 20 2 2 7 5 2" xfId="19927"/>
    <cellStyle name="Normal 20 2 2 7 6" xfId="19928"/>
    <cellStyle name="Normal 20 2 2 8" xfId="19929"/>
    <cellStyle name="Normal 20 2 2 8 2" xfId="19930"/>
    <cellStyle name="Normal 20 2 2 8 2 2" xfId="19931"/>
    <cellStyle name="Normal 20 2 2 8 2 2 2" xfId="19932"/>
    <cellStyle name="Normal 20 2 2 8 2 3" xfId="19933"/>
    <cellStyle name="Normal 20 2 2 8 3" xfId="19934"/>
    <cellStyle name="Normal 20 2 2 8 3 2" xfId="19935"/>
    <cellStyle name="Normal 20 2 2 8 4" xfId="19936"/>
    <cellStyle name="Normal 20 2 2 9" xfId="19937"/>
    <cellStyle name="Normal 20 2 2 9 2" xfId="19938"/>
    <cellStyle name="Normal 20 2 2 9 2 2" xfId="19939"/>
    <cellStyle name="Normal 20 2 2 9 2 2 2" xfId="19940"/>
    <cellStyle name="Normal 20 2 2 9 2 3" xfId="19941"/>
    <cellStyle name="Normal 20 2 2 9 3" xfId="19942"/>
    <cellStyle name="Normal 20 2 2 9 3 2" xfId="19943"/>
    <cellStyle name="Normal 20 2 2 9 4" xfId="19944"/>
    <cellStyle name="Normal 20 2 3" xfId="19945"/>
    <cellStyle name="Normal 20 2 3 10" xfId="19946"/>
    <cellStyle name="Normal 20 2 3 10 2" xfId="19947"/>
    <cellStyle name="Normal 20 2 3 11" xfId="19948"/>
    <cellStyle name="Normal 20 2 3 2" xfId="19949"/>
    <cellStyle name="Normal 20 2 3 2 10" xfId="19950"/>
    <cellStyle name="Normal 20 2 3 2 2" xfId="19951"/>
    <cellStyle name="Normal 20 2 3 2 2 2" xfId="19952"/>
    <cellStyle name="Normal 20 2 3 2 2 2 2" xfId="19953"/>
    <cellStyle name="Normal 20 2 3 2 2 2 2 2" xfId="19954"/>
    <cellStyle name="Normal 20 2 3 2 2 2 2 2 2" xfId="19955"/>
    <cellStyle name="Normal 20 2 3 2 2 2 2 2 2 2" xfId="19956"/>
    <cellStyle name="Normal 20 2 3 2 2 2 2 2 2 2 2" xfId="19957"/>
    <cellStyle name="Normal 20 2 3 2 2 2 2 2 2 3" xfId="19958"/>
    <cellStyle name="Normal 20 2 3 2 2 2 2 2 3" xfId="19959"/>
    <cellStyle name="Normal 20 2 3 2 2 2 2 2 3 2" xfId="19960"/>
    <cellStyle name="Normal 20 2 3 2 2 2 2 2 4" xfId="19961"/>
    <cellStyle name="Normal 20 2 3 2 2 2 2 3" xfId="19962"/>
    <cellStyle name="Normal 20 2 3 2 2 2 2 3 2" xfId="19963"/>
    <cellStyle name="Normal 20 2 3 2 2 2 2 3 2 2" xfId="19964"/>
    <cellStyle name="Normal 20 2 3 2 2 2 2 3 2 2 2" xfId="19965"/>
    <cellStyle name="Normal 20 2 3 2 2 2 2 3 2 3" xfId="19966"/>
    <cellStyle name="Normal 20 2 3 2 2 2 2 3 3" xfId="19967"/>
    <cellStyle name="Normal 20 2 3 2 2 2 2 3 3 2" xfId="19968"/>
    <cellStyle name="Normal 20 2 3 2 2 2 2 3 4" xfId="19969"/>
    <cellStyle name="Normal 20 2 3 2 2 2 2 4" xfId="19970"/>
    <cellStyle name="Normal 20 2 3 2 2 2 2 4 2" xfId="19971"/>
    <cellStyle name="Normal 20 2 3 2 2 2 2 4 2 2" xfId="19972"/>
    <cellStyle name="Normal 20 2 3 2 2 2 2 4 3" xfId="19973"/>
    <cellStyle name="Normal 20 2 3 2 2 2 2 5" xfId="19974"/>
    <cellStyle name="Normal 20 2 3 2 2 2 2 5 2" xfId="19975"/>
    <cellStyle name="Normal 20 2 3 2 2 2 2 6" xfId="19976"/>
    <cellStyle name="Normal 20 2 3 2 2 2 3" xfId="19977"/>
    <cellStyle name="Normal 20 2 3 2 2 2 3 2" xfId="19978"/>
    <cellStyle name="Normal 20 2 3 2 2 2 3 2 2" xfId="19979"/>
    <cellStyle name="Normal 20 2 3 2 2 2 3 2 2 2" xfId="19980"/>
    <cellStyle name="Normal 20 2 3 2 2 2 3 2 3" xfId="19981"/>
    <cellStyle name="Normal 20 2 3 2 2 2 3 3" xfId="19982"/>
    <cellStyle name="Normal 20 2 3 2 2 2 3 3 2" xfId="19983"/>
    <cellStyle name="Normal 20 2 3 2 2 2 3 4" xfId="19984"/>
    <cellStyle name="Normal 20 2 3 2 2 2 4" xfId="19985"/>
    <cellStyle name="Normal 20 2 3 2 2 2 4 2" xfId="19986"/>
    <cellStyle name="Normal 20 2 3 2 2 2 4 2 2" xfId="19987"/>
    <cellStyle name="Normal 20 2 3 2 2 2 4 2 2 2" xfId="19988"/>
    <cellStyle name="Normal 20 2 3 2 2 2 4 2 3" xfId="19989"/>
    <cellStyle name="Normal 20 2 3 2 2 2 4 3" xfId="19990"/>
    <cellStyle name="Normal 20 2 3 2 2 2 4 3 2" xfId="19991"/>
    <cellStyle name="Normal 20 2 3 2 2 2 4 4" xfId="19992"/>
    <cellStyle name="Normal 20 2 3 2 2 2 5" xfId="19993"/>
    <cellStyle name="Normal 20 2 3 2 2 2 5 2" xfId="19994"/>
    <cellStyle name="Normal 20 2 3 2 2 2 5 2 2" xfId="19995"/>
    <cellStyle name="Normal 20 2 3 2 2 2 5 3" xfId="19996"/>
    <cellStyle name="Normal 20 2 3 2 2 2 6" xfId="19997"/>
    <cellStyle name="Normal 20 2 3 2 2 2 6 2" xfId="19998"/>
    <cellStyle name="Normal 20 2 3 2 2 2 7" xfId="19999"/>
    <cellStyle name="Normal 20 2 3 2 2 3" xfId="20000"/>
    <cellStyle name="Normal 20 2 3 2 2 3 2" xfId="20001"/>
    <cellStyle name="Normal 20 2 3 2 2 3 2 2" xfId="20002"/>
    <cellStyle name="Normal 20 2 3 2 2 3 2 2 2" xfId="20003"/>
    <cellStyle name="Normal 20 2 3 2 2 3 2 2 2 2" xfId="20004"/>
    <cellStyle name="Normal 20 2 3 2 2 3 2 2 3" xfId="20005"/>
    <cellStyle name="Normal 20 2 3 2 2 3 2 3" xfId="20006"/>
    <cellStyle name="Normal 20 2 3 2 2 3 2 3 2" xfId="20007"/>
    <cellStyle name="Normal 20 2 3 2 2 3 2 4" xfId="20008"/>
    <cellStyle name="Normal 20 2 3 2 2 3 3" xfId="20009"/>
    <cellStyle name="Normal 20 2 3 2 2 3 3 2" xfId="20010"/>
    <cellStyle name="Normal 20 2 3 2 2 3 3 2 2" xfId="20011"/>
    <cellStyle name="Normal 20 2 3 2 2 3 3 2 2 2" xfId="20012"/>
    <cellStyle name="Normal 20 2 3 2 2 3 3 2 3" xfId="20013"/>
    <cellStyle name="Normal 20 2 3 2 2 3 3 3" xfId="20014"/>
    <cellStyle name="Normal 20 2 3 2 2 3 3 3 2" xfId="20015"/>
    <cellStyle name="Normal 20 2 3 2 2 3 3 4" xfId="20016"/>
    <cellStyle name="Normal 20 2 3 2 2 3 4" xfId="20017"/>
    <cellStyle name="Normal 20 2 3 2 2 3 4 2" xfId="20018"/>
    <cellStyle name="Normal 20 2 3 2 2 3 4 2 2" xfId="20019"/>
    <cellStyle name="Normal 20 2 3 2 2 3 4 3" xfId="20020"/>
    <cellStyle name="Normal 20 2 3 2 2 3 5" xfId="20021"/>
    <cellStyle name="Normal 20 2 3 2 2 3 5 2" xfId="20022"/>
    <cellStyle name="Normal 20 2 3 2 2 3 6" xfId="20023"/>
    <cellStyle name="Normal 20 2 3 2 2 4" xfId="20024"/>
    <cellStyle name="Normal 20 2 3 2 2 4 2" xfId="20025"/>
    <cellStyle name="Normal 20 2 3 2 2 4 2 2" xfId="20026"/>
    <cellStyle name="Normal 20 2 3 2 2 4 2 2 2" xfId="20027"/>
    <cellStyle name="Normal 20 2 3 2 2 4 2 3" xfId="20028"/>
    <cellStyle name="Normal 20 2 3 2 2 4 3" xfId="20029"/>
    <cellStyle name="Normal 20 2 3 2 2 4 3 2" xfId="20030"/>
    <cellStyle name="Normal 20 2 3 2 2 4 4" xfId="20031"/>
    <cellStyle name="Normal 20 2 3 2 2 5" xfId="20032"/>
    <cellStyle name="Normal 20 2 3 2 2 5 2" xfId="20033"/>
    <cellStyle name="Normal 20 2 3 2 2 5 2 2" xfId="20034"/>
    <cellStyle name="Normal 20 2 3 2 2 5 2 2 2" xfId="20035"/>
    <cellStyle name="Normal 20 2 3 2 2 5 2 3" xfId="20036"/>
    <cellStyle name="Normal 20 2 3 2 2 5 3" xfId="20037"/>
    <cellStyle name="Normal 20 2 3 2 2 5 3 2" xfId="20038"/>
    <cellStyle name="Normal 20 2 3 2 2 5 4" xfId="20039"/>
    <cellStyle name="Normal 20 2 3 2 2 6" xfId="20040"/>
    <cellStyle name="Normal 20 2 3 2 2 6 2" xfId="20041"/>
    <cellStyle name="Normal 20 2 3 2 2 6 2 2" xfId="20042"/>
    <cellStyle name="Normal 20 2 3 2 2 6 2 2 2" xfId="20043"/>
    <cellStyle name="Normal 20 2 3 2 2 6 2 3" xfId="20044"/>
    <cellStyle name="Normal 20 2 3 2 2 6 3" xfId="20045"/>
    <cellStyle name="Normal 20 2 3 2 2 6 3 2" xfId="20046"/>
    <cellStyle name="Normal 20 2 3 2 2 6 4" xfId="20047"/>
    <cellStyle name="Normal 20 2 3 2 2 7" xfId="20048"/>
    <cellStyle name="Normal 20 2 3 2 2 7 2" xfId="20049"/>
    <cellStyle name="Normal 20 2 3 2 2 7 2 2" xfId="20050"/>
    <cellStyle name="Normal 20 2 3 2 2 7 3" xfId="20051"/>
    <cellStyle name="Normal 20 2 3 2 2 8" xfId="20052"/>
    <cellStyle name="Normal 20 2 3 2 2 8 2" xfId="20053"/>
    <cellStyle name="Normal 20 2 3 2 2 9" xfId="20054"/>
    <cellStyle name="Normal 20 2 3 2 3" xfId="20055"/>
    <cellStyle name="Normal 20 2 3 2 3 2" xfId="20056"/>
    <cellStyle name="Normal 20 2 3 2 3 2 2" xfId="20057"/>
    <cellStyle name="Normal 20 2 3 2 3 2 2 2" xfId="20058"/>
    <cellStyle name="Normal 20 2 3 2 3 2 2 2 2" xfId="20059"/>
    <cellStyle name="Normal 20 2 3 2 3 2 2 2 2 2" xfId="20060"/>
    <cellStyle name="Normal 20 2 3 2 3 2 2 2 3" xfId="20061"/>
    <cellStyle name="Normal 20 2 3 2 3 2 2 3" xfId="20062"/>
    <cellStyle name="Normal 20 2 3 2 3 2 2 3 2" xfId="20063"/>
    <cellStyle name="Normal 20 2 3 2 3 2 2 4" xfId="20064"/>
    <cellStyle name="Normal 20 2 3 2 3 2 3" xfId="20065"/>
    <cellStyle name="Normal 20 2 3 2 3 2 3 2" xfId="20066"/>
    <cellStyle name="Normal 20 2 3 2 3 2 3 2 2" xfId="20067"/>
    <cellStyle name="Normal 20 2 3 2 3 2 3 2 2 2" xfId="20068"/>
    <cellStyle name="Normal 20 2 3 2 3 2 3 2 3" xfId="20069"/>
    <cellStyle name="Normal 20 2 3 2 3 2 3 3" xfId="20070"/>
    <cellStyle name="Normal 20 2 3 2 3 2 3 3 2" xfId="20071"/>
    <cellStyle name="Normal 20 2 3 2 3 2 3 4" xfId="20072"/>
    <cellStyle name="Normal 20 2 3 2 3 2 4" xfId="20073"/>
    <cellStyle name="Normal 20 2 3 2 3 2 4 2" xfId="20074"/>
    <cellStyle name="Normal 20 2 3 2 3 2 4 2 2" xfId="20075"/>
    <cellStyle name="Normal 20 2 3 2 3 2 4 3" xfId="20076"/>
    <cellStyle name="Normal 20 2 3 2 3 2 5" xfId="20077"/>
    <cellStyle name="Normal 20 2 3 2 3 2 5 2" xfId="20078"/>
    <cellStyle name="Normal 20 2 3 2 3 2 6" xfId="20079"/>
    <cellStyle name="Normal 20 2 3 2 3 3" xfId="20080"/>
    <cellStyle name="Normal 20 2 3 2 3 3 2" xfId="20081"/>
    <cellStyle name="Normal 20 2 3 2 3 3 2 2" xfId="20082"/>
    <cellStyle name="Normal 20 2 3 2 3 3 2 2 2" xfId="20083"/>
    <cellStyle name="Normal 20 2 3 2 3 3 2 3" xfId="20084"/>
    <cellStyle name="Normal 20 2 3 2 3 3 3" xfId="20085"/>
    <cellStyle name="Normal 20 2 3 2 3 3 3 2" xfId="20086"/>
    <cellStyle name="Normal 20 2 3 2 3 3 4" xfId="20087"/>
    <cellStyle name="Normal 20 2 3 2 3 4" xfId="20088"/>
    <cellStyle name="Normal 20 2 3 2 3 4 2" xfId="20089"/>
    <cellStyle name="Normal 20 2 3 2 3 4 2 2" xfId="20090"/>
    <cellStyle name="Normal 20 2 3 2 3 4 2 2 2" xfId="20091"/>
    <cellStyle name="Normal 20 2 3 2 3 4 2 3" xfId="20092"/>
    <cellStyle name="Normal 20 2 3 2 3 4 3" xfId="20093"/>
    <cellStyle name="Normal 20 2 3 2 3 4 3 2" xfId="20094"/>
    <cellStyle name="Normal 20 2 3 2 3 4 4" xfId="20095"/>
    <cellStyle name="Normal 20 2 3 2 3 5" xfId="20096"/>
    <cellStyle name="Normal 20 2 3 2 3 5 2" xfId="20097"/>
    <cellStyle name="Normal 20 2 3 2 3 5 2 2" xfId="20098"/>
    <cellStyle name="Normal 20 2 3 2 3 5 3" xfId="20099"/>
    <cellStyle name="Normal 20 2 3 2 3 6" xfId="20100"/>
    <cellStyle name="Normal 20 2 3 2 3 6 2" xfId="20101"/>
    <cellStyle name="Normal 20 2 3 2 3 7" xfId="20102"/>
    <cellStyle name="Normal 20 2 3 2 4" xfId="20103"/>
    <cellStyle name="Normal 20 2 3 2 4 2" xfId="20104"/>
    <cellStyle name="Normal 20 2 3 2 4 2 2" xfId="20105"/>
    <cellStyle name="Normal 20 2 3 2 4 2 2 2" xfId="20106"/>
    <cellStyle name="Normal 20 2 3 2 4 2 2 2 2" xfId="20107"/>
    <cellStyle name="Normal 20 2 3 2 4 2 2 3" xfId="20108"/>
    <cellStyle name="Normal 20 2 3 2 4 2 3" xfId="20109"/>
    <cellStyle name="Normal 20 2 3 2 4 2 3 2" xfId="20110"/>
    <cellStyle name="Normal 20 2 3 2 4 2 4" xfId="20111"/>
    <cellStyle name="Normal 20 2 3 2 4 3" xfId="20112"/>
    <cellStyle name="Normal 20 2 3 2 4 3 2" xfId="20113"/>
    <cellStyle name="Normal 20 2 3 2 4 3 2 2" xfId="20114"/>
    <cellStyle name="Normal 20 2 3 2 4 3 2 2 2" xfId="20115"/>
    <cellStyle name="Normal 20 2 3 2 4 3 2 3" xfId="20116"/>
    <cellStyle name="Normal 20 2 3 2 4 3 3" xfId="20117"/>
    <cellStyle name="Normal 20 2 3 2 4 3 3 2" xfId="20118"/>
    <cellStyle name="Normal 20 2 3 2 4 3 4" xfId="20119"/>
    <cellStyle name="Normal 20 2 3 2 4 4" xfId="20120"/>
    <cellStyle name="Normal 20 2 3 2 4 4 2" xfId="20121"/>
    <cellStyle name="Normal 20 2 3 2 4 4 2 2" xfId="20122"/>
    <cellStyle name="Normal 20 2 3 2 4 4 3" xfId="20123"/>
    <cellStyle name="Normal 20 2 3 2 4 5" xfId="20124"/>
    <cellStyle name="Normal 20 2 3 2 4 5 2" xfId="20125"/>
    <cellStyle name="Normal 20 2 3 2 4 6" xfId="20126"/>
    <cellStyle name="Normal 20 2 3 2 5" xfId="20127"/>
    <cellStyle name="Normal 20 2 3 2 5 2" xfId="20128"/>
    <cellStyle name="Normal 20 2 3 2 5 2 2" xfId="20129"/>
    <cellStyle name="Normal 20 2 3 2 5 2 2 2" xfId="20130"/>
    <cellStyle name="Normal 20 2 3 2 5 2 3" xfId="20131"/>
    <cellStyle name="Normal 20 2 3 2 5 3" xfId="20132"/>
    <cellStyle name="Normal 20 2 3 2 5 3 2" xfId="20133"/>
    <cellStyle name="Normal 20 2 3 2 5 4" xfId="20134"/>
    <cellStyle name="Normal 20 2 3 2 6" xfId="20135"/>
    <cellStyle name="Normal 20 2 3 2 6 2" xfId="20136"/>
    <cellStyle name="Normal 20 2 3 2 6 2 2" xfId="20137"/>
    <cellStyle name="Normal 20 2 3 2 6 2 2 2" xfId="20138"/>
    <cellStyle name="Normal 20 2 3 2 6 2 3" xfId="20139"/>
    <cellStyle name="Normal 20 2 3 2 6 3" xfId="20140"/>
    <cellStyle name="Normal 20 2 3 2 6 3 2" xfId="20141"/>
    <cellStyle name="Normal 20 2 3 2 6 4" xfId="20142"/>
    <cellStyle name="Normal 20 2 3 2 7" xfId="20143"/>
    <cellStyle name="Normal 20 2 3 2 7 2" xfId="20144"/>
    <cellStyle name="Normal 20 2 3 2 7 2 2" xfId="20145"/>
    <cellStyle name="Normal 20 2 3 2 7 2 2 2" xfId="20146"/>
    <cellStyle name="Normal 20 2 3 2 7 2 3" xfId="20147"/>
    <cellStyle name="Normal 20 2 3 2 7 3" xfId="20148"/>
    <cellStyle name="Normal 20 2 3 2 7 3 2" xfId="20149"/>
    <cellStyle name="Normal 20 2 3 2 7 4" xfId="20150"/>
    <cellStyle name="Normal 20 2 3 2 8" xfId="20151"/>
    <cellStyle name="Normal 20 2 3 2 8 2" xfId="20152"/>
    <cellStyle name="Normal 20 2 3 2 8 2 2" xfId="20153"/>
    <cellStyle name="Normal 20 2 3 2 8 3" xfId="20154"/>
    <cellStyle name="Normal 20 2 3 2 9" xfId="20155"/>
    <cellStyle name="Normal 20 2 3 2 9 2" xfId="20156"/>
    <cellStyle name="Normal 20 2 3 3" xfId="20157"/>
    <cellStyle name="Normal 20 2 3 3 2" xfId="20158"/>
    <cellStyle name="Normal 20 2 3 3 2 2" xfId="20159"/>
    <cellStyle name="Normal 20 2 3 3 2 2 2" xfId="20160"/>
    <cellStyle name="Normal 20 2 3 3 2 2 2 2" xfId="20161"/>
    <cellStyle name="Normal 20 2 3 3 2 2 2 2 2" xfId="20162"/>
    <cellStyle name="Normal 20 2 3 3 2 2 2 2 2 2" xfId="20163"/>
    <cellStyle name="Normal 20 2 3 3 2 2 2 2 3" xfId="20164"/>
    <cellStyle name="Normal 20 2 3 3 2 2 2 3" xfId="20165"/>
    <cellStyle name="Normal 20 2 3 3 2 2 2 3 2" xfId="20166"/>
    <cellStyle name="Normal 20 2 3 3 2 2 2 4" xfId="20167"/>
    <cellStyle name="Normal 20 2 3 3 2 2 3" xfId="20168"/>
    <cellStyle name="Normal 20 2 3 3 2 2 3 2" xfId="20169"/>
    <cellStyle name="Normal 20 2 3 3 2 2 3 2 2" xfId="20170"/>
    <cellStyle name="Normal 20 2 3 3 2 2 3 2 2 2" xfId="20171"/>
    <cellStyle name="Normal 20 2 3 3 2 2 3 2 3" xfId="20172"/>
    <cellStyle name="Normal 20 2 3 3 2 2 3 3" xfId="20173"/>
    <cellStyle name="Normal 20 2 3 3 2 2 3 3 2" xfId="20174"/>
    <cellStyle name="Normal 20 2 3 3 2 2 3 4" xfId="20175"/>
    <cellStyle name="Normal 20 2 3 3 2 2 4" xfId="20176"/>
    <cellStyle name="Normal 20 2 3 3 2 2 4 2" xfId="20177"/>
    <cellStyle name="Normal 20 2 3 3 2 2 4 2 2" xfId="20178"/>
    <cellStyle name="Normal 20 2 3 3 2 2 4 3" xfId="20179"/>
    <cellStyle name="Normal 20 2 3 3 2 2 5" xfId="20180"/>
    <cellStyle name="Normal 20 2 3 3 2 2 5 2" xfId="20181"/>
    <cellStyle name="Normal 20 2 3 3 2 2 6" xfId="20182"/>
    <cellStyle name="Normal 20 2 3 3 2 3" xfId="20183"/>
    <cellStyle name="Normal 20 2 3 3 2 3 2" xfId="20184"/>
    <cellStyle name="Normal 20 2 3 3 2 3 2 2" xfId="20185"/>
    <cellStyle name="Normal 20 2 3 3 2 3 2 2 2" xfId="20186"/>
    <cellStyle name="Normal 20 2 3 3 2 3 2 3" xfId="20187"/>
    <cellStyle name="Normal 20 2 3 3 2 3 3" xfId="20188"/>
    <cellStyle name="Normal 20 2 3 3 2 3 3 2" xfId="20189"/>
    <cellStyle name="Normal 20 2 3 3 2 3 4" xfId="20190"/>
    <cellStyle name="Normal 20 2 3 3 2 4" xfId="20191"/>
    <cellStyle name="Normal 20 2 3 3 2 4 2" xfId="20192"/>
    <cellStyle name="Normal 20 2 3 3 2 4 2 2" xfId="20193"/>
    <cellStyle name="Normal 20 2 3 3 2 4 2 2 2" xfId="20194"/>
    <cellStyle name="Normal 20 2 3 3 2 4 2 3" xfId="20195"/>
    <cellStyle name="Normal 20 2 3 3 2 4 3" xfId="20196"/>
    <cellStyle name="Normal 20 2 3 3 2 4 3 2" xfId="20197"/>
    <cellStyle name="Normal 20 2 3 3 2 4 4" xfId="20198"/>
    <cellStyle name="Normal 20 2 3 3 2 5" xfId="20199"/>
    <cellStyle name="Normal 20 2 3 3 2 5 2" xfId="20200"/>
    <cellStyle name="Normal 20 2 3 3 2 5 2 2" xfId="20201"/>
    <cellStyle name="Normal 20 2 3 3 2 5 3" xfId="20202"/>
    <cellStyle name="Normal 20 2 3 3 2 6" xfId="20203"/>
    <cellStyle name="Normal 20 2 3 3 2 6 2" xfId="20204"/>
    <cellStyle name="Normal 20 2 3 3 2 7" xfId="20205"/>
    <cellStyle name="Normal 20 2 3 3 3" xfId="20206"/>
    <cellStyle name="Normal 20 2 3 3 3 2" xfId="20207"/>
    <cellStyle name="Normal 20 2 3 3 3 2 2" xfId="20208"/>
    <cellStyle name="Normal 20 2 3 3 3 2 2 2" xfId="20209"/>
    <cellStyle name="Normal 20 2 3 3 3 2 2 2 2" xfId="20210"/>
    <cellStyle name="Normal 20 2 3 3 3 2 2 3" xfId="20211"/>
    <cellStyle name="Normal 20 2 3 3 3 2 3" xfId="20212"/>
    <cellStyle name="Normal 20 2 3 3 3 2 3 2" xfId="20213"/>
    <cellStyle name="Normal 20 2 3 3 3 2 4" xfId="20214"/>
    <cellStyle name="Normal 20 2 3 3 3 3" xfId="20215"/>
    <cellStyle name="Normal 20 2 3 3 3 3 2" xfId="20216"/>
    <cellStyle name="Normal 20 2 3 3 3 3 2 2" xfId="20217"/>
    <cellStyle name="Normal 20 2 3 3 3 3 2 2 2" xfId="20218"/>
    <cellStyle name="Normal 20 2 3 3 3 3 2 3" xfId="20219"/>
    <cellStyle name="Normal 20 2 3 3 3 3 3" xfId="20220"/>
    <cellStyle name="Normal 20 2 3 3 3 3 3 2" xfId="20221"/>
    <cellStyle name="Normal 20 2 3 3 3 3 4" xfId="20222"/>
    <cellStyle name="Normal 20 2 3 3 3 4" xfId="20223"/>
    <cellStyle name="Normal 20 2 3 3 3 4 2" xfId="20224"/>
    <cellStyle name="Normal 20 2 3 3 3 4 2 2" xfId="20225"/>
    <cellStyle name="Normal 20 2 3 3 3 4 3" xfId="20226"/>
    <cellStyle name="Normal 20 2 3 3 3 5" xfId="20227"/>
    <cellStyle name="Normal 20 2 3 3 3 5 2" xfId="20228"/>
    <cellStyle name="Normal 20 2 3 3 3 6" xfId="20229"/>
    <cellStyle name="Normal 20 2 3 3 4" xfId="20230"/>
    <cellStyle name="Normal 20 2 3 3 4 2" xfId="20231"/>
    <cellStyle name="Normal 20 2 3 3 4 2 2" xfId="20232"/>
    <cellStyle name="Normal 20 2 3 3 4 2 2 2" xfId="20233"/>
    <cellStyle name="Normal 20 2 3 3 4 2 3" xfId="20234"/>
    <cellStyle name="Normal 20 2 3 3 4 3" xfId="20235"/>
    <cellStyle name="Normal 20 2 3 3 4 3 2" xfId="20236"/>
    <cellStyle name="Normal 20 2 3 3 4 4" xfId="20237"/>
    <cellStyle name="Normal 20 2 3 3 5" xfId="20238"/>
    <cellStyle name="Normal 20 2 3 3 5 2" xfId="20239"/>
    <cellStyle name="Normal 20 2 3 3 5 2 2" xfId="20240"/>
    <cellStyle name="Normal 20 2 3 3 5 2 2 2" xfId="20241"/>
    <cellStyle name="Normal 20 2 3 3 5 2 3" xfId="20242"/>
    <cellStyle name="Normal 20 2 3 3 5 3" xfId="20243"/>
    <cellStyle name="Normal 20 2 3 3 5 3 2" xfId="20244"/>
    <cellStyle name="Normal 20 2 3 3 5 4" xfId="20245"/>
    <cellStyle name="Normal 20 2 3 3 6" xfId="20246"/>
    <cellStyle name="Normal 20 2 3 3 6 2" xfId="20247"/>
    <cellStyle name="Normal 20 2 3 3 6 2 2" xfId="20248"/>
    <cellStyle name="Normal 20 2 3 3 6 2 2 2" xfId="20249"/>
    <cellStyle name="Normal 20 2 3 3 6 2 3" xfId="20250"/>
    <cellStyle name="Normal 20 2 3 3 6 3" xfId="20251"/>
    <cellStyle name="Normal 20 2 3 3 6 3 2" xfId="20252"/>
    <cellStyle name="Normal 20 2 3 3 6 4" xfId="20253"/>
    <cellStyle name="Normal 20 2 3 3 7" xfId="20254"/>
    <cellStyle name="Normal 20 2 3 3 7 2" xfId="20255"/>
    <cellStyle name="Normal 20 2 3 3 7 2 2" xfId="20256"/>
    <cellStyle name="Normal 20 2 3 3 7 3" xfId="20257"/>
    <cellStyle name="Normal 20 2 3 3 8" xfId="20258"/>
    <cellStyle name="Normal 20 2 3 3 8 2" xfId="20259"/>
    <cellStyle name="Normal 20 2 3 3 9" xfId="20260"/>
    <cellStyle name="Normal 20 2 3 4" xfId="20261"/>
    <cellStyle name="Normal 20 2 3 4 2" xfId="20262"/>
    <cellStyle name="Normal 20 2 3 4 2 2" xfId="20263"/>
    <cellStyle name="Normal 20 2 3 4 2 2 2" xfId="20264"/>
    <cellStyle name="Normal 20 2 3 4 2 2 2 2" xfId="20265"/>
    <cellStyle name="Normal 20 2 3 4 2 2 2 2 2" xfId="20266"/>
    <cellStyle name="Normal 20 2 3 4 2 2 2 3" xfId="20267"/>
    <cellStyle name="Normal 20 2 3 4 2 2 3" xfId="20268"/>
    <cellStyle name="Normal 20 2 3 4 2 2 3 2" xfId="20269"/>
    <cellStyle name="Normal 20 2 3 4 2 2 4" xfId="20270"/>
    <cellStyle name="Normal 20 2 3 4 2 3" xfId="20271"/>
    <cellStyle name="Normal 20 2 3 4 2 3 2" xfId="20272"/>
    <cellStyle name="Normal 20 2 3 4 2 3 2 2" xfId="20273"/>
    <cellStyle name="Normal 20 2 3 4 2 3 2 2 2" xfId="20274"/>
    <cellStyle name="Normal 20 2 3 4 2 3 2 3" xfId="20275"/>
    <cellStyle name="Normal 20 2 3 4 2 3 3" xfId="20276"/>
    <cellStyle name="Normal 20 2 3 4 2 3 3 2" xfId="20277"/>
    <cellStyle name="Normal 20 2 3 4 2 3 4" xfId="20278"/>
    <cellStyle name="Normal 20 2 3 4 2 4" xfId="20279"/>
    <cellStyle name="Normal 20 2 3 4 2 4 2" xfId="20280"/>
    <cellStyle name="Normal 20 2 3 4 2 4 2 2" xfId="20281"/>
    <cellStyle name="Normal 20 2 3 4 2 4 3" xfId="20282"/>
    <cellStyle name="Normal 20 2 3 4 2 5" xfId="20283"/>
    <cellStyle name="Normal 20 2 3 4 2 5 2" xfId="20284"/>
    <cellStyle name="Normal 20 2 3 4 2 6" xfId="20285"/>
    <cellStyle name="Normal 20 2 3 4 3" xfId="20286"/>
    <cellStyle name="Normal 20 2 3 4 3 2" xfId="20287"/>
    <cellStyle name="Normal 20 2 3 4 3 2 2" xfId="20288"/>
    <cellStyle name="Normal 20 2 3 4 3 2 2 2" xfId="20289"/>
    <cellStyle name="Normal 20 2 3 4 3 2 3" xfId="20290"/>
    <cellStyle name="Normal 20 2 3 4 3 3" xfId="20291"/>
    <cellStyle name="Normal 20 2 3 4 3 3 2" xfId="20292"/>
    <cellStyle name="Normal 20 2 3 4 3 4" xfId="20293"/>
    <cellStyle name="Normal 20 2 3 4 4" xfId="20294"/>
    <cellStyle name="Normal 20 2 3 4 4 2" xfId="20295"/>
    <cellStyle name="Normal 20 2 3 4 4 2 2" xfId="20296"/>
    <cellStyle name="Normal 20 2 3 4 4 2 2 2" xfId="20297"/>
    <cellStyle name="Normal 20 2 3 4 4 2 3" xfId="20298"/>
    <cellStyle name="Normal 20 2 3 4 4 3" xfId="20299"/>
    <cellStyle name="Normal 20 2 3 4 4 3 2" xfId="20300"/>
    <cellStyle name="Normal 20 2 3 4 4 4" xfId="20301"/>
    <cellStyle name="Normal 20 2 3 4 5" xfId="20302"/>
    <cellStyle name="Normal 20 2 3 4 5 2" xfId="20303"/>
    <cellStyle name="Normal 20 2 3 4 5 2 2" xfId="20304"/>
    <cellStyle name="Normal 20 2 3 4 5 3" xfId="20305"/>
    <cellStyle name="Normal 20 2 3 4 6" xfId="20306"/>
    <cellStyle name="Normal 20 2 3 4 6 2" xfId="20307"/>
    <cellStyle name="Normal 20 2 3 4 7" xfId="20308"/>
    <cellStyle name="Normal 20 2 3 5" xfId="20309"/>
    <cellStyle name="Normal 20 2 3 5 2" xfId="20310"/>
    <cellStyle name="Normal 20 2 3 5 2 2" xfId="20311"/>
    <cellStyle name="Normal 20 2 3 5 2 2 2" xfId="20312"/>
    <cellStyle name="Normal 20 2 3 5 2 2 2 2" xfId="20313"/>
    <cellStyle name="Normal 20 2 3 5 2 2 3" xfId="20314"/>
    <cellStyle name="Normal 20 2 3 5 2 3" xfId="20315"/>
    <cellStyle name="Normal 20 2 3 5 2 3 2" xfId="20316"/>
    <cellStyle name="Normal 20 2 3 5 2 4" xfId="20317"/>
    <cellStyle name="Normal 20 2 3 5 3" xfId="20318"/>
    <cellStyle name="Normal 20 2 3 5 3 2" xfId="20319"/>
    <cellStyle name="Normal 20 2 3 5 3 2 2" xfId="20320"/>
    <cellStyle name="Normal 20 2 3 5 3 2 2 2" xfId="20321"/>
    <cellStyle name="Normal 20 2 3 5 3 2 3" xfId="20322"/>
    <cellStyle name="Normal 20 2 3 5 3 3" xfId="20323"/>
    <cellStyle name="Normal 20 2 3 5 3 3 2" xfId="20324"/>
    <cellStyle name="Normal 20 2 3 5 3 4" xfId="20325"/>
    <cellStyle name="Normal 20 2 3 5 4" xfId="20326"/>
    <cellStyle name="Normal 20 2 3 5 4 2" xfId="20327"/>
    <cellStyle name="Normal 20 2 3 5 4 2 2" xfId="20328"/>
    <cellStyle name="Normal 20 2 3 5 4 3" xfId="20329"/>
    <cellStyle name="Normal 20 2 3 5 5" xfId="20330"/>
    <cellStyle name="Normal 20 2 3 5 5 2" xfId="20331"/>
    <cellStyle name="Normal 20 2 3 5 6" xfId="20332"/>
    <cellStyle name="Normal 20 2 3 6" xfId="20333"/>
    <cellStyle name="Normal 20 2 3 6 2" xfId="20334"/>
    <cellStyle name="Normal 20 2 3 6 2 2" xfId="20335"/>
    <cellStyle name="Normal 20 2 3 6 2 2 2" xfId="20336"/>
    <cellStyle name="Normal 20 2 3 6 2 3" xfId="20337"/>
    <cellStyle name="Normal 20 2 3 6 3" xfId="20338"/>
    <cellStyle name="Normal 20 2 3 6 3 2" xfId="20339"/>
    <cellStyle name="Normal 20 2 3 6 4" xfId="20340"/>
    <cellStyle name="Normal 20 2 3 7" xfId="20341"/>
    <cellStyle name="Normal 20 2 3 7 2" xfId="20342"/>
    <cellStyle name="Normal 20 2 3 7 2 2" xfId="20343"/>
    <cellStyle name="Normal 20 2 3 7 2 2 2" xfId="20344"/>
    <cellStyle name="Normal 20 2 3 7 2 3" xfId="20345"/>
    <cellStyle name="Normal 20 2 3 7 3" xfId="20346"/>
    <cellStyle name="Normal 20 2 3 7 3 2" xfId="20347"/>
    <cellStyle name="Normal 20 2 3 7 4" xfId="20348"/>
    <cellStyle name="Normal 20 2 3 8" xfId="20349"/>
    <cellStyle name="Normal 20 2 3 8 2" xfId="20350"/>
    <cellStyle name="Normal 20 2 3 8 2 2" xfId="20351"/>
    <cellStyle name="Normal 20 2 3 8 2 2 2" xfId="20352"/>
    <cellStyle name="Normal 20 2 3 8 2 3" xfId="20353"/>
    <cellStyle name="Normal 20 2 3 8 3" xfId="20354"/>
    <cellStyle name="Normal 20 2 3 8 3 2" xfId="20355"/>
    <cellStyle name="Normal 20 2 3 8 4" xfId="20356"/>
    <cellStyle name="Normal 20 2 3 9" xfId="20357"/>
    <cellStyle name="Normal 20 2 3 9 2" xfId="20358"/>
    <cellStyle name="Normal 20 2 3 9 2 2" xfId="20359"/>
    <cellStyle name="Normal 20 2 3 9 3" xfId="20360"/>
    <cellStyle name="Normal 20 2 4" xfId="20361"/>
    <cellStyle name="Normal 20 2 4 10" xfId="20362"/>
    <cellStyle name="Normal 20 2 4 2" xfId="20363"/>
    <cellStyle name="Normal 20 2 4 2 2" xfId="20364"/>
    <cellStyle name="Normal 20 2 4 2 2 2" xfId="20365"/>
    <cellStyle name="Normal 20 2 4 2 2 2 2" xfId="20366"/>
    <cellStyle name="Normal 20 2 4 2 2 2 2 2" xfId="20367"/>
    <cellStyle name="Normal 20 2 4 2 2 2 2 2 2" xfId="20368"/>
    <cellStyle name="Normal 20 2 4 2 2 2 2 2 2 2" xfId="20369"/>
    <cellStyle name="Normal 20 2 4 2 2 2 2 2 3" xfId="20370"/>
    <cellStyle name="Normal 20 2 4 2 2 2 2 3" xfId="20371"/>
    <cellStyle name="Normal 20 2 4 2 2 2 2 3 2" xfId="20372"/>
    <cellStyle name="Normal 20 2 4 2 2 2 2 4" xfId="20373"/>
    <cellStyle name="Normal 20 2 4 2 2 2 3" xfId="20374"/>
    <cellStyle name="Normal 20 2 4 2 2 2 3 2" xfId="20375"/>
    <cellStyle name="Normal 20 2 4 2 2 2 3 2 2" xfId="20376"/>
    <cellStyle name="Normal 20 2 4 2 2 2 3 2 2 2" xfId="20377"/>
    <cellStyle name="Normal 20 2 4 2 2 2 3 2 3" xfId="20378"/>
    <cellStyle name="Normal 20 2 4 2 2 2 3 3" xfId="20379"/>
    <cellStyle name="Normal 20 2 4 2 2 2 3 3 2" xfId="20380"/>
    <cellStyle name="Normal 20 2 4 2 2 2 3 4" xfId="20381"/>
    <cellStyle name="Normal 20 2 4 2 2 2 4" xfId="20382"/>
    <cellStyle name="Normal 20 2 4 2 2 2 4 2" xfId="20383"/>
    <cellStyle name="Normal 20 2 4 2 2 2 4 2 2" xfId="20384"/>
    <cellStyle name="Normal 20 2 4 2 2 2 4 3" xfId="20385"/>
    <cellStyle name="Normal 20 2 4 2 2 2 5" xfId="20386"/>
    <cellStyle name="Normal 20 2 4 2 2 2 5 2" xfId="20387"/>
    <cellStyle name="Normal 20 2 4 2 2 2 6" xfId="20388"/>
    <cellStyle name="Normal 20 2 4 2 2 3" xfId="20389"/>
    <cellStyle name="Normal 20 2 4 2 2 3 2" xfId="20390"/>
    <cellStyle name="Normal 20 2 4 2 2 3 2 2" xfId="20391"/>
    <cellStyle name="Normal 20 2 4 2 2 3 2 2 2" xfId="20392"/>
    <cellStyle name="Normal 20 2 4 2 2 3 2 3" xfId="20393"/>
    <cellStyle name="Normal 20 2 4 2 2 3 3" xfId="20394"/>
    <cellStyle name="Normal 20 2 4 2 2 3 3 2" xfId="20395"/>
    <cellStyle name="Normal 20 2 4 2 2 3 4" xfId="20396"/>
    <cellStyle name="Normal 20 2 4 2 2 4" xfId="20397"/>
    <cellStyle name="Normal 20 2 4 2 2 4 2" xfId="20398"/>
    <cellStyle name="Normal 20 2 4 2 2 4 2 2" xfId="20399"/>
    <cellStyle name="Normal 20 2 4 2 2 4 2 2 2" xfId="20400"/>
    <cellStyle name="Normal 20 2 4 2 2 4 2 3" xfId="20401"/>
    <cellStyle name="Normal 20 2 4 2 2 4 3" xfId="20402"/>
    <cellStyle name="Normal 20 2 4 2 2 4 3 2" xfId="20403"/>
    <cellStyle name="Normal 20 2 4 2 2 4 4" xfId="20404"/>
    <cellStyle name="Normal 20 2 4 2 2 5" xfId="20405"/>
    <cellStyle name="Normal 20 2 4 2 2 5 2" xfId="20406"/>
    <cellStyle name="Normal 20 2 4 2 2 5 2 2" xfId="20407"/>
    <cellStyle name="Normal 20 2 4 2 2 5 3" xfId="20408"/>
    <cellStyle name="Normal 20 2 4 2 2 6" xfId="20409"/>
    <cellStyle name="Normal 20 2 4 2 2 6 2" xfId="20410"/>
    <cellStyle name="Normal 20 2 4 2 2 7" xfId="20411"/>
    <cellStyle name="Normal 20 2 4 2 3" xfId="20412"/>
    <cellStyle name="Normal 20 2 4 2 3 2" xfId="20413"/>
    <cellStyle name="Normal 20 2 4 2 3 2 2" xfId="20414"/>
    <cellStyle name="Normal 20 2 4 2 3 2 2 2" xfId="20415"/>
    <cellStyle name="Normal 20 2 4 2 3 2 2 2 2" xfId="20416"/>
    <cellStyle name="Normal 20 2 4 2 3 2 2 3" xfId="20417"/>
    <cellStyle name="Normal 20 2 4 2 3 2 3" xfId="20418"/>
    <cellStyle name="Normal 20 2 4 2 3 2 3 2" xfId="20419"/>
    <cellStyle name="Normal 20 2 4 2 3 2 4" xfId="20420"/>
    <cellStyle name="Normal 20 2 4 2 3 3" xfId="20421"/>
    <cellStyle name="Normal 20 2 4 2 3 3 2" xfId="20422"/>
    <cellStyle name="Normal 20 2 4 2 3 3 2 2" xfId="20423"/>
    <cellStyle name="Normal 20 2 4 2 3 3 2 2 2" xfId="20424"/>
    <cellStyle name="Normal 20 2 4 2 3 3 2 3" xfId="20425"/>
    <cellStyle name="Normal 20 2 4 2 3 3 3" xfId="20426"/>
    <cellStyle name="Normal 20 2 4 2 3 3 3 2" xfId="20427"/>
    <cellStyle name="Normal 20 2 4 2 3 3 4" xfId="20428"/>
    <cellStyle name="Normal 20 2 4 2 3 4" xfId="20429"/>
    <cellStyle name="Normal 20 2 4 2 3 4 2" xfId="20430"/>
    <cellStyle name="Normal 20 2 4 2 3 4 2 2" xfId="20431"/>
    <cellStyle name="Normal 20 2 4 2 3 4 3" xfId="20432"/>
    <cellStyle name="Normal 20 2 4 2 3 5" xfId="20433"/>
    <cellStyle name="Normal 20 2 4 2 3 5 2" xfId="20434"/>
    <cellStyle name="Normal 20 2 4 2 3 6" xfId="20435"/>
    <cellStyle name="Normal 20 2 4 2 4" xfId="20436"/>
    <cellStyle name="Normal 20 2 4 2 4 2" xfId="20437"/>
    <cellStyle name="Normal 20 2 4 2 4 2 2" xfId="20438"/>
    <cellStyle name="Normal 20 2 4 2 4 2 2 2" xfId="20439"/>
    <cellStyle name="Normal 20 2 4 2 4 2 3" xfId="20440"/>
    <cellStyle name="Normal 20 2 4 2 4 3" xfId="20441"/>
    <cellStyle name="Normal 20 2 4 2 4 3 2" xfId="20442"/>
    <cellStyle name="Normal 20 2 4 2 4 4" xfId="20443"/>
    <cellStyle name="Normal 20 2 4 2 5" xfId="20444"/>
    <cellStyle name="Normal 20 2 4 2 5 2" xfId="20445"/>
    <cellStyle name="Normal 20 2 4 2 5 2 2" xfId="20446"/>
    <cellStyle name="Normal 20 2 4 2 5 2 2 2" xfId="20447"/>
    <cellStyle name="Normal 20 2 4 2 5 2 3" xfId="20448"/>
    <cellStyle name="Normal 20 2 4 2 5 3" xfId="20449"/>
    <cellStyle name="Normal 20 2 4 2 5 3 2" xfId="20450"/>
    <cellStyle name="Normal 20 2 4 2 5 4" xfId="20451"/>
    <cellStyle name="Normal 20 2 4 2 6" xfId="20452"/>
    <cellStyle name="Normal 20 2 4 2 6 2" xfId="20453"/>
    <cellStyle name="Normal 20 2 4 2 6 2 2" xfId="20454"/>
    <cellStyle name="Normal 20 2 4 2 6 2 2 2" xfId="20455"/>
    <cellStyle name="Normal 20 2 4 2 6 2 3" xfId="20456"/>
    <cellStyle name="Normal 20 2 4 2 6 3" xfId="20457"/>
    <cellStyle name="Normal 20 2 4 2 6 3 2" xfId="20458"/>
    <cellStyle name="Normal 20 2 4 2 6 4" xfId="20459"/>
    <cellStyle name="Normal 20 2 4 2 7" xfId="20460"/>
    <cellStyle name="Normal 20 2 4 2 7 2" xfId="20461"/>
    <cellStyle name="Normal 20 2 4 2 7 2 2" xfId="20462"/>
    <cellStyle name="Normal 20 2 4 2 7 3" xfId="20463"/>
    <cellStyle name="Normal 20 2 4 2 8" xfId="20464"/>
    <cellStyle name="Normal 20 2 4 2 8 2" xfId="20465"/>
    <cellStyle name="Normal 20 2 4 2 9" xfId="20466"/>
    <cellStyle name="Normal 20 2 4 3" xfId="20467"/>
    <cellStyle name="Normal 20 2 4 3 2" xfId="20468"/>
    <cellStyle name="Normal 20 2 4 3 2 2" xfId="20469"/>
    <cellStyle name="Normal 20 2 4 3 2 2 2" xfId="20470"/>
    <cellStyle name="Normal 20 2 4 3 2 2 2 2" xfId="20471"/>
    <cellStyle name="Normal 20 2 4 3 2 2 2 2 2" xfId="20472"/>
    <cellStyle name="Normal 20 2 4 3 2 2 2 3" xfId="20473"/>
    <cellStyle name="Normal 20 2 4 3 2 2 3" xfId="20474"/>
    <cellStyle name="Normal 20 2 4 3 2 2 3 2" xfId="20475"/>
    <cellStyle name="Normal 20 2 4 3 2 2 4" xfId="20476"/>
    <cellStyle name="Normal 20 2 4 3 2 3" xfId="20477"/>
    <cellStyle name="Normal 20 2 4 3 2 3 2" xfId="20478"/>
    <cellStyle name="Normal 20 2 4 3 2 3 2 2" xfId="20479"/>
    <cellStyle name="Normal 20 2 4 3 2 3 2 2 2" xfId="20480"/>
    <cellStyle name="Normal 20 2 4 3 2 3 2 3" xfId="20481"/>
    <cellStyle name="Normal 20 2 4 3 2 3 3" xfId="20482"/>
    <cellStyle name="Normal 20 2 4 3 2 3 3 2" xfId="20483"/>
    <cellStyle name="Normal 20 2 4 3 2 3 4" xfId="20484"/>
    <cellStyle name="Normal 20 2 4 3 2 4" xfId="20485"/>
    <cellStyle name="Normal 20 2 4 3 2 4 2" xfId="20486"/>
    <cellStyle name="Normal 20 2 4 3 2 4 2 2" xfId="20487"/>
    <cellStyle name="Normal 20 2 4 3 2 4 3" xfId="20488"/>
    <cellStyle name="Normal 20 2 4 3 2 5" xfId="20489"/>
    <cellStyle name="Normal 20 2 4 3 2 5 2" xfId="20490"/>
    <cellStyle name="Normal 20 2 4 3 2 6" xfId="20491"/>
    <cellStyle name="Normal 20 2 4 3 3" xfId="20492"/>
    <cellStyle name="Normal 20 2 4 3 3 2" xfId="20493"/>
    <cellStyle name="Normal 20 2 4 3 3 2 2" xfId="20494"/>
    <cellStyle name="Normal 20 2 4 3 3 2 2 2" xfId="20495"/>
    <cellStyle name="Normal 20 2 4 3 3 2 3" xfId="20496"/>
    <cellStyle name="Normal 20 2 4 3 3 3" xfId="20497"/>
    <cellStyle name="Normal 20 2 4 3 3 3 2" xfId="20498"/>
    <cellStyle name="Normal 20 2 4 3 3 4" xfId="20499"/>
    <cellStyle name="Normal 20 2 4 3 4" xfId="20500"/>
    <cellStyle name="Normal 20 2 4 3 4 2" xfId="20501"/>
    <cellStyle name="Normal 20 2 4 3 4 2 2" xfId="20502"/>
    <cellStyle name="Normal 20 2 4 3 4 2 2 2" xfId="20503"/>
    <cellStyle name="Normal 20 2 4 3 4 2 3" xfId="20504"/>
    <cellStyle name="Normal 20 2 4 3 4 3" xfId="20505"/>
    <cellStyle name="Normal 20 2 4 3 4 3 2" xfId="20506"/>
    <cellStyle name="Normal 20 2 4 3 4 4" xfId="20507"/>
    <cellStyle name="Normal 20 2 4 3 5" xfId="20508"/>
    <cellStyle name="Normal 20 2 4 3 5 2" xfId="20509"/>
    <cellStyle name="Normal 20 2 4 3 5 2 2" xfId="20510"/>
    <cellStyle name="Normal 20 2 4 3 5 3" xfId="20511"/>
    <cellStyle name="Normal 20 2 4 3 6" xfId="20512"/>
    <cellStyle name="Normal 20 2 4 3 6 2" xfId="20513"/>
    <cellStyle name="Normal 20 2 4 3 7" xfId="20514"/>
    <cellStyle name="Normal 20 2 4 4" xfId="20515"/>
    <cellStyle name="Normal 20 2 4 4 2" xfId="20516"/>
    <cellStyle name="Normal 20 2 4 4 2 2" xfId="20517"/>
    <cellStyle name="Normal 20 2 4 4 2 2 2" xfId="20518"/>
    <cellStyle name="Normal 20 2 4 4 2 2 2 2" xfId="20519"/>
    <cellStyle name="Normal 20 2 4 4 2 2 3" xfId="20520"/>
    <cellStyle name="Normal 20 2 4 4 2 3" xfId="20521"/>
    <cellStyle name="Normal 20 2 4 4 2 3 2" xfId="20522"/>
    <cellStyle name="Normal 20 2 4 4 2 4" xfId="20523"/>
    <cellStyle name="Normal 20 2 4 4 3" xfId="20524"/>
    <cellStyle name="Normal 20 2 4 4 3 2" xfId="20525"/>
    <cellStyle name="Normal 20 2 4 4 3 2 2" xfId="20526"/>
    <cellStyle name="Normal 20 2 4 4 3 2 2 2" xfId="20527"/>
    <cellStyle name="Normal 20 2 4 4 3 2 3" xfId="20528"/>
    <cellStyle name="Normal 20 2 4 4 3 3" xfId="20529"/>
    <cellStyle name="Normal 20 2 4 4 3 3 2" xfId="20530"/>
    <cellStyle name="Normal 20 2 4 4 3 4" xfId="20531"/>
    <cellStyle name="Normal 20 2 4 4 4" xfId="20532"/>
    <cellStyle name="Normal 20 2 4 4 4 2" xfId="20533"/>
    <cellStyle name="Normal 20 2 4 4 4 2 2" xfId="20534"/>
    <cellStyle name="Normal 20 2 4 4 4 3" xfId="20535"/>
    <cellStyle name="Normal 20 2 4 4 5" xfId="20536"/>
    <cellStyle name="Normal 20 2 4 4 5 2" xfId="20537"/>
    <cellStyle name="Normal 20 2 4 4 6" xfId="20538"/>
    <cellStyle name="Normal 20 2 4 5" xfId="20539"/>
    <cellStyle name="Normal 20 2 4 5 2" xfId="20540"/>
    <cellStyle name="Normal 20 2 4 5 2 2" xfId="20541"/>
    <cellStyle name="Normal 20 2 4 5 2 2 2" xfId="20542"/>
    <cellStyle name="Normal 20 2 4 5 2 3" xfId="20543"/>
    <cellStyle name="Normal 20 2 4 5 3" xfId="20544"/>
    <cellStyle name="Normal 20 2 4 5 3 2" xfId="20545"/>
    <cellStyle name="Normal 20 2 4 5 4" xfId="20546"/>
    <cellStyle name="Normal 20 2 4 6" xfId="20547"/>
    <cellStyle name="Normal 20 2 4 6 2" xfId="20548"/>
    <cellStyle name="Normal 20 2 4 6 2 2" xfId="20549"/>
    <cellStyle name="Normal 20 2 4 6 2 2 2" xfId="20550"/>
    <cellStyle name="Normal 20 2 4 6 2 3" xfId="20551"/>
    <cellStyle name="Normal 20 2 4 6 3" xfId="20552"/>
    <cellStyle name="Normal 20 2 4 6 3 2" xfId="20553"/>
    <cellStyle name="Normal 20 2 4 6 4" xfId="20554"/>
    <cellStyle name="Normal 20 2 4 7" xfId="20555"/>
    <cellStyle name="Normal 20 2 4 7 2" xfId="20556"/>
    <cellStyle name="Normal 20 2 4 7 2 2" xfId="20557"/>
    <cellStyle name="Normal 20 2 4 7 2 2 2" xfId="20558"/>
    <cellStyle name="Normal 20 2 4 7 2 3" xfId="20559"/>
    <cellStyle name="Normal 20 2 4 7 3" xfId="20560"/>
    <cellStyle name="Normal 20 2 4 7 3 2" xfId="20561"/>
    <cellStyle name="Normal 20 2 4 7 4" xfId="20562"/>
    <cellStyle name="Normal 20 2 4 8" xfId="20563"/>
    <cellStyle name="Normal 20 2 4 8 2" xfId="20564"/>
    <cellStyle name="Normal 20 2 4 8 2 2" xfId="20565"/>
    <cellStyle name="Normal 20 2 4 8 3" xfId="20566"/>
    <cellStyle name="Normal 20 2 4 9" xfId="20567"/>
    <cellStyle name="Normal 20 2 4 9 2" xfId="20568"/>
    <cellStyle name="Normal 20 2 5" xfId="20569"/>
    <cellStyle name="Normal 20 2 5 10" xfId="20570"/>
    <cellStyle name="Normal 20 2 5 2" xfId="20571"/>
    <cellStyle name="Normal 20 2 5 2 2" xfId="20572"/>
    <cellStyle name="Normal 20 2 5 2 2 2" xfId="20573"/>
    <cellStyle name="Normal 20 2 5 2 2 2 2" xfId="20574"/>
    <cellStyle name="Normal 20 2 5 2 2 2 2 2" xfId="20575"/>
    <cellStyle name="Normal 20 2 5 2 2 2 2 2 2" xfId="20576"/>
    <cellStyle name="Normal 20 2 5 2 2 2 2 2 2 2" xfId="20577"/>
    <cellStyle name="Normal 20 2 5 2 2 2 2 2 3" xfId="20578"/>
    <cellStyle name="Normal 20 2 5 2 2 2 2 3" xfId="20579"/>
    <cellStyle name="Normal 20 2 5 2 2 2 2 3 2" xfId="20580"/>
    <cellStyle name="Normal 20 2 5 2 2 2 2 4" xfId="20581"/>
    <cellStyle name="Normal 20 2 5 2 2 2 3" xfId="20582"/>
    <cellStyle name="Normal 20 2 5 2 2 2 3 2" xfId="20583"/>
    <cellStyle name="Normal 20 2 5 2 2 2 3 2 2" xfId="20584"/>
    <cellStyle name="Normal 20 2 5 2 2 2 3 2 2 2" xfId="20585"/>
    <cellStyle name="Normal 20 2 5 2 2 2 3 2 3" xfId="20586"/>
    <cellStyle name="Normal 20 2 5 2 2 2 3 3" xfId="20587"/>
    <cellStyle name="Normal 20 2 5 2 2 2 3 3 2" xfId="20588"/>
    <cellStyle name="Normal 20 2 5 2 2 2 3 4" xfId="20589"/>
    <cellStyle name="Normal 20 2 5 2 2 2 4" xfId="20590"/>
    <cellStyle name="Normal 20 2 5 2 2 2 4 2" xfId="20591"/>
    <cellStyle name="Normal 20 2 5 2 2 2 4 2 2" xfId="20592"/>
    <cellStyle name="Normal 20 2 5 2 2 2 4 3" xfId="20593"/>
    <cellStyle name="Normal 20 2 5 2 2 2 5" xfId="20594"/>
    <cellStyle name="Normal 20 2 5 2 2 2 5 2" xfId="20595"/>
    <cellStyle name="Normal 20 2 5 2 2 2 6" xfId="20596"/>
    <cellStyle name="Normal 20 2 5 2 2 3" xfId="20597"/>
    <cellStyle name="Normal 20 2 5 2 2 3 2" xfId="20598"/>
    <cellStyle name="Normal 20 2 5 2 2 3 2 2" xfId="20599"/>
    <cellStyle name="Normal 20 2 5 2 2 3 2 2 2" xfId="20600"/>
    <cellStyle name="Normal 20 2 5 2 2 3 2 3" xfId="20601"/>
    <cellStyle name="Normal 20 2 5 2 2 3 3" xfId="20602"/>
    <cellStyle name="Normal 20 2 5 2 2 3 3 2" xfId="20603"/>
    <cellStyle name="Normal 20 2 5 2 2 3 4" xfId="20604"/>
    <cellStyle name="Normal 20 2 5 2 2 4" xfId="20605"/>
    <cellStyle name="Normal 20 2 5 2 2 4 2" xfId="20606"/>
    <cellStyle name="Normal 20 2 5 2 2 4 2 2" xfId="20607"/>
    <cellStyle name="Normal 20 2 5 2 2 4 2 2 2" xfId="20608"/>
    <cellStyle name="Normal 20 2 5 2 2 4 2 3" xfId="20609"/>
    <cellStyle name="Normal 20 2 5 2 2 4 3" xfId="20610"/>
    <cellStyle name="Normal 20 2 5 2 2 4 3 2" xfId="20611"/>
    <cellStyle name="Normal 20 2 5 2 2 4 4" xfId="20612"/>
    <cellStyle name="Normal 20 2 5 2 2 5" xfId="20613"/>
    <cellStyle name="Normal 20 2 5 2 2 5 2" xfId="20614"/>
    <cellStyle name="Normal 20 2 5 2 2 5 2 2" xfId="20615"/>
    <cellStyle name="Normal 20 2 5 2 2 5 3" xfId="20616"/>
    <cellStyle name="Normal 20 2 5 2 2 6" xfId="20617"/>
    <cellStyle name="Normal 20 2 5 2 2 6 2" xfId="20618"/>
    <cellStyle name="Normal 20 2 5 2 2 7" xfId="20619"/>
    <cellStyle name="Normal 20 2 5 2 3" xfId="20620"/>
    <cellStyle name="Normal 20 2 5 2 3 2" xfId="20621"/>
    <cellStyle name="Normal 20 2 5 2 3 2 2" xfId="20622"/>
    <cellStyle name="Normal 20 2 5 2 3 2 2 2" xfId="20623"/>
    <cellStyle name="Normal 20 2 5 2 3 2 2 2 2" xfId="20624"/>
    <cellStyle name="Normal 20 2 5 2 3 2 2 3" xfId="20625"/>
    <cellStyle name="Normal 20 2 5 2 3 2 3" xfId="20626"/>
    <cellStyle name="Normal 20 2 5 2 3 2 3 2" xfId="20627"/>
    <cellStyle name="Normal 20 2 5 2 3 2 4" xfId="20628"/>
    <cellStyle name="Normal 20 2 5 2 3 3" xfId="20629"/>
    <cellStyle name="Normal 20 2 5 2 3 3 2" xfId="20630"/>
    <cellStyle name="Normal 20 2 5 2 3 3 2 2" xfId="20631"/>
    <cellStyle name="Normal 20 2 5 2 3 3 2 2 2" xfId="20632"/>
    <cellStyle name="Normal 20 2 5 2 3 3 2 3" xfId="20633"/>
    <cellStyle name="Normal 20 2 5 2 3 3 3" xfId="20634"/>
    <cellStyle name="Normal 20 2 5 2 3 3 3 2" xfId="20635"/>
    <cellStyle name="Normal 20 2 5 2 3 3 4" xfId="20636"/>
    <cellStyle name="Normal 20 2 5 2 3 4" xfId="20637"/>
    <cellStyle name="Normal 20 2 5 2 3 4 2" xfId="20638"/>
    <cellStyle name="Normal 20 2 5 2 3 4 2 2" xfId="20639"/>
    <cellStyle name="Normal 20 2 5 2 3 4 3" xfId="20640"/>
    <cellStyle name="Normal 20 2 5 2 3 5" xfId="20641"/>
    <cellStyle name="Normal 20 2 5 2 3 5 2" xfId="20642"/>
    <cellStyle name="Normal 20 2 5 2 3 6" xfId="20643"/>
    <cellStyle name="Normal 20 2 5 2 4" xfId="20644"/>
    <cellStyle name="Normal 20 2 5 2 4 2" xfId="20645"/>
    <cellStyle name="Normal 20 2 5 2 4 2 2" xfId="20646"/>
    <cellStyle name="Normal 20 2 5 2 4 2 2 2" xfId="20647"/>
    <cellStyle name="Normal 20 2 5 2 4 2 3" xfId="20648"/>
    <cellStyle name="Normal 20 2 5 2 4 3" xfId="20649"/>
    <cellStyle name="Normal 20 2 5 2 4 3 2" xfId="20650"/>
    <cellStyle name="Normal 20 2 5 2 4 4" xfId="20651"/>
    <cellStyle name="Normal 20 2 5 2 5" xfId="20652"/>
    <cellStyle name="Normal 20 2 5 2 5 2" xfId="20653"/>
    <cellStyle name="Normal 20 2 5 2 5 2 2" xfId="20654"/>
    <cellStyle name="Normal 20 2 5 2 5 2 2 2" xfId="20655"/>
    <cellStyle name="Normal 20 2 5 2 5 2 3" xfId="20656"/>
    <cellStyle name="Normal 20 2 5 2 5 3" xfId="20657"/>
    <cellStyle name="Normal 20 2 5 2 5 3 2" xfId="20658"/>
    <cellStyle name="Normal 20 2 5 2 5 4" xfId="20659"/>
    <cellStyle name="Normal 20 2 5 2 6" xfId="20660"/>
    <cellStyle name="Normal 20 2 5 2 6 2" xfId="20661"/>
    <cellStyle name="Normal 20 2 5 2 6 2 2" xfId="20662"/>
    <cellStyle name="Normal 20 2 5 2 6 2 2 2" xfId="20663"/>
    <cellStyle name="Normal 20 2 5 2 6 2 3" xfId="20664"/>
    <cellStyle name="Normal 20 2 5 2 6 3" xfId="20665"/>
    <cellStyle name="Normal 20 2 5 2 6 3 2" xfId="20666"/>
    <cellStyle name="Normal 20 2 5 2 6 4" xfId="20667"/>
    <cellStyle name="Normal 20 2 5 2 7" xfId="20668"/>
    <cellStyle name="Normal 20 2 5 2 7 2" xfId="20669"/>
    <cellStyle name="Normal 20 2 5 2 7 2 2" xfId="20670"/>
    <cellStyle name="Normal 20 2 5 2 7 3" xfId="20671"/>
    <cellStyle name="Normal 20 2 5 2 8" xfId="20672"/>
    <cellStyle name="Normal 20 2 5 2 8 2" xfId="20673"/>
    <cellStyle name="Normal 20 2 5 2 9" xfId="20674"/>
    <cellStyle name="Normal 20 2 5 3" xfId="20675"/>
    <cellStyle name="Normal 20 2 5 3 2" xfId="20676"/>
    <cellStyle name="Normal 20 2 5 3 2 2" xfId="20677"/>
    <cellStyle name="Normal 20 2 5 3 2 2 2" xfId="20678"/>
    <cellStyle name="Normal 20 2 5 3 2 2 2 2" xfId="20679"/>
    <cellStyle name="Normal 20 2 5 3 2 2 2 2 2" xfId="20680"/>
    <cellStyle name="Normal 20 2 5 3 2 2 2 3" xfId="20681"/>
    <cellStyle name="Normal 20 2 5 3 2 2 3" xfId="20682"/>
    <cellStyle name="Normal 20 2 5 3 2 2 3 2" xfId="20683"/>
    <cellStyle name="Normal 20 2 5 3 2 2 4" xfId="20684"/>
    <cellStyle name="Normal 20 2 5 3 2 3" xfId="20685"/>
    <cellStyle name="Normal 20 2 5 3 2 3 2" xfId="20686"/>
    <cellStyle name="Normal 20 2 5 3 2 3 2 2" xfId="20687"/>
    <cellStyle name="Normal 20 2 5 3 2 3 2 2 2" xfId="20688"/>
    <cellStyle name="Normal 20 2 5 3 2 3 2 3" xfId="20689"/>
    <cellStyle name="Normal 20 2 5 3 2 3 3" xfId="20690"/>
    <cellStyle name="Normal 20 2 5 3 2 3 3 2" xfId="20691"/>
    <cellStyle name="Normal 20 2 5 3 2 3 4" xfId="20692"/>
    <cellStyle name="Normal 20 2 5 3 2 4" xfId="20693"/>
    <cellStyle name="Normal 20 2 5 3 2 4 2" xfId="20694"/>
    <cellStyle name="Normal 20 2 5 3 2 4 2 2" xfId="20695"/>
    <cellStyle name="Normal 20 2 5 3 2 4 3" xfId="20696"/>
    <cellStyle name="Normal 20 2 5 3 2 5" xfId="20697"/>
    <cellStyle name="Normal 20 2 5 3 2 5 2" xfId="20698"/>
    <cellStyle name="Normal 20 2 5 3 2 6" xfId="20699"/>
    <cellStyle name="Normal 20 2 5 3 3" xfId="20700"/>
    <cellStyle name="Normal 20 2 5 3 3 2" xfId="20701"/>
    <cellStyle name="Normal 20 2 5 3 3 2 2" xfId="20702"/>
    <cellStyle name="Normal 20 2 5 3 3 2 2 2" xfId="20703"/>
    <cellStyle name="Normal 20 2 5 3 3 2 3" xfId="20704"/>
    <cellStyle name="Normal 20 2 5 3 3 3" xfId="20705"/>
    <cellStyle name="Normal 20 2 5 3 3 3 2" xfId="20706"/>
    <cellStyle name="Normal 20 2 5 3 3 4" xfId="20707"/>
    <cellStyle name="Normal 20 2 5 3 4" xfId="20708"/>
    <cellStyle name="Normal 20 2 5 3 4 2" xfId="20709"/>
    <cellStyle name="Normal 20 2 5 3 4 2 2" xfId="20710"/>
    <cellStyle name="Normal 20 2 5 3 4 2 2 2" xfId="20711"/>
    <cellStyle name="Normal 20 2 5 3 4 2 3" xfId="20712"/>
    <cellStyle name="Normal 20 2 5 3 4 3" xfId="20713"/>
    <cellStyle name="Normal 20 2 5 3 4 3 2" xfId="20714"/>
    <cellStyle name="Normal 20 2 5 3 4 4" xfId="20715"/>
    <cellStyle name="Normal 20 2 5 3 5" xfId="20716"/>
    <cellStyle name="Normal 20 2 5 3 5 2" xfId="20717"/>
    <cellStyle name="Normal 20 2 5 3 5 2 2" xfId="20718"/>
    <cellStyle name="Normal 20 2 5 3 5 3" xfId="20719"/>
    <cellStyle name="Normal 20 2 5 3 6" xfId="20720"/>
    <cellStyle name="Normal 20 2 5 3 6 2" xfId="20721"/>
    <cellStyle name="Normal 20 2 5 3 7" xfId="20722"/>
    <cellStyle name="Normal 20 2 5 4" xfId="20723"/>
    <cellStyle name="Normal 20 2 5 4 2" xfId="20724"/>
    <cellStyle name="Normal 20 2 5 4 2 2" xfId="20725"/>
    <cellStyle name="Normal 20 2 5 4 2 2 2" xfId="20726"/>
    <cellStyle name="Normal 20 2 5 4 2 2 2 2" xfId="20727"/>
    <cellStyle name="Normal 20 2 5 4 2 2 3" xfId="20728"/>
    <cellStyle name="Normal 20 2 5 4 2 3" xfId="20729"/>
    <cellStyle name="Normal 20 2 5 4 2 3 2" xfId="20730"/>
    <cellStyle name="Normal 20 2 5 4 2 4" xfId="20731"/>
    <cellStyle name="Normal 20 2 5 4 3" xfId="20732"/>
    <cellStyle name="Normal 20 2 5 4 3 2" xfId="20733"/>
    <cellStyle name="Normal 20 2 5 4 3 2 2" xfId="20734"/>
    <cellStyle name="Normal 20 2 5 4 3 2 2 2" xfId="20735"/>
    <cellStyle name="Normal 20 2 5 4 3 2 3" xfId="20736"/>
    <cellStyle name="Normal 20 2 5 4 3 3" xfId="20737"/>
    <cellStyle name="Normal 20 2 5 4 3 3 2" xfId="20738"/>
    <cellStyle name="Normal 20 2 5 4 3 4" xfId="20739"/>
    <cellStyle name="Normal 20 2 5 4 4" xfId="20740"/>
    <cellStyle name="Normal 20 2 5 4 4 2" xfId="20741"/>
    <cellStyle name="Normal 20 2 5 4 4 2 2" xfId="20742"/>
    <cellStyle name="Normal 20 2 5 4 4 3" xfId="20743"/>
    <cellStyle name="Normal 20 2 5 4 5" xfId="20744"/>
    <cellStyle name="Normal 20 2 5 4 5 2" xfId="20745"/>
    <cellStyle name="Normal 20 2 5 4 6" xfId="20746"/>
    <cellStyle name="Normal 20 2 5 5" xfId="20747"/>
    <cellStyle name="Normal 20 2 5 5 2" xfId="20748"/>
    <cellStyle name="Normal 20 2 5 5 2 2" xfId="20749"/>
    <cellStyle name="Normal 20 2 5 5 2 2 2" xfId="20750"/>
    <cellStyle name="Normal 20 2 5 5 2 3" xfId="20751"/>
    <cellStyle name="Normal 20 2 5 5 3" xfId="20752"/>
    <cellStyle name="Normal 20 2 5 5 3 2" xfId="20753"/>
    <cellStyle name="Normal 20 2 5 5 4" xfId="20754"/>
    <cellStyle name="Normal 20 2 5 6" xfId="20755"/>
    <cellStyle name="Normal 20 2 5 6 2" xfId="20756"/>
    <cellStyle name="Normal 20 2 5 6 2 2" xfId="20757"/>
    <cellStyle name="Normal 20 2 5 6 2 2 2" xfId="20758"/>
    <cellStyle name="Normal 20 2 5 6 2 3" xfId="20759"/>
    <cellStyle name="Normal 20 2 5 6 3" xfId="20760"/>
    <cellStyle name="Normal 20 2 5 6 3 2" xfId="20761"/>
    <cellStyle name="Normal 20 2 5 6 4" xfId="20762"/>
    <cellStyle name="Normal 20 2 5 7" xfId="20763"/>
    <cellStyle name="Normal 20 2 5 7 2" xfId="20764"/>
    <cellStyle name="Normal 20 2 5 7 2 2" xfId="20765"/>
    <cellStyle name="Normal 20 2 5 7 2 2 2" xfId="20766"/>
    <cellStyle name="Normal 20 2 5 7 2 3" xfId="20767"/>
    <cellStyle name="Normal 20 2 5 7 3" xfId="20768"/>
    <cellStyle name="Normal 20 2 5 7 3 2" xfId="20769"/>
    <cellStyle name="Normal 20 2 5 7 4" xfId="20770"/>
    <cellStyle name="Normal 20 2 5 8" xfId="20771"/>
    <cellStyle name="Normal 20 2 5 8 2" xfId="20772"/>
    <cellStyle name="Normal 20 2 5 8 2 2" xfId="20773"/>
    <cellStyle name="Normal 20 2 5 8 3" xfId="20774"/>
    <cellStyle name="Normal 20 2 5 9" xfId="20775"/>
    <cellStyle name="Normal 20 2 5 9 2" xfId="20776"/>
    <cellStyle name="Normal 20 2 6" xfId="20777"/>
    <cellStyle name="Normal 20 2 6 2" xfId="20778"/>
    <cellStyle name="Normal 20 2 6 2 2" xfId="20779"/>
    <cellStyle name="Normal 20 2 6 2 2 2" xfId="20780"/>
    <cellStyle name="Normal 20 2 6 2 2 2 2" xfId="20781"/>
    <cellStyle name="Normal 20 2 6 2 2 2 2 2" xfId="20782"/>
    <cellStyle name="Normal 20 2 6 2 2 2 2 2 2" xfId="20783"/>
    <cellStyle name="Normal 20 2 6 2 2 2 2 3" xfId="20784"/>
    <cellStyle name="Normal 20 2 6 2 2 2 3" xfId="20785"/>
    <cellStyle name="Normal 20 2 6 2 2 2 3 2" xfId="20786"/>
    <cellStyle name="Normal 20 2 6 2 2 2 4" xfId="20787"/>
    <cellStyle name="Normal 20 2 6 2 2 3" xfId="20788"/>
    <cellStyle name="Normal 20 2 6 2 2 3 2" xfId="20789"/>
    <cellStyle name="Normal 20 2 6 2 2 3 2 2" xfId="20790"/>
    <cellStyle name="Normal 20 2 6 2 2 3 2 2 2" xfId="20791"/>
    <cellStyle name="Normal 20 2 6 2 2 3 2 3" xfId="20792"/>
    <cellStyle name="Normal 20 2 6 2 2 3 3" xfId="20793"/>
    <cellStyle name="Normal 20 2 6 2 2 3 3 2" xfId="20794"/>
    <cellStyle name="Normal 20 2 6 2 2 3 4" xfId="20795"/>
    <cellStyle name="Normal 20 2 6 2 2 4" xfId="20796"/>
    <cellStyle name="Normal 20 2 6 2 2 4 2" xfId="20797"/>
    <cellStyle name="Normal 20 2 6 2 2 4 2 2" xfId="20798"/>
    <cellStyle name="Normal 20 2 6 2 2 4 3" xfId="20799"/>
    <cellStyle name="Normal 20 2 6 2 2 5" xfId="20800"/>
    <cellStyle name="Normal 20 2 6 2 2 5 2" xfId="20801"/>
    <cellStyle name="Normal 20 2 6 2 2 6" xfId="20802"/>
    <cellStyle name="Normal 20 2 6 2 3" xfId="20803"/>
    <cellStyle name="Normal 20 2 6 2 3 2" xfId="20804"/>
    <cellStyle name="Normal 20 2 6 2 3 2 2" xfId="20805"/>
    <cellStyle name="Normal 20 2 6 2 3 2 2 2" xfId="20806"/>
    <cellStyle name="Normal 20 2 6 2 3 2 3" xfId="20807"/>
    <cellStyle name="Normal 20 2 6 2 3 3" xfId="20808"/>
    <cellStyle name="Normal 20 2 6 2 3 3 2" xfId="20809"/>
    <cellStyle name="Normal 20 2 6 2 3 4" xfId="20810"/>
    <cellStyle name="Normal 20 2 6 2 4" xfId="20811"/>
    <cellStyle name="Normal 20 2 6 2 4 2" xfId="20812"/>
    <cellStyle name="Normal 20 2 6 2 4 2 2" xfId="20813"/>
    <cellStyle name="Normal 20 2 6 2 4 2 2 2" xfId="20814"/>
    <cellStyle name="Normal 20 2 6 2 4 2 3" xfId="20815"/>
    <cellStyle name="Normal 20 2 6 2 4 3" xfId="20816"/>
    <cellStyle name="Normal 20 2 6 2 4 3 2" xfId="20817"/>
    <cellStyle name="Normal 20 2 6 2 4 4" xfId="20818"/>
    <cellStyle name="Normal 20 2 6 2 5" xfId="20819"/>
    <cellStyle name="Normal 20 2 6 2 5 2" xfId="20820"/>
    <cellStyle name="Normal 20 2 6 2 5 2 2" xfId="20821"/>
    <cellStyle name="Normal 20 2 6 2 5 3" xfId="20822"/>
    <cellStyle name="Normal 20 2 6 2 6" xfId="20823"/>
    <cellStyle name="Normal 20 2 6 2 6 2" xfId="20824"/>
    <cellStyle name="Normal 20 2 6 2 7" xfId="20825"/>
    <cellStyle name="Normal 20 2 6 3" xfId="20826"/>
    <cellStyle name="Normal 20 2 6 3 2" xfId="20827"/>
    <cellStyle name="Normal 20 2 6 3 2 2" xfId="20828"/>
    <cellStyle name="Normal 20 2 6 3 2 2 2" xfId="20829"/>
    <cellStyle name="Normal 20 2 6 3 2 2 2 2" xfId="20830"/>
    <cellStyle name="Normal 20 2 6 3 2 2 3" xfId="20831"/>
    <cellStyle name="Normal 20 2 6 3 2 3" xfId="20832"/>
    <cellStyle name="Normal 20 2 6 3 2 3 2" xfId="20833"/>
    <cellStyle name="Normal 20 2 6 3 2 4" xfId="20834"/>
    <cellStyle name="Normal 20 2 6 3 3" xfId="20835"/>
    <cellStyle name="Normal 20 2 6 3 3 2" xfId="20836"/>
    <cellStyle name="Normal 20 2 6 3 3 2 2" xfId="20837"/>
    <cellStyle name="Normal 20 2 6 3 3 2 2 2" xfId="20838"/>
    <cellStyle name="Normal 20 2 6 3 3 2 3" xfId="20839"/>
    <cellStyle name="Normal 20 2 6 3 3 3" xfId="20840"/>
    <cellStyle name="Normal 20 2 6 3 3 3 2" xfId="20841"/>
    <cellStyle name="Normal 20 2 6 3 3 4" xfId="20842"/>
    <cellStyle name="Normal 20 2 6 3 4" xfId="20843"/>
    <cellStyle name="Normal 20 2 6 3 4 2" xfId="20844"/>
    <cellStyle name="Normal 20 2 6 3 4 2 2" xfId="20845"/>
    <cellStyle name="Normal 20 2 6 3 4 3" xfId="20846"/>
    <cellStyle name="Normal 20 2 6 3 5" xfId="20847"/>
    <cellStyle name="Normal 20 2 6 3 5 2" xfId="20848"/>
    <cellStyle name="Normal 20 2 6 3 6" xfId="20849"/>
    <cellStyle name="Normal 20 2 6 4" xfId="20850"/>
    <cellStyle name="Normal 20 2 6 4 2" xfId="20851"/>
    <cellStyle name="Normal 20 2 6 4 2 2" xfId="20852"/>
    <cellStyle name="Normal 20 2 6 4 2 2 2" xfId="20853"/>
    <cellStyle name="Normal 20 2 6 4 2 3" xfId="20854"/>
    <cellStyle name="Normal 20 2 6 4 3" xfId="20855"/>
    <cellStyle name="Normal 20 2 6 4 3 2" xfId="20856"/>
    <cellStyle name="Normal 20 2 6 4 4" xfId="20857"/>
    <cellStyle name="Normal 20 2 6 5" xfId="20858"/>
    <cellStyle name="Normal 20 2 6 5 2" xfId="20859"/>
    <cellStyle name="Normal 20 2 6 5 2 2" xfId="20860"/>
    <cellStyle name="Normal 20 2 6 5 2 2 2" xfId="20861"/>
    <cellStyle name="Normal 20 2 6 5 2 3" xfId="20862"/>
    <cellStyle name="Normal 20 2 6 5 3" xfId="20863"/>
    <cellStyle name="Normal 20 2 6 5 3 2" xfId="20864"/>
    <cellStyle name="Normal 20 2 6 5 4" xfId="20865"/>
    <cellStyle name="Normal 20 2 6 6" xfId="20866"/>
    <cellStyle name="Normal 20 2 6 6 2" xfId="20867"/>
    <cellStyle name="Normal 20 2 6 6 2 2" xfId="20868"/>
    <cellStyle name="Normal 20 2 6 6 2 2 2" xfId="20869"/>
    <cellStyle name="Normal 20 2 6 6 2 3" xfId="20870"/>
    <cellStyle name="Normal 20 2 6 6 3" xfId="20871"/>
    <cellStyle name="Normal 20 2 6 6 3 2" xfId="20872"/>
    <cellStyle name="Normal 20 2 6 6 4" xfId="20873"/>
    <cellStyle name="Normal 20 2 6 7" xfId="20874"/>
    <cellStyle name="Normal 20 2 6 7 2" xfId="20875"/>
    <cellStyle name="Normal 20 2 6 7 2 2" xfId="20876"/>
    <cellStyle name="Normal 20 2 6 7 3" xfId="20877"/>
    <cellStyle name="Normal 20 2 6 8" xfId="20878"/>
    <cellStyle name="Normal 20 2 6 8 2" xfId="20879"/>
    <cellStyle name="Normal 20 2 6 9" xfId="20880"/>
    <cellStyle name="Normal 20 2 7" xfId="20881"/>
    <cellStyle name="Normal 20 2 7 2" xfId="20882"/>
    <cellStyle name="Normal 20 2 7 2 2" xfId="20883"/>
    <cellStyle name="Normal 20 2 7 2 2 2" xfId="20884"/>
    <cellStyle name="Normal 20 2 7 2 2 2 2" xfId="20885"/>
    <cellStyle name="Normal 20 2 7 2 2 2 2 2" xfId="20886"/>
    <cellStyle name="Normal 20 2 7 2 2 2 3" xfId="20887"/>
    <cellStyle name="Normal 20 2 7 2 2 3" xfId="20888"/>
    <cellStyle name="Normal 20 2 7 2 2 3 2" xfId="20889"/>
    <cellStyle name="Normal 20 2 7 2 2 4" xfId="20890"/>
    <cellStyle name="Normal 20 2 7 2 3" xfId="20891"/>
    <cellStyle name="Normal 20 2 7 2 3 2" xfId="20892"/>
    <cellStyle name="Normal 20 2 7 2 3 2 2" xfId="20893"/>
    <cellStyle name="Normal 20 2 7 2 3 2 2 2" xfId="20894"/>
    <cellStyle name="Normal 20 2 7 2 3 2 3" xfId="20895"/>
    <cellStyle name="Normal 20 2 7 2 3 3" xfId="20896"/>
    <cellStyle name="Normal 20 2 7 2 3 3 2" xfId="20897"/>
    <cellStyle name="Normal 20 2 7 2 3 4" xfId="20898"/>
    <cellStyle name="Normal 20 2 7 2 4" xfId="20899"/>
    <cellStyle name="Normal 20 2 7 2 4 2" xfId="20900"/>
    <cellStyle name="Normal 20 2 7 2 4 2 2" xfId="20901"/>
    <cellStyle name="Normal 20 2 7 2 4 3" xfId="20902"/>
    <cellStyle name="Normal 20 2 7 2 5" xfId="20903"/>
    <cellStyle name="Normal 20 2 7 2 5 2" xfId="20904"/>
    <cellStyle name="Normal 20 2 7 2 6" xfId="20905"/>
    <cellStyle name="Normal 20 2 7 3" xfId="20906"/>
    <cellStyle name="Normal 20 2 7 3 2" xfId="20907"/>
    <cellStyle name="Normal 20 2 7 3 2 2" xfId="20908"/>
    <cellStyle name="Normal 20 2 7 3 2 2 2" xfId="20909"/>
    <cellStyle name="Normal 20 2 7 3 2 3" xfId="20910"/>
    <cellStyle name="Normal 20 2 7 3 3" xfId="20911"/>
    <cellStyle name="Normal 20 2 7 3 3 2" xfId="20912"/>
    <cellStyle name="Normal 20 2 7 3 4" xfId="20913"/>
    <cellStyle name="Normal 20 2 7 4" xfId="20914"/>
    <cellStyle name="Normal 20 2 7 4 2" xfId="20915"/>
    <cellStyle name="Normal 20 2 7 4 2 2" xfId="20916"/>
    <cellStyle name="Normal 20 2 7 4 2 2 2" xfId="20917"/>
    <cellStyle name="Normal 20 2 7 4 2 3" xfId="20918"/>
    <cellStyle name="Normal 20 2 7 4 3" xfId="20919"/>
    <cellStyle name="Normal 20 2 7 4 3 2" xfId="20920"/>
    <cellStyle name="Normal 20 2 7 4 4" xfId="20921"/>
    <cellStyle name="Normal 20 2 7 5" xfId="20922"/>
    <cellStyle name="Normal 20 2 7 5 2" xfId="20923"/>
    <cellStyle name="Normal 20 2 7 5 2 2" xfId="20924"/>
    <cellStyle name="Normal 20 2 7 5 3" xfId="20925"/>
    <cellStyle name="Normal 20 2 7 6" xfId="20926"/>
    <cellStyle name="Normal 20 2 7 6 2" xfId="20927"/>
    <cellStyle name="Normal 20 2 7 7" xfId="20928"/>
    <cellStyle name="Normal 20 2 8" xfId="20929"/>
    <cellStyle name="Normal 20 2 8 2" xfId="20930"/>
    <cellStyle name="Normal 20 2 8 2 2" xfId="20931"/>
    <cellStyle name="Normal 20 2 8 2 2 2" xfId="20932"/>
    <cellStyle name="Normal 20 2 8 2 2 2 2" xfId="20933"/>
    <cellStyle name="Normal 20 2 8 2 2 3" xfId="20934"/>
    <cellStyle name="Normal 20 2 8 2 3" xfId="20935"/>
    <cellStyle name="Normal 20 2 8 2 3 2" xfId="20936"/>
    <cellStyle name="Normal 20 2 8 2 4" xfId="20937"/>
    <cellStyle name="Normal 20 2 8 3" xfId="20938"/>
    <cellStyle name="Normal 20 2 8 3 2" xfId="20939"/>
    <cellStyle name="Normal 20 2 8 3 2 2" xfId="20940"/>
    <cellStyle name="Normal 20 2 8 3 2 2 2" xfId="20941"/>
    <cellStyle name="Normal 20 2 8 3 2 3" xfId="20942"/>
    <cellStyle name="Normal 20 2 8 3 3" xfId="20943"/>
    <cellStyle name="Normal 20 2 8 3 3 2" xfId="20944"/>
    <cellStyle name="Normal 20 2 8 3 4" xfId="20945"/>
    <cellStyle name="Normal 20 2 8 4" xfId="20946"/>
    <cellStyle name="Normal 20 2 8 4 2" xfId="20947"/>
    <cellStyle name="Normal 20 2 8 4 2 2" xfId="20948"/>
    <cellStyle name="Normal 20 2 8 4 3" xfId="20949"/>
    <cellStyle name="Normal 20 2 8 5" xfId="20950"/>
    <cellStyle name="Normal 20 2 8 5 2" xfId="20951"/>
    <cellStyle name="Normal 20 2 8 6" xfId="20952"/>
    <cellStyle name="Normal 20 2 9" xfId="20953"/>
    <cellStyle name="Normal 20 2 9 2" xfId="20954"/>
    <cellStyle name="Normal 20 2 9 2 2" xfId="20955"/>
    <cellStyle name="Normal 20 2 9 2 2 2" xfId="20956"/>
    <cellStyle name="Normal 20 2 9 2 3" xfId="20957"/>
    <cellStyle name="Normal 20 2 9 3" xfId="20958"/>
    <cellStyle name="Normal 20 2 9 3 2" xfId="20959"/>
    <cellStyle name="Normal 20 2 9 4" xfId="20960"/>
    <cellStyle name="Normal 20 3" xfId="20961"/>
    <cellStyle name="Normal 20 3 10" xfId="20962"/>
    <cellStyle name="Normal 20 3 10 2" xfId="20963"/>
    <cellStyle name="Normal 20 3 10 2 2" xfId="20964"/>
    <cellStyle name="Normal 20 3 10 2 2 2" xfId="20965"/>
    <cellStyle name="Normal 20 3 10 2 3" xfId="20966"/>
    <cellStyle name="Normal 20 3 10 3" xfId="20967"/>
    <cellStyle name="Normal 20 3 10 3 2" xfId="20968"/>
    <cellStyle name="Normal 20 3 10 4" xfId="20969"/>
    <cellStyle name="Normal 20 3 11" xfId="20970"/>
    <cellStyle name="Normal 20 3 11 2" xfId="20971"/>
    <cellStyle name="Normal 20 3 11 2 2" xfId="20972"/>
    <cellStyle name="Normal 20 3 11 3" xfId="20973"/>
    <cellStyle name="Normal 20 3 12" xfId="20974"/>
    <cellStyle name="Normal 20 3 12 2" xfId="20975"/>
    <cellStyle name="Normal 20 3 13" xfId="20976"/>
    <cellStyle name="Normal 20 3 2" xfId="20977"/>
    <cellStyle name="Normal 20 3 2 10" xfId="20978"/>
    <cellStyle name="Normal 20 3 2 10 2" xfId="20979"/>
    <cellStyle name="Normal 20 3 2 11" xfId="20980"/>
    <cellStyle name="Normal 20 3 2 2" xfId="20981"/>
    <cellStyle name="Normal 20 3 2 2 10" xfId="20982"/>
    <cellStyle name="Normal 20 3 2 2 2" xfId="20983"/>
    <cellStyle name="Normal 20 3 2 2 2 2" xfId="20984"/>
    <cellStyle name="Normal 20 3 2 2 2 2 2" xfId="20985"/>
    <cellStyle name="Normal 20 3 2 2 2 2 2 2" xfId="20986"/>
    <cellStyle name="Normal 20 3 2 2 2 2 2 2 2" xfId="20987"/>
    <cellStyle name="Normal 20 3 2 2 2 2 2 2 2 2" xfId="20988"/>
    <cellStyle name="Normal 20 3 2 2 2 2 2 2 2 2 2" xfId="20989"/>
    <cellStyle name="Normal 20 3 2 2 2 2 2 2 2 3" xfId="20990"/>
    <cellStyle name="Normal 20 3 2 2 2 2 2 2 3" xfId="20991"/>
    <cellStyle name="Normal 20 3 2 2 2 2 2 2 3 2" xfId="20992"/>
    <cellStyle name="Normal 20 3 2 2 2 2 2 2 4" xfId="20993"/>
    <cellStyle name="Normal 20 3 2 2 2 2 2 3" xfId="20994"/>
    <cellStyle name="Normal 20 3 2 2 2 2 2 3 2" xfId="20995"/>
    <cellStyle name="Normal 20 3 2 2 2 2 2 3 2 2" xfId="20996"/>
    <cellStyle name="Normal 20 3 2 2 2 2 2 3 2 2 2" xfId="20997"/>
    <cellStyle name="Normal 20 3 2 2 2 2 2 3 2 3" xfId="20998"/>
    <cellStyle name="Normal 20 3 2 2 2 2 2 3 3" xfId="20999"/>
    <cellStyle name="Normal 20 3 2 2 2 2 2 3 3 2" xfId="21000"/>
    <cellStyle name="Normal 20 3 2 2 2 2 2 3 4" xfId="21001"/>
    <cellStyle name="Normal 20 3 2 2 2 2 2 4" xfId="21002"/>
    <cellStyle name="Normal 20 3 2 2 2 2 2 4 2" xfId="21003"/>
    <cellStyle name="Normal 20 3 2 2 2 2 2 4 2 2" xfId="21004"/>
    <cellStyle name="Normal 20 3 2 2 2 2 2 4 3" xfId="21005"/>
    <cellStyle name="Normal 20 3 2 2 2 2 2 5" xfId="21006"/>
    <cellStyle name="Normal 20 3 2 2 2 2 2 5 2" xfId="21007"/>
    <cellStyle name="Normal 20 3 2 2 2 2 2 6" xfId="21008"/>
    <cellStyle name="Normal 20 3 2 2 2 2 3" xfId="21009"/>
    <cellStyle name="Normal 20 3 2 2 2 2 3 2" xfId="21010"/>
    <cellStyle name="Normal 20 3 2 2 2 2 3 2 2" xfId="21011"/>
    <cellStyle name="Normal 20 3 2 2 2 2 3 2 2 2" xfId="21012"/>
    <cellStyle name="Normal 20 3 2 2 2 2 3 2 3" xfId="21013"/>
    <cellStyle name="Normal 20 3 2 2 2 2 3 3" xfId="21014"/>
    <cellStyle name="Normal 20 3 2 2 2 2 3 3 2" xfId="21015"/>
    <cellStyle name="Normal 20 3 2 2 2 2 3 4" xfId="21016"/>
    <cellStyle name="Normal 20 3 2 2 2 2 4" xfId="21017"/>
    <cellStyle name="Normal 20 3 2 2 2 2 4 2" xfId="21018"/>
    <cellStyle name="Normal 20 3 2 2 2 2 4 2 2" xfId="21019"/>
    <cellStyle name="Normal 20 3 2 2 2 2 4 2 2 2" xfId="21020"/>
    <cellStyle name="Normal 20 3 2 2 2 2 4 2 3" xfId="21021"/>
    <cellStyle name="Normal 20 3 2 2 2 2 4 3" xfId="21022"/>
    <cellStyle name="Normal 20 3 2 2 2 2 4 3 2" xfId="21023"/>
    <cellStyle name="Normal 20 3 2 2 2 2 4 4" xfId="21024"/>
    <cellStyle name="Normal 20 3 2 2 2 2 5" xfId="21025"/>
    <cellStyle name="Normal 20 3 2 2 2 2 5 2" xfId="21026"/>
    <cellStyle name="Normal 20 3 2 2 2 2 5 2 2" xfId="21027"/>
    <cellStyle name="Normal 20 3 2 2 2 2 5 3" xfId="21028"/>
    <cellStyle name="Normal 20 3 2 2 2 2 6" xfId="21029"/>
    <cellStyle name="Normal 20 3 2 2 2 2 6 2" xfId="21030"/>
    <cellStyle name="Normal 20 3 2 2 2 2 7" xfId="21031"/>
    <cellStyle name="Normal 20 3 2 2 2 3" xfId="21032"/>
    <cellStyle name="Normal 20 3 2 2 2 3 2" xfId="21033"/>
    <cellStyle name="Normal 20 3 2 2 2 3 2 2" xfId="21034"/>
    <cellStyle name="Normal 20 3 2 2 2 3 2 2 2" xfId="21035"/>
    <cellStyle name="Normal 20 3 2 2 2 3 2 2 2 2" xfId="21036"/>
    <cellStyle name="Normal 20 3 2 2 2 3 2 2 3" xfId="21037"/>
    <cellStyle name="Normal 20 3 2 2 2 3 2 3" xfId="21038"/>
    <cellStyle name="Normal 20 3 2 2 2 3 2 3 2" xfId="21039"/>
    <cellStyle name="Normal 20 3 2 2 2 3 2 4" xfId="21040"/>
    <cellStyle name="Normal 20 3 2 2 2 3 3" xfId="21041"/>
    <cellStyle name="Normal 20 3 2 2 2 3 3 2" xfId="21042"/>
    <cellStyle name="Normal 20 3 2 2 2 3 3 2 2" xfId="21043"/>
    <cellStyle name="Normal 20 3 2 2 2 3 3 2 2 2" xfId="21044"/>
    <cellStyle name="Normal 20 3 2 2 2 3 3 2 3" xfId="21045"/>
    <cellStyle name="Normal 20 3 2 2 2 3 3 3" xfId="21046"/>
    <cellStyle name="Normal 20 3 2 2 2 3 3 3 2" xfId="21047"/>
    <cellStyle name="Normal 20 3 2 2 2 3 3 4" xfId="21048"/>
    <cellStyle name="Normal 20 3 2 2 2 3 4" xfId="21049"/>
    <cellStyle name="Normal 20 3 2 2 2 3 4 2" xfId="21050"/>
    <cellStyle name="Normal 20 3 2 2 2 3 4 2 2" xfId="21051"/>
    <cellStyle name="Normal 20 3 2 2 2 3 4 3" xfId="21052"/>
    <cellStyle name="Normal 20 3 2 2 2 3 5" xfId="21053"/>
    <cellStyle name="Normal 20 3 2 2 2 3 5 2" xfId="21054"/>
    <cellStyle name="Normal 20 3 2 2 2 3 6" xfId="21055"/>
    <cellStyle name="Normal 20 3 2 2 2 4" xfId="21056"/>
    <cellStyle name="Normal 20 3 2 2 2 4 2" xfId="21057"/>
    <cellStyle name="Normal 20 3 2 2 2 4 2 2" xfId="21058"/>
    <cellStyle name="Normal 20 3 2 2 2 4 2 2 2" xfId="21059"/>
    <cellStyle name="Normal 20 3 2 2 2 4 2 3" xfId="21060"/>
    <cellStyle name="Normal 20 3 2 2 2 4 3" xfId="21061"/>
    <cellStyle name="Normal 20 3 2 2 2 4 3 2" xfId="21062"/>
    <cellStyle name="Normal 20 3 2 2 2 4 4" xfId="21063"/>
    <cellStyle name="Normal 20 3 2 2 2 5" xfId="21064"/>
    <cellStyle name="Normal 20 3 2 2 2 5 2" xfId="21065"/>
    <cellStyle name="Normal 20 3 2 2 2 5 2 2" xfId="21066"/>
    <cellStyle name="Normal 20 3 2 2 2 5 2 2 2" xfId="21067"/>
    <cellStyle name="Normal 20 3 2 2 2 5 2 3" xfId="21068"/>
    <cellStyle name="Normal 20 3 2 2 2 5 3" xfId="21069"/>
    <cellStyle name="Normal 20 3 2 2 2 5 3 2" xfId="21070"/>
    <cellStyle name="Normal 20 3 2 2 2 5 4" xfId="21071"/>
    <cellStyle name="Normal 20 3 2 2 2 6" xfId="21072"/>
    <cellStyle name="Normal 20 3 2 2 2 6 2" xfId="21073"/>
    <cellStyle name="Normal 20 3 2 2 2 6 2 2" xfId="21074"/>
    <cellStyle name="Normal 20 3 2 2 2 6 2 2 2" xfId="21075"/>
    <cellStyle name="Normal 20 3 2 2 2 6 2 3" xfId="21076"/>
    <cellStyle name="Normal 20 3 2 2 2 6 3" xfId="21077"/>
    <cellStyle name="Normal 20 3 2 2 2 6 3 2" xfId="21078"/>
    <cellStyle name="Normal 20 3 2 2 2 6 4" xfId="21079"/>
    <cellStyle name="Normal 20 3 2 2 2 7" xfId="21080"/>
    <cellStyle name="Normal 20 3 2 2 2 7 2" xfId="21081"/>
    <cellStyle name="Normal 20 3 2 2 2 7 2 2" xfId="21082"/>
    <cellStyle name="Normal 20 3 2 2 2 7 3" xfId="21083"/>
    <cellStyle name="Normal 20 3 2 2 2 8" xfId="21084"/>
    <cellStyle name="Normal 20 3 2 2 2 8 2" xfId="21085"/>
    <cellStyle name="Normal 20 3 2 2 2 9" xfId="21086"/>
    <cellStyle name="Normal 20 3 2 2 3" xfId="21087"/>
    <cellStyle name="Normal 20 3 2 2 3 2" xfId="21088"/>
    <cellStyle name="Normal 20 3 2 2 3 2 2" xfId="21089"/>
    <cellStyle name="Normal 20 3 2 2 3 2 2 2" xfId="21090"/>
    <cellStyle name="Normal 20 3 2 2 3 2 2 2 2" xfId="21091"/>
    <cellStyle name="Normal 20 3 2 2 3 2 2 2 2 2" xfId="21092"/>
    <cellStyle name="Normal 20 3 2 2 3 2 2 2 3" xfId="21093"/>
    <cellStyle name="Normal 20 3 2 2 3 2 2 3" xfId="21094"/>
    <cellStyle name="Normal 20 3 2 2 3 2 2 3 2" xfId="21095"/>
    <cellStyle name="Normal 20 3 2 2 3 2 2 4" xfId="21096"/>
    <cellStyle name="Normal 20 3 2 2 3 2 3" xfId="21097"/>
    <cellStyle name="Normal 20 3 2 2 3 2 3 2" xfId="21098"/>
    <cellStyle name="Normal 20 3 2 2 3 2 3 2 2" xfId="21099"/>
    <cellStyle name="Normal 20 3 2 2 3 2 3 2 2 2" xfId="21100"/>
    <cellStyle name="Normal 20 3 2 2 3 2 3 2 3" xfId="21101"/>
    <cellStyle name="Normal 20 3 2 2 3 2 3 3" xfId="21102"/>
    <cellStyle name="Normal 20 3 2 2 3 2 3 3 2" xfId="21103"/>
    <cellStyle name="Normal 20 3 2 2 3 2 3 4" xfId="21104"/>
    <cellStyle name="Normal 20 3 2 2 3 2 4" xfId="21105"/>
    <cellStyle name="Normal 20 3 2 2 3 2 4 2" xfId="21106"/>
    <cellStyle name="Normal 20 3 2 2 3 2 4 2 2" xfId="21107"/>
    <cellStyle name="Normal 20 3 2 2 3 2 4 3" xfId="21108"/>
    <cellStyle name="Normal 20 3 2 2 3 2 5" xfId="21109"/>
    <cellStyle name="Normal 20 3 2 2 3 2 5 2" xfId="21110"/>
    <cellStyle name="Normal 20 3 2 2 3 2 6" xfId="21111"/>
    <cellStyle name="Normal 20 3 2 2 3 3" xfId="21112"/>
    <cellStyle name="Normal 20 3 2 2 3 3 2" xfId="21113"/>
    <cellStyle name="Normal 20 3 2 2 3 3 2 2" xfId="21114"/>
    <cellStyle name="Normal 20 3 2 2 3 3 2 2 2" xfId="21115"/>
    <cellStyle name="Normal 20 3 2 2 3 3 2 3" xfId="21116"/>
    <cellStyle name="Normal 20 3 2 2 3 3 3" xfId="21117"/>
    <cellStyle name="Normal 20 3 2 2 3 3 3 2" xfId="21118"/>
    <cellStyle name="Normal 20 3 2 2 3 3 4" xfId="21119"/>
    <cellStyle name="Normal 20 3 2 2 3 4" xfId="21120"/>
    <cellStyle name="Normal 20 3 2 2 3 4 2" xfId="21121"/>
    <cellStyle name="Normal 20 3 2 2 3 4 2 2" xfId="21122"/>
    <cellStyle name="Normal 20 3 2 2 3 4 2 2 2" xfId="21123"/>
    <cellStyle name="Normal 20 3 2 2 3 4 2 3" xfId="21124"/>
    <cellStyle name="Normal 20 3 2 2 3 4 3" xfId="21125"/>
    <cellStyle name="Normal 20 3 2 2 3 4 3 2" xfId="21126"/>
    <cellStyle name="Normal 20 3 2 2 3 4 4" xfId="21127"/>
    <cellStyle name="Normal 20 3 2 2 3 5" xfId="21128"/>
    <cellStyle name="Normal 20 3 2 2 3 5 2" xfId="21129"/>
    <cellStyle name="Normal 20 3 2 2 3 5 2 2" xfId="21130"/>
    <cellStyle name="Normal 20 3 2 2 3 5 3" xfId="21131"/>
    <cellStyle name="Normal 20 3 2 2 3 6" xfId="21132"/>
    <cellStyle name="Normal 20 3 2 2 3 6 2" xfId="21133"/>
    <cellStyle name="Normal 20 3 2 2 3 7" xfId="21134"/>
    <cellStyle name="Normal 20 3 2 2 4" xfId="21135"/>
    <cellStyle name="Normal 20 3 2 2 4 2" xfId="21136"/>
    <cellStyle name="Normal 20 3 2 2 4 2 2" xfId="21137"/>
    <cellStyle name="Normal 20 3 2 2 4 2 2 2" xfId="21138"/>
    <cellStyle name="Normal 20 3 2 2 4 2 2 2 2" xfId="21139"/>
    <cellStyle name="Normal 20 3 2 2 4 2 2 3" xfId="21140"/>
    <cellStyle name="Normal 20 3 2 2 4 2 3" xfId="21141"/>
    <cellStyle name="Normal 20 3 2 2 4 2 3 2" xfId="21142"/>
    <cellStyle name="Normal 20 3 2 2 4 2 4" xfId="21143"/>
    <cellStyle name="Normal 20 3 2 2 4 3" xfId="21144"/>
    <cellStyle name="Normal 20 3 2 2 4 3 2" xfId="21145"/>
    <cellStyle name="Normal 20 3 2 2 4 3 2 2" xfId="21146"/>
    <cellStyle name="Normal 20 3 2 2 4 3 2 2 2" xfId="21147"/>
    <cellStyle name="Normal 20 3 2 2 4 3 2 3" xfId="21148"/>
    <cellStyle name="Normal 20 3 2 2 4 3 3" xfId="21149"/>
    <cellStyle name="Normal 20 3 2 2 4 3 3 2" xfId="21150"/>
    <cellStyle name="Normal 20 3 2 2 4 3 4" xfId="21151"/>
    <cellStyle name="Normal 20 3 2 2 4 4" xfId="21152"/>
    <cellStyle name="Normal 20 3 2 2 4 4 2" xfId="21153"/>
    <cellStyle name="Normal 20 3 2 2 4 4 2 2" xfId="21154"/>
    <cellStyle name="Normal 20 3 2 2 4 4 3" xfId="21155"/>
    <cellStyle name="Normal 20 3 2 2 4 5" xfId="21156"/>
    <cellStyle name="Normal 20 3 2 2 4 5 2" xfId="21157"/>
    <cellStyle name="Normal 20 3 2 2 4 6" xfId="21158"/>
    <cellStyle name="Normal 20 3 2 2 5" xfId="21159"/>
    <cellStyle name="Normal 20 3 2 2 5 2" xfId="21160"/>
    <cellStyle name="Normal 20 3 2 2 5 2 2" xfId="21161"/>
    <cellStyle name="Normal 20 3 2 2 5 2 2 2" xfId="21162"/>
    <cellStyle name="Normal 20 3 2 2 5 2 3" xfId="21163"/>
    <cellStyle name="Normal 20 3 2 2 5 3" xfId="21164"/>
    <cellStyle name="Normal 20 3 2 2 5 3 2" xfId="21165"/>
    <cellStyle name="Normal 20 3 2 2 5 4" xfId="21166"/>
    <cellStyle name="Normal 20 3 2 2 6" xfId="21167"/>
    <cellStyle name="Normal 20 3 2 2 6 2" xfId="21168"/>
    <cellStyle name="Normal 20 3 2 2 6 2 2" xfId="21169"/>
    <cellStyle name="Normal 20 3 2 2 6 2 2 2" xfId="21170"/>
    <cellStyle name="Normal 20 3 2 2 6 2 3" xfId="21171"/>
    <cellStyle name="Normal 20 3 2 2 6 3" xfId="21172"/>
    <cellStyle name="Normal 20 3 2 2 6 3 2" xfId="21173"/>
    <cellStyle name="Normal 20 3 2 2 6 4" xfId="21174"/>
    <cellStyle name="Normal 20 3 2 2 7" xfId="21175"/>
    <cellStyle name="Normal 20 3 2 2 7 2" xfId="21176"/>
    <cellStyle name="Normal 20 3 2 2 7 2 2" xfId="21177"/>
    <cellStyle name="Normal 20 3 2 2 7 2 2 2" xfId="21178"/>
    <cellStyle name="Normal 20 3 2 2 7 2 3" xfId="21179"/>
    <cellStyle name="Normal 20 3 2 2 7 3" xfId="21180"/>
    <cellStyle name="Normal 20 3 2 2 7 3 2" xfId="21181"/>
    <cellStyle name="Normal 20 3 2 2 7 4" xfId="21182"/>
    <cellStyle name="Normal 20 3 2 2 8" xfId="21183"/>
    <cellStyle name="Normal 20 3 2 2 8 2" xfId="21184"/>
    <cellStyle name="Normal 20 3 2 2 8 2 2" xfId="21185"/>
    <cellStyle name="Normal 20 3 2 2 8 3" xfId="21186"/>
    <cellStyle name="Normal 20 3 2 2 9" xfId="21187"/>
    <cellStyle name="Normal 20 3 2 2 9 2" xfId="21188"/>
    <cellStyle name="Normal 20 3 2 3" xfId="21189"/>
    <cellStyle name="Normal 20 3 2 3 2" xfId="21190"/>
    <cellStyle name="Normal 20 3 2 3 2 2" xfId="21191"/>
    <cellStyle name="Normal 20 3 2 3 2 2 2" xfId="21192"/>
    <cellStyle name="Normal 20 3 2 3 2 2 2 2" xfId="21193"/>
    <cellStyle name="Normal 20 3 2 3 2 2 2 2 2" xfId="21194"/>
    <cellStyle name="Normal 20 3 2 3 2 2 2 2 2 2" xfId="21195"/>
    <cellStyle name="Normal 20 3 2 3 2 2 2 2 3" xfId="21196"/>
    <cellStyle name="Normal 20 3 2 3 2 2 2 3" xfId="21197"/>
    <cellStyle name="Normal 20 3 2 3 2 2 2 3 2" xfId="21198"/>
    <cellStyle name="Normal 20 3 2 3 2 2 2 4" xfId="21199"/>
    <cellStyle name="Normal 20 3 2 3 2 2 3" xfId="21200"/>
    <cellStyle name="Normal 20 3 2 3 2 2 3 2" xfId="21201"/>
    <cellStyle name="Normal 20 3 2 3 2 2 3 2 2" xfId="21202"/>
    <cellStyle name="Normal 20 3 2 3 2 2 3 2 2 2" xfId="21203"/>
    <cellStyle name="Normal 20 3 2 3 2 2 3 2 3" xfId="21204"/>
    <cellStyle name="Normal 20 3 2 3 2 2 3 3" xfId="21205"/>
    <cellStyle name="Normal 20 3 2 3 2 2 3 3 2" xfId="21206"/>
    <cellStyle name="Normal 20 3 2 3 2 2 3 4" xfId="21207"/>
    <cellStyle name="Normal 20 3 2 3 2 2 4" xfId="21208"/>
    <cellStyle name="Normal 20 3 2 3 2 2 4 2" xfId="21209"/>
    <cellStyle name="Normal 20 3 2 3 2 2 4 2 2" xfId="21210"/>
    <cellStyle name="Normal 20 3 2 3 2 2 4 3" xfId="21211"/>
    <cellStyle name="Normal 20 3 2 3 2 2 5" xfId="21212"/>
    <cellStyle name="Normal 20 3 2 3 2 2 5 2" xfId="21213"/>
    <cellStyle name="Normal 20 3 2 3 2 2 6" xfId="21214"/>
    <cellStyle name="Normal 20 3 2 3 2 3" xfId="21215"/>
    <cellStyle name="Normal 20 3 2 3 2 3 2" xfId="21216"/>
    <cellStyle name="Normal 20 3 2 3 2 3 2 2" xfId="21217"/>
    <cellStyle name="Normal 20 3 2 3 2 3 2 2 2" xfId="21218"/>
    <cellStyle name="Normal 20 3 2 3 2 3 2 3" xfId="21219"/>
    <cellStyle name="Normal 20 3 2 3 2 3 3" xfId="21220"/>
    <cellStyle name="Normal 20 3 2 3 2 3 3 2" xfId="21221"/>
    <cellStyle name="Normal 20 3 2 3 2 3 4" xfId="21222"/>
    <cellStyle name="Normal 20 3 2 3 2 4" xfId="21223"/>
    <cellStyle name="Normal 20 3 2 3 2 4 2" xfId="21224"/>
    <cellStyle name="Normal 20 3 2 3 2 4 2 2" xfId="21225"/>
    <cellStyle name="Normal 20 3 2 3 2 4 2 2 2" xfId="21226"/>
    <cellStyle name="Normal 20 3 2 3 2 4 2 3" xfId="21227"/>
    <cellStyle name="Normal 20 3 2 3 2 4 3" xfId="21228"/>
    <cellStyle name="Normal 20 3 2 3 2 4 3 2" xfId="21229"/>
    <cellStyle name="Normal 20 3 2 3 2 4 4" xfId="21230"/>
    <cellStyle name="Normal 20 3 2 3 2 5" xfId="21231"/>
    <cellStyle name="Normal 20 3 2 3 2 5 2" xfId="21232"/>
    <cellStyle name="Normal 20 3 2 3 2 5 2 2" xfId="21233"/>
    <cellStyle name="Normal 20 3 2 3 2 5 3" xfId="21234"/>
    <cellStyle name="Normal 20 3 2 3 2 6" xfId="21235"/>
    <cellStyle name="Normal 20 3 2 3 2 6 2" xfId="21236"/>
    <cellStyle name="Normal 20 3 2 3 2 7" xfId="21237"/>
    <cellStyle name="Normal 20 3 2 3 3" xfId="21238"/>
    <cellStyle name="Normal 20 3 2 3 3 2" xfId="21239"/>
    <cellStyle name="Normal 20 3 2 3 3 2 2" xfId="21240"/>
    <cellStyle name="Normal 20 3 2 3 3 2 2 2" xfId="21241"/>
    <cellStyle name="Normal 20 3 2 3 3 2 2 2 2" xfId="21242"/>
    <cellStyle name="Normal 20 3 2 3 3 2 2 3" xfId="21243"/>
    <cellStyle name="Normal 20 3 2 3 3 2 3" xfId="21244"/>
    <cellStyle name="Normal 20 3 2 3 3 2 3 2" xfId="21245"/>
    <cellStyle name="Normal 20 3 2 3 3 2 4" xfId="21246"/>
    <cellStyle name="Normal 20 3 2 3 3 3" xfId="21247"/>
    <cellStyle name="Normal 20 3 2 3 3 3 2" xfId="21248"/>
    <cellStyle name="Normal 20 3 2 3 3 3 2 2" xfId="21249"/>
    <cellStyle name="Normal 20 3 2 3 3 3 2 2 2" xfId="21250"/>
    <cellStyle name="Normal 20 3 2 3 3 3 2 3" xfId="21251"/>
    <cellStyle name="Normal 20 3 2 3 3 3 3" xfId="21252"/>
    <cellStyle name="Normal 20 3 2 3 3 3 3 2" xfId="21253"/>
    <cellStyle name="Normal 20 3 2 3 3 3 4" xfId="21254"/>
    <cellStyle name="Normal 20 3 2 3 3 4" xfId="21255"/>
    <cellStyle name="Normal 20 3 2 3 3 4 2" xfId="21256"/>
    <cellStyle name="Normal 20 3 2 3 3 4 2 2" xfId="21257"/>
    <cellStyle name="Normal 20 3 2 3 3 4 3" xfId="21258"/>
    <cellStyle name="Normal 20 3 2 3 3 5" xfId="21259"/>
    <cellStyle name="Normal 20 3 2 3 3 5 2" xfId="21260"/>
    <cellStyle name="Normal 20 3 2 3 3 6" xfId="21261"/>
    <cellStyle name="Normal 20 3 2 3 4" xfId="21262"/>
    <cellStyle name="Normal 20 3 2 3 4 2" xfId="21263"/>
    <cellStyle name="Normal 20 3 2 3 4 2 2" xfId="21264"/>
    <cellStyle name="Normal 20 3 2 3 4 2 2 2" xfId="21265"/>
    <cellStyle name="Normal 20 3 2 3 4 2 3" xfId="21266"/>
    <cellStyle name="Normal 20 3 2 3 4 3" xfId="21267"/>
    <cellStyle name="Normal 20 3 2 3 4 3 2" xfId="21268"/>
    <cellStyle name="Normal 20 3 2 3 4 4" xfId="21269"/>
    <cellStyle name="Normal 20 3 2 3 5" xfId="21270"/>
    <cellStyle name="Normal 20 3 2 3 5 2" xfId="21271"/>
    <cellStyle name="Normal 20 3 2 3 5 2 2" xfId="21272"/>
    <cellStyle name="Normal 20 3 2 3 5 2 2 2" xfId="21273"/>
    <cellStyle name="Normal 20 3 2 3 5 2 3" xfId="21274"/>
    <cellStyle name="Normal 20 3 2 3 5 3" xfId="21275"/>
    <cellStyle name="Normal 20 3 2 3 5 3 2" xfId="21276"/>
    <cellStyle name="Normal 20 3 2 3 5 4" xfId="21277"/>
    <cellStyle name="Normal 20 3 2 3 6" xfId="21278"/>
    <cellStyle name="Normal 20 3 2 3 6 2" xfId="21279"/>
    <cellStyle name="Normal 20 3 2 3 6 2 2" xfId="21280"/>
    <cellStyle name="Normal 20 3 2 3 6 2 2 2" xfId="21281"/>
    <cellStyle name="Normal 20 3 2 3 6 2 3" xfId="21282"/>
    <cellStyle name="Normal 20 3 2 3 6 3" xfId="21283"/>
    <cellStyle name="Normal 20 3 2 3 6 3 2" xfId="21284"/>
    <cellStyle name="Normal 20 3 2 3 6 4" xfId="21285"/>
    <cellStyle name="Normal 20 3 2 3 7" xfId="21286"/>
    <cellStyle name="Normal 20 3 2 3 7 2" xfId="21287"/>
    <cellStyle name="Normal 20 3 2 3 7 2 2" xfId="21288"/>
    <cellStyle name="Normal 20 3 2 3 7 3" xfId="21289"/>
    <cellStyle name="Normal 20 3 2 3 8" xfId="21290"/>
    <cellStyle name="Normal 20 3 2 3 8 2" xfId="21291"/>
    <cellStyle name="Normal 20 3 2 3 9" xfId="21292"/>
    <cellStyle name="Normal 20 3 2 4" xfId="21293"/>
    <cellStyle name="Normal 20 3 2 4 2" xfId="21294"/>
    <cellStyle name="Normal 20 3 2 4 2 2" xfId="21295"/>
    <cellStyle name="Normal 20 3 2 4 2 2 2" xfId="21296"/>
    <cellStyle name="Normal 20 3 2 4 2 2 2 2" xfId="21297"/>
    <cellStyle name="Normal 20 3 2 4 2 2 2 2 2" xfId="21298"/>
    <cellStyle name="Normal 20 3 2 4 2 2 2 3" xfId="21299"/>
    <cellStyle name="Normal 20 3 2 4 2 2 3" xfId="21300"/>
    <cellStyle name="Normal 20 3 2 4 2 2 3 2" xfId="21301"/>
    <cellStyle name="Normal 20 3 2 4 2 2 4" xfId="21302"/>
    <cellStyle name="Normal 20 3 2 4 2 3" xfId="21303"/>
    <cellStyle name="Normal 20 3 2 4 2 3 2" xfId="21304"/>
    <cellStyle name="Normal 20 3 2 4 2 3 2 2" xfId="21305"/>
    <cellStyle name="Normal 20 3 2 4 2 3 2 2 2" xfId="21306"/>
    <cellStyle name="Normal 20 3 2 4 2 3 2 3" xfId="21307"/>
    <cellStyle name="Normal 20 3 2 4 2 3 3" xfId="21308"/>
    <cellStyle name="Normal 20 3 2 4 2 3 3 2" xfId="21309"/>
    <cellStyle name="Normal 20 3 2 4 2 3 4" xfId="21310"/>
    <cellStyle name="Normal 20 3 2 4 2 4" xfId="21311"/>
    <cellStyle name="Normal 20 3 2 4 2 4 2" xfId="21312"/>
    <cellStyle name="Normal 20 3 2 4 2 4 2 2" xfId="21313"/>
    <cellStyle name="Normal 20 3 2 4 2 4 3" xfId="21314"/>
    <cellStyle name="Normal 20 3 2 4 2 5" xfId="21315"/>
    <cellStyle name="Normal 20 3 2 4 2 5 2" xfId="21316"/>
    <cellStyle name="Normal 20 3 2 4 2 6" xfId="21317"/>
    <cellStyle name="Normal 20 3 2 4 3" xfId="21318"/>
    <cellStyle name="Normal 20 3 2 4 3 2" xfId="21319"/>
    <cellStyle name="Normal 20 3 2 4 3 2 2" xfId="21320"/>
    <cellStyle name="Normal 20 3 2 4 3 2 2 2" xfId="21321"/>
    <cellStyle name="Normal 20 3 2 4 3 2 3" xfId="21322"/>
    <cellStyle name="Normal 20 3 2 4 3 3" xfId="21323"/>
    <cellStyle name="Normal 20 3 2 4 3 3 2" xfId="21324"/>
    <cellStyle name="Normal 20 3 2 4 3 4" xfId="21325"/>
    <cellStyle name="Normal 20 3 2 4 4" xfId="21326"/>
    <cellStyle name="Normal 20 3 2 4 4 2" xfId="21327"/>
    <cellStyle name="Normal 20 3 2 4 4 2 2" xfId="21328"/>
    <cellStyle name="Normal 20 3 2 4 4 2 2 2" xfId="21329"/>
    <cellStyle name="Normal 20 3 2 4 4 2 3" xfId="21330"/>
    <cellStyle name="Normal 20 3 2 4 4 3" xfId="21331"/>
    <cellStyle name="Normal 20 3 2 4 4 3 2" xfId="21332"/>
    <cellStyle name="Normal 20 3 2 4 4 4" xfId="21333"/>
    <cellStyle name="Normal 20 3 2 4 5" xfId="21334"/>
    <cellStyle name="Normal 20 3 2 4 5 2" xfId="21335"/>
    <cellStyle name="Normal 20 3 2 4 5 2 2" xfId="21336"/>
    <cellStyle name="Normal 20 3 2 4 5 3" xfId="21337"/>
    <cellStyle name="Normal 20 3 2 4 6" xfId="21338"/>
    <cellStyle name="Normal 20 3 2 4 6 2" xfId="21339"/>
    <cellStyle name="Normal 20 3 2 4 7" xfId="21340"/>
    <cellStyle name="Normal 20 3 2 5" xfId="21341"/>
    <cellStyle name="Normal 20 3 2 5 2" xfId="21342"/>
    <cellStyle name="Normal 20 3 2 5 2 2" xfId="21343"/>
    <cellStyle name="Normal 20 3 2 5 2 2 2" xfId="21344"/>
    <cellStyle name="Normal 20 3 2 5 2 2 2 2" xfId="21345"/>
    <cellStyle name="Normal 20 3 2 5 2 2 3" xfId="21346"/>
    <cellStyle name="Normal 20 3 2 5 2 3" xfId="21347"/>
    <cellStyle name="Normal 20 3 2 5 2 3 2" xfId="21348"/>
    <cellStyle name="Normal 20 3 2 5 2 4" xfId="21349"/>
    <cellStyle name="Normal 20 3 2 5 3" xfId="21350"/>
    <cellStyle name="Normal 20 3 2 5 3 2" xfId="21351"/>
    <cellStyle name="Normal 20 3 2 5 3 2 2" xfId="21352"/>
    <cellStyle name="Normal 20 3 2 5 3 2 2 2" xfId="21353"/>
    <cellStyle name="Normal 20 3 2 5 3 2 3" xfId="21354"/>
    <cellStyle name="Normal 20 3 2 5 3 3" xfId="21355"/>
    <cellStyle name="Normal 20 3 2 5 3 3 2" xfId="21356"/>
    <cellStyle name="Normal 20 3 2 5 3 4" xfId="21357"/>
    <cellStyle name="Normal 20 3 2 5 4" xfId="21358"/>
    <cellStyle name="Normal 20 3 2 5 4 2" xfId="21359"/>
    <cellStyle name="Normal 20 3 2 5 4 2 2" xfId="21360"/>
    <cellStyle name="Normal 20 3 2 5 4 3" xfId="21361"/>
    <cellStyle name="Normal 20 3 2 5 5" xfId="21362"/>
    <cellStyle name="Normal 20 3 2 5 5 2" xfId="21363"/>
    <cellStyle name="Normal 20 3 2 5 6" xfId="21364"/>
    <cellStyle name="Normal 20 3 2 6" xfId="21365"/>
    <cellStyle name="Normal 20 3 2 6 2" xfId="21366"/>
    <cellStyle name="Normal 20 3 2 6 2 2" xfId="21367"/>
    <cellStyle name="Normal 20 3 2 6 2 2 2" xfId="21368"/>
    <cellStyle name="Normal 20 3 2 6 2 3" xfId="21369"/>
    <cellStyle name="Normal 20 3 2 6 3" xfId="21370"/>
    <cellStyle name="Normal 20 3 2 6 3 2" xfId="21371"/>
    <cellStyle name="Normal 20 3 2 6 4" xfId="21372"/>
    <cellStyle name="Normal 20 3 2 7" xfId="21373"/>
    <cellStyle name="Normal 20 3 2 7 2" xfId="21374"/>
    <cellStyle name="Normal 20 3 2 7 2 2" xfId="21375"/>
    <cellStyle name="Normal 20 3 2 7 2 2 2" xfId="21376"/>
    <cellStyle name="Normal 20 3 2 7 2 3" xfId="21377"/>
    <cellStyle name="Normal 20 3 2 7 3" xfId="21378"/>
    <cellStyle name="Normal 20 3 2 7 3 2" xfId="21379"/>
    <cellStyle name="Normal 20 3 2 7 4" xfId="21380"/>
    <cellStyle name="Normal 20 3 2 8" xfId="21381"/>
    <cellStyle name="Normal 20 3 2 8 2" xfId="21382"/>
    <cellStyle name="Normal 20 3 2 8 2 2" xfId="21383"/>
    <cellStyle name="Normal 20 3 2 8 2 2 2" xfId="21384"/>
    <cellStyle name="Normal 20 3 2 8 2 3" xfId="21385"/>
    <cellStyle name="Normal 20 3 2 8 3" xfId="21386"/>
    <cellStyle name="Normal 20 3 2 8 3 2" xfId="21387"/>
    <cellStyle name="Normal 20 3 2 8 4" xfId="21388"/>
    <cellStyle name="Normal 20 3 2 9" xfId="21389"/>
    <cellStyle name="Normal 20 3 2 9 2" xfId="21390"/>
    <cellStyle name="Normal 20 3 2 9 2 2" xfId="21391"/>
    <cellStyle name="Normal 20 3 2 9 3" xfId="21392"/>
    <cellStyle name="Normal 20 3 3" xfId="21393"/>
    <cellStyle name="Normal 20 3 3 10" xfId="21394"/>
    <cellStyle name="Normal 20 3 3 2" xfId="21395"/>
    <cellStyle name="Normal 20 3 3 2 2" xfId="21396"/>
    <cellStyle name="Normal 20 3 3 2 2 2" xfId="21397"/>
    <cellStyle name="Normal 20 3 3 2 2 2 2" xfId="21398"/>
    <cellStyle name="Normal 20 3 3 2 2 2 2 2" xfId="21399"/>
    <cellStyle name="Normal 20 3 3 2 2 2 2 2 2" xfId="21400"/>
    <cellStyle name="Normal 20 3 3 2 2 2 2 2 2 2" xfId="21401"/>
    <cellStyle name="Normal 20 3 3 2 2 2 2 2 3" xfId="21402"/>
    <cellStyle name="Normal 20 3 3 2 2 2 2 3" xfId="21403"/>
    <cellStyle name="Normal 20 3 3 2 2 2 2 3 2" xfId="21404"/>
    <cellStyle name="Normal 20 3 3 2 2 2 2 4" xfId="21405"/>
    <cellStyle name="Normal 20 3 3 2 2 2 3" xfId="21406"/>
    <cellStyle name="Normal 20 3 3 2 2 2 3 2" xfId="21407"/>
    <cellStyle name="Normal 20 3 3 2 2 2 3 2 2" xfId="21408"/>
    <cellStyle name="Normal 20 3 3 2 2 2 3 2 2 2" xfId="21409"/>
    <cellStyle name="Normal 20 3 3 2 2 2 3 2 3" xfId="21410"/>
    <cellStyle name="Normal 20 3 3 2 2 2 3 3" xfId="21411"/>
    <cellStyle name="Normal 20 3 3 2 2 2 3 3 2" xfId="21412"/>
    <cellStyle name="Normal 20 3 3 2 2 2 3 4" xfId="21413"/>
    <cellStyle name="Normal 20 3 3 2 2 2 4" xfId="21414"/>
    <cellStyle name="Normal 20 3 3 2 2 2 4 2" xfId="21415"/>
    <cellStyle name="Normal 20 3 3 2 2 2 4 2 2" xfId="21416"/>
    <cellStyle name="Normal 20 3 3 2 2 2 4 3" xfId="21417"/>
    <cellStyle name="Normal 20 3 3 2 2 2 5" xfId="21418"/>
    <cellStyle name="Normal 20 3 3 2 2 2 5 2" xfId="21419"/>
    <cellStyle name="Normal 20 3 3 2 2 2 6" xfId="21420"/>
    <cellStyle name="Normal 20 3 3 2 2 3" xfId="21421"/>
    <cellStyle name="Normal 20 3 3 2 2 3 2" xfId="21422"/>
    <cellStyle name="Normal 20 3 3 2 2 3 2 2" xfId="21423"/>
    <cellStyle name="Normal 20 3 3 2 2 3 2 2 2" xfId="21424"/>
    <cellStyle name="Normal 20 3 3 2 2 3 2 3" xfId="21425"/>
    <cellStyle name="Normal 20 3 3 2 2 3 3" xfId="21426"/>
    <cellStyle name="Normal 20 3 3 2 2 3 3 2" xfId="21427"/>
    <cellStyle name="Normal 20 3 3 2 2 3 4" xfId="21428"/>
    <cellStyle name="Normal 20 3 3 2 2 4" xfId="21429"/>
    <cellStyle name="Normal 20 3 3 2 2 4 2" xfId="21430"/>
    <cellStyle name="Normal 20 3 3 2 2 4 2 2" xfId="21431"/>
    <cellStyle name="Normal 20 3 3 2 2 4 2 2 2" xfId="21432"/>
    <cellStyle name="Normal 20 3 3 2 2 4 2 3" xfId="21433"/>
    <cellStyle name="Normal 20 3 3 2 2 4 3" xfId="21434"/>
    <cellStyle name="Normal 20 3 3 2 2 4 3 2" xfId="21435"/>
    <cellStyle name="Normal 20 3 3 2 2 4 4" xfId="21436"/>
    <cellStyle name="Normal 20 3 3 2 2 5" xfId="21437"/>
    <cellStyle name="Normal 20 3 3 2 2 5 2" xfId="21438"/>
    <cellStyle name="Normal 20 3 3 2 2 5 2 2" xfId="21439"/>
    <cellStyle name="Normal 20 3 3 2 2 5 3" xfId="21440"/>
    <cellStyle name="Normal 20 3 3 2 2 6" xfId="21441"/>
    <cellStyle name="Normal 20 3 3 2 2 6 2" xfId="21442"/>
    <cellStyle name="Normal 20 3 3 2 2 7" xfId="21443"/>
    <cellStyle name="Normal 20 3 3 2 3" xfId="21444"/>
    <cellStyle name="Normal 20 3 3 2 3 2" xfId="21445"/>
    <cellStyle name="Normal 20 3 3 2 3 2 2" xfId="21446"/>
    <cellStyle name="Normal 20 3 3 2 3 2 2 2" xfId="21447"/>
    <cellStyle name="Normal 20 3 3 2 3 2 2 2 2" xfId="21448"/>
    <cellStyle name="Normal 20 3 3 2 3 2 2 3" xfId="21449"/>
    <cellStyle name="Normal 20 3 3 2 3 2 3" xfId="21450"/>
    <cellStyle name="Normal 20 3 3 2 3 2 3 2" xfId="21451"/>
    <cellStyle name="Normal 20 3 3 2 3 2 4" xfId="21452"/>
    <cellStyle name="Normal 20 3 3 2 3 3" xfId="21453"/>
    <cellStyle name="Normal 20 3 3 2 3 3 2" xfId="21454"/>
    <cellStyle name="Normal 20 3 3 2 3 3 2 2" xfId="21455"/>
    <cellStyle name="Normal 20 3 3 2 3 3 2 2 2" xfId="21456"/>
    <cellStyle name="Normal 20 3 3 2 3 3 2 3" xfId="21457"/>
    <cellStyle name="Normal 20 3 3 2 3 3 3" xfId="21458"/>
    <cellStyle name="Normal 20 3 3 2 3 3 3 2" xfId="21459"/>
    <cellStyle name="Normal 20 3 3 2 3 3 4" xfId="21460"/>
    <cellStyle name="Normal 20 3 3 2 3 4" xfId="21461"/>
    <cellStyle name="Normal 20 3 3 2 3 4 2" xfId="21462"/>
    <cellStyle name="Normal 20 3 3 2 3 4 2 2" xfId="21463"/>
    <cellStyle name="Normal 20 3 3 2 3 4 3" xfId="21464"/>
    <cellStyle name="Normal 20 3 3 2 3 5" xfId="21465"/>
    <cellStyle name="Normal 20 3 3 2 3 5 2" xfId="21466"/>
    <cellStyle name="Normal 20 3 3 2 3 6" xfId="21467"/>
    <cellStyle name="Normal 20 3 3 2 4" xfId="21468"/>
    <cellStyle name="Normal 20 3 3 2 4 2" xfId="21469"/>
    <cellStyle name="Normal 20 3 3 2 4 2 2" xfId="21470"/>
    <cellStyle name="Normal 20 3 3 2 4 2 2 2" xfId="21471"/>
    <cellStyle name="Normal 20 3 3 2 4 2 3" xfId="21472"/>
    <cellStyle name="Normal 20 3 3 2 4 3" xfId="21473"/>
    <cellStyle name="Normal 20 3 3 2 4 3 2" xfId="21474"/>
    <cellStyle name="Normal 20 3 3 2 4 4" xfId="21475"/>
    <cellStyle name="Normal 20 3 3 2 5" xfId="21476"/>
    <cellStyle name="Normal 20 3 3 2 5 2" xfId="21477"/>
    <cellStyle name="Normal 20 3 3 2 5 2 2" xfId="21478"/>
    <cellStyle name="Normal 20 3 3 2 5 2 2 2" xfId="21479"/>
    <cellStyle name="Normal 20 3 3 2 5 2 3" xfId="21480"/>
    <cellStyle name="Normal 20 3 3 2 5 3" xfId="21481"/>
    <cellStyle name="Normal 20 3 3 2 5 3 2" xfId="21482"/>
    <cellStyle name="Normal 20 3 3 2 5 4" xfId="21483"/>
    <cellStyle name="Normal 20 3 3 2 6" xfId="21484"/>
    <cellStyle name="Normal 20 3 3 2 6 2" xfId="21485"/>
    <cellStyle name="Normal 20 3 3 2 6 2 2" xfId="21486"/>
    <cellStyle name="Normal 20 3 3 2 6 2 2 2" xfId="21487"/>
    <cellStyle name="Normal 20 3 3 2 6 2 3" xfId="21488"/>
    <cellStyle name="Normal 20 3 3 2 6 3" xfId="21489"/>
    <cellStyle name="Normal 20 3 3 2 6 3 2" xfId="21490"/>
    <cellStyle name="Normal 20 3 3 2 6 4" xfId="21491"/>
    <cellStyle name="Normal 20 3 3 2 7" xfId="21492"/>
    <cellStyle name="Normal 20 3 3 2 7 2" xfId="21493"/>
    <cellStyle name="Normal 20 3 3 2 7 2 2" xfId="21494"/>
    <cellStyle name="Normal 20 3 3 2 7 3" xfId="21495"/>
    <cellStyle name="Normal 20 3 3 2 8" xfId="21496"/>
    <cellStyle name="Normal 20 3 3 2 8 2" xfId="21497"/>
    <cellStyle name="Normal 20 3 3 2 9" xfId="21498"/>
    <cellStyle name="Normal 20 3 3 3" xfId="21499"/>
    <cellStyle name="Normal 20 3 3 3 2" xfId="21500"/>
    <cellStyle name="Normal 20 3 3 3 2 2" xfId="21501"/>
    <cellStyle name="Normal 20 3 3 3 2 2 2" xfId="21502"/>
    <cellStyle name="Normal 20 3 3 3 2 2 2 2" xfId="21503"/>
    <cellStyle name="Normal 20 3 3 3 2 2 2 2 2" xfId="21504"/>
    <cellStyle name="Normal 20 3 3 3 2 2 2 3" xfId="21505"/>
    <cellStyle name="Normal 20 3 3 3 2 2 3" xfId="21506"/>
    <cellStyle name="Normal 20 3 3 3 2 2 3 2" xfId="21507"/>
    <cellStyle name="Normal 20 3 3 3 2 2 4" xfId="21508"/>
    <cellStyle name="Normal 20 3 3 3 2 3" xfId="21509"/>
    <cellStyle name="Normal 20 3 3 3 2 3 2" xfId="21510"/>
    <cellStyle name="Normal 20 3 3 3 2 3 2 2" xfId="21511"/>
    <cellStyle name="Normal 20 3 3 3 2 3 2 2 2" xfId="21512"/>
    <cellStyle name="Normal 20 3 3 3 2 3 2 3" xfId="21513"/>
    <cellStyle name="Normal 20 3 3 3 2 3 3" xfId="21514"/>
    <cellStyle name="Normal 20 3 3 3 2 3 3 2" xfId="21515"/>
    <cellStyle name="Normal 20 3 3 3 2 3 4" xfId="21516"/>
    <cellStyle name="Normal 20 3 3 3 2 4" xfId="21517"/>
    <cellStyle name="Normal 20 3 3 3 2 4 2" xfId="21518"/>
    <cellStyle name="Normal 20 3 3 3 2 4 2 2" xfId="21519"/>
    <cellStyle name="Normal 20 3 3 3 2 4 3" xfId="21520"/>
    <cellStyle name="Normal 20 3 3 3 2 5" xfId="21521"/>
    <cellStyle name="Normal 20 3 3 3 2 5 2" xfId="21522"/>
    <cellStyle name="Normal 20 3 3 3 2 6" xfId="21523"/>
    <cellStyle name="Normal 20 3 3 3 3" xfId="21524"/>
    <cellStyle name="Normal 20 3 3 3 3 2" xfId="21525"/>
    <cellStyle name="Normal 20 3 3 3 3 2 2" xfId="21526"/>
    <cellStyle name="Normal 20 3 3 3 3 2 2 2" xfId="21527"/>
    <cellStyle name="Normal 20 3 3 3 3 2 3" xfId="21528"/>
    <cellStyle name="Normal 20 3 3 3 3 3" xfId="21529"/>
    <cellStyle name="Normal 20 3 3 3 3 3 2" xfId="21530"/>
    <cellStyle name="Normal 20 3 3 3 3 4" xfId="21531"/>
    <cellStyle name="Normal 20 3 3 3 4" xfId="21532"/>
    <cellStyle name="Normal 20 3 3 3 4 2" xfId="21533"/>
    <cellStyle name="Normal 20 3 3 3 4 2 2" xfId="21534"/>
    <cellStyle name="Normal 20 3 3 3 4 2 2 2" xfId="21535"/>
    <cellStyle name="Normal 20 3 3 3 4 2 3" xfId="21536"/>
    <cellStyle name="Normal 20 3 3 3 4 3" xfId="21537"/>
    <cellStyle name="Normal 20 3 3 3 4 3 2" xfId="21538"/>
    <cellStyle name="Normal 20 3 3 3 4 4" xfId="21539"/>
    <cellStyle name="Normal 20 3 3 3 5" xfId="21540"/>
    <cellStyle name="Normal 20 3 3 3 5 2" xfId="21541"/>
    <cellStyle name="Normal 20 3 3 3 5 2 2" xfId="21542"/>
    <cellStyle name="Normal 20 3 3 3 5 3" xfId="21543"/>
    <cellStyle name="Normal 20 3 3 3 6" xfId="21544"/>
    <cellStyle name="Normal 20 3 3 3 6 2" xfId="21545"/>
    <cellStyle name="Normal 20 3 3 3 7" xfId="21546"/>
    <cellStyle name="Normal 20 3 3 4" xfId="21547"/>
    <cellStyle name="Normal 20 3 3 4 2" xfId="21548"/>
    <cellStyle name="Normal 20 3 3 4 2 2" xfId="21549"/>
    <cellStyle name="Normal 20 3 3 4 2 2 2" xfId="21550"/>
    <cellStyle name="Normal 20 3 3 4 2 2 2 2" xfId="21551"/>
    <cellStyle name="Normal 20 3 3 4 2 2 3" xfId="21552"/>
    <cellStyle name="Normal 20 3 3 4 2 3" xfId="21553"/>
    <cellStyle name="Normal 20 3 3 4 2 3 2" xfId="21554"/>
    <cellStyle name="Normal 20 3 3 4 2 4" xfId="21555"/>
    <cellStyle name="Normal 20 3 3 4 3" xfId="21556"/>
    <cellStyle name="Normal 20 3 3 4 3 2" xfId="21557"/>
    <cellStyle name="Normal 20 3 3 4 3 2 2" xfId="21558"/>
    <cellStyle name="Normal 20 3 3 4 3 2 2 2" xfId="21559"/>
    <cellStyle name="Normal 20 3 3 4 3 2 3" xfId="21560"/>
    <cellStyle name="Normal 20 3 3 4 3 3" xfId="21561"/>
    <cellStyle name="Normal 20 3 3 4 3 3 2" xfId="21562"/>
    <cellStyle name="Normal 20 3 3 4 3 4" xfId="21563"/>
    <cellStyle name="Normal 20 3 3 4 4" xfId="21564"/>
    <cellStyle name="Normal 20 3 3 4 4 2" xfId="21565"/>
    <cellStyle name="Normal 20 3 3 4 4 2 2" xfId="21566"/>
    <cellStyle name="Normal 20 3 3 4 4 3" xfId="21567"/>
    <cellStyle name="Normal 20 3 3 4 5" xfId="21568"/>
    <cellStyle name="Normal 20 3 3 4 5 2" xfId="21569"/>
    <cellStyle name="Normal 20 3 3 4 6" xfId="21570"/>
    <cellStyle name="Normal 20 3 3 5" xfId="21571"/>
    <cellStyle name="Normal 20 3 3 5 2" xfId="21572"/>
    <cellStyle name="Normal 20 3 3 5 2 2" xfId="21573"/>
    <cellStyle name="Normal 20 3 3 5 2 2 2" xfId="21574"/>
    <cellStyle name="Normal 20 3 3 5 2 3" xfId="21575"/>
    <cellStyle name="Normal 20 3 3 5 3" xfId="21576"/>
    <cellStyle name="Normal 20 3 3 5 3 2" xfId="21577"/>
    <cellStyle name="Normal 20 3 3 5 4" xfId="21578"/>
    <cellStyle name="Normal 20 3 3 6" xfId="21579"/>
    <cellStyle name="Normal 20 3 3 6 2" xfId="21580"/>
    <cellStyle name="Normal 20 3 3 6 2 2" xfId="21581"/>
    <cellStyle name="Normal 20 3 3 6 2 2 2" xfId="21582"/>
    <cellStyle name="Normal 20 3 3 6 2 3" xfId="21583"/>
    <cellStyle name="Normal 20 3 3 6 3" xfId="21584"/>
    <cellStyle name="Normal 20 3 3 6 3 2" xfId="21585"/>
    <cellStyle name="Normal 20 3 3 6 4" xfId="21586"/>
    <cellStyle name="Normal 20 3 3 7" xfId="21587"/>
    <cellStyle name="Normal 20 3 3 7 2" xfId="21588"/>
    <cellStyle name="Normal 20 3 3 7 2 2" xfId="21589"/>
    <cellStyle name="Normal 20 3 3 7 2 2 2" xfId="21590"/>
    <cellStyle name="Normal 20 3 3 7 2 3" xfId="21591"/>
    <cellStyle name="Normal 20 3 3 7 3" xfId="21592"/>
    <cellStyle name="Normal 20 3 3 7 3 2" xfId="21593"/>
    <cellStyle name="Normal 20 3 3 7 4" xfId="21594"/>
    <cellStyle name="Normal 20 3 3 8" xfId="21595"/>
    <cellStyle name="Normal 20 3 3 8 2" xfId="21596"/>
    <cellStyle name="Normal 20 3 3 8 2 2" xfId="21597"/>
    <cellStyle name="Normal 20 3 3 8 3" xfId="21598"/>
    <cellStyle name="Normal 20 3 3 9" xfId="21599"/>
    <cellStyle name="Normal 20 3 3 9 2" xfId="21600"/>
    <cellStyle name="Normal 20 3 4" xfId="21601"/>
    <cellStyle name="Normal 20 3 4 10" xfId="21602"/>
    <cellStyle name="Normal 20 3 4 2" xfId="21603"/>
    <cellStyle name="Normal 20 3 4 2 2" xfId="21604"/>
    <cellStyle name="Normal 20 3 4 2 2 2" xfId="21605"/>
    <cellStyle name="Normal 20 3 4 2 2 2 2" xfId="21606"/>
    <cellStyle name="Normal 20 3 4 2 2 2 2 2" xfId="21607"/>
    <cellStyle name="Normal 20 3 4 2 2 2 2 2 2" xfId="21608"/>
    <cellStyle name="Normal 20 3 4 2 2 2 2 2 2 2" xfId="21609"/>
    <cellStyle name="Normal 20 3 4 2 2 2 2 2 3" xfId="21610"/>
    <cellStyle name="Normal 20 3 4 2 2 2 2 3" xfId="21611"/>
    <cellStyle name="Normal 20 3 4 2 2 2 2 3 2" xfId="21612"/>
    <cellStyle name="Normal 20 3 4 2 2 2 2 4" xfId="21613"/>
    <cellStyle name="Normal 20 3 4 2 2 2 3" xfId="21614"/>
    <cellStyle name="Normal 20 3 4 2 2 2 3 2" xfId="21615"/>
    <cellStyle name="Normal 20 3 4 2 2 2 3 2 2" xfId="21616"/>
    <cellStyle name="Normal 20 3 4 2 2 2 3 2 2 2" xfId="21617"/>
    <cellStyle name="Normal 20 3 4 2 2 2 3 2 3" xfId="21618"/>
    <cellStyle name="Normal 20 3 4 2 2 2 3 3" xfId="21619"/>
    <cellStyle name="Normal 20 3 4 2 2 2 3 3 2" xfId="21620"/>
    <cellStyle name="Normal 20 3 4 2 2 2 3 4" xfId="21621"/>
    <cellStyle name="Normal 20 3 4 2 2 2 4" xfId="21622"/>
    <cellStyle name="Normal 20 3 4 2 2 2 4 2" xfId="21623"/>
    <cellStyle name="Normal 20 3 4 2 2 2 4 2 2" xfId="21624"/>
    <cellStyle name="Normal 20 3 4 2 2 2 4 3" xfId="21625"/>
    <cellStyle name="Normal 20 3 4 2 2 2 5" xfId="21626"/>
    <cellStyle name="Normal 20 3 4 2 2 2 5 2" xfId="21627"/>
    <cellStyle name="Normal 20 3 4 2 2 2 6" xfId="21628"/>
    <cellStyle name="Normal 20 3 4 2 2 3" xfId="21629"/>
    <cellStyle name="Normal 20 3 4 2 2 3 2" xfId="21630"/>
    <cellStyle name="Normal 20 3 4 2 2 3 2 2" xfId="21631"/>
    <cellStyle name="Normal 20 3 4 2 2 3 2 2 2" xfId="21632"/>
    <cellStyle name="Normal 20 3 4 2 2 3 2 3" xfId="21633"/>
    <cellStyle name="Normal 20 3 4 2 2 3 3" xfId="21634"/>
    <cellStyle name="Normal 20 3 4 2 2 3 3 2" xfId="21635"/>
    <cellStyle name="Normal 20 3 4 2 2 3 4" xfId="21636"/>
    <cellStyle name="Normal 20 3 4 2 2 4" xfId="21637"/>
    <cellStyle name="Normal 20 3 4 2 2 4 2" xfId="21638"/>
    <cellStyle name="Normal 20 3 4 2 2 4 2 2" xfId="21639"/>
    <cellStyle name="Normal 20 3 4 2 2 4 2 2 2" xfId="21640"/>
    <cellStyle name="Normal 20 3 4 2 2 4 2 3" xfId="21641"/>
    <cellStyle name="Normal 20 3 4 2 2 4 3" xfId="21642"/>
    <cellStyle name="Normal 20 3 4 2 2 4 3 2" xfId="21643"/>
    <cellStyle name="Normal 20 3 4 2 2 4 4" xfId="21644"/>
    <cellStyle name="Normal 20 3 4 2 2 5" xfId="21645"/>
    <cellStyle name="Normal 20 3 4 2 2 5 2" xfId="21646"/>
    <cellStyle name="Normal 20 3 4 2 2 5 2 2" xfId="21647"/>
    <cellStyle name="Normal 20 3 4 2 2 5 3" xfId="21648"/>
    <cellStyle name="Normal 20 3 4 2 2 6" xfId="21649"/>
    <cellStyle name="Normal 20 3 4 2 2 6 2" xfId="21650"/>
    <cellStyle name="Normal 20 3 4 2 2 7" xfId="21651"/>
    <cellStyle name="Normal 20 3 4 2 3" xfId="21652"/>
    <cellStyle name="Normal 20 3 4 2 3 2" xfId="21653"/>
    <cellStyle name="Normal 20 3 4 2 3 2 2" xfId="21654"/>
    <cellStyle name="Normal 20 3 4 2 3 2 2 2" xfId="21655"/>
    <cellStyle name="Normal 20 3 4 2 3 2 2 2 2" xfId="21656"/>
    <cellStyle name="Normal 20 3 4 2 3 2 2 3" xfId="21657"/>
    <cellStyle name="Normal 20 3 4 2 3 2 3" xfId="21658"/>
    <cellStyle name="Normal 20 3 4 2 3 2 3 2" xfId="21659"/>
    <cellStyle name="Normal 20 3 4 2 3 2 4" xfId="21660"/>
    <cellStyle name="Normal 20 3 4 2 3 3" xfId="21661"/>
    <cellStyle name="Normal 20 3 4 2 3 3 2" xfId="21662"/>
    <cellStyle name="Normal 20 3 4 2 3 3 2 2" xfId="21663"/>
    <cellStyle name="Normal 20 3 4 2 3 3 2 2 2" xfId="21664"/>
    <cellStyle name="Normal 20 3 4 2 3 3 2 3" xfId="21665"/>
    <cellStyle name="Normal 20 3 4 2 3 3 3" xfId="21666"/>
    <cellStyle name="Normal 20 3 4 2 3 3 3 2" xfId="21667"/>
    <cellStyle name="Normal 20 3 4 2 3 3 4" xfId="21668"/>
    <cellStyle name="Normal 20 3 4 2 3 4" xfId="21669"/>
    <cellStyle name="Normal 20 3 4 2 3 4 2" xfId="21670"/>
    <cellStyle name="Normal 20 3 4 2 3 4 2 2" xfId="21671"/>
    <cellStyle name="Normal 20 3 4 2 3 4 3" xfId="21672"/>
    <cellStyle name="Normal 20 3 4 2 3 5" xfId="21673"/>
    <cellStyle name="Normal 20 3 4 2 3 5 2" xfId="21674"/>
    <cellStyle name="Normal 20 3 4 2 3 6" xfId="21675"/>
    <cellStyle name="Normal 20 3 4 2 4" xfId="21676"/>
    <cellStyle name="Normal 20 3 4 2 4 2" xfId="21677"/>
    <cellStyle name="Normal 20 3 4 2 4 2 2" xfId="21678"/>
    <cellStyle name="Normal 20 3 4 2 4 2 2 2" xfId="21679"/>
    <cellStyle name="Normal 20 3 4 2 4 2 3" xfId="21680"/>
    <cellStyle name="Normal 20 3 4 2 4 3" xfId="21681"/>
    <cellStyle name="Normal 20 3 4 2 4 3 2" xfId="21682"/>
    <cellStyle name="Normal 20 3 4 2 4 4" xfId="21683"/>
    <cellStyle name="Normal 20 3 4 2 5" xfId="21684"/>
    <cellStyle name="Normal 20 3 4 2 5 2" xfId="21685"/>
    <cellStyle name="Normal 20 3 4 2 5 2 2" xfId="21686"/>
    <cellStyle name="Normal 20 3 4 2 5 2 2 2" xfId="21687"/>
    <cellStyle name="Normal 20 3 4 2 5 2 3" xfId="21688"/>
    <cellStyle name="Normal 20 3 4 2 5 3" xfId="21689"/>
    <cellStyle name="Normal 20 3 4 2 5 3 2" xfId="21690"/>
    <cellStyle name="Normal 20 3 4 2 5 4" xfId="21691"/>
    <cellStyle name="Normal 20 3 4 2 6" xfId="21692"/>
    <cellStyle name="Normal 20 3 4 2 6 2" xfId="21693"/>
    <cellStyle name="Normal 20 3 4 2 6 2 2" xfId="21694"/>
    <cellStyle name="Normal 20 3 4 2 6 2 2 2" xfId="21695"/>
    <cellStyle name="Normal 20 3 4 2 6 2 3" xfId="21696"/>
    <cellStyle name="Normal 20 3 4 2 6 3" xfId="21697"/>
    <cellStyle name="Normal 20 3 4 2 6 3 2" xfId="21698"/>
    <cellStyle name="Normal 20 3 4 2 6 4" xfId="21699"/>
    <cellStyle name="Normal 20 3 4 2 7" xfId="21700"/>
    <cellStyle name="Normal 20 3 4 2 7 2" xfId="21701"/>
    <cellStyle name="Normal 20 3 4 2 7 2 2" xfId="21702"/>
    <cellStyle name="Normal 20 3 4 2 7 3" xfId="21703"/>
    <cellStyle name="Normal 20 3 4 2 8" xfId="21704"/>
    <cellStyle name="Normal 20 3 4 2 8 2" xfId="21705"/>
    <cellStyle name="Normal 20 3 4 2 9" xfId="21706"/>
    <cellStyle name="Normal 20 3 4 3" xfId="21707"/>
    <cellStyle name="Normal 20 3 4 3 2" xfId="21708"/>
    <cellStyle name="Normal 20 3 4 3 2 2" xfId="21709"/>
    <cellStyle name="Normal 20 3 4 3 2 2 2" xfId="21710"/>
    <cellStyle name="Normal 20 3 4 3 2 2 2 2" xfId="21711"/>
    <cellStyle name="Normal 20 3 4 3 2 2 2 2 2" xfId="21712"/>
    <cellStyle name="Normal 20 3 4 3 2 2 2 3" xfId="21713"/>
    <cellStyle name="Normal 20 3 4 3 2 2 3" xfId="21714"/>
    <cellStyle name="Normal 20 3 4 3 2 2 3 2" xfId="21715"/>
    <cellStyle name="Normal 20 3 4 3 2 2 4" xfId="21716"/>
    <cellStyle name="Normal 20 3 4 3 2 3" xfId="21717"/>
    <cellStyle name="Normal 20 3 4 3 2 3 2" xfId="21718"/>
    <cellStyle name="Normal 20 3 4 3 2 3 2 2" xfId="21719"/>
    <cellStyle name="Normal 20 3 4 3 2 3 2 2 2" xfId="21720"/>
    <cellStyle name="Normal 20 3 4 3 2 3 2 3" xfId="21721"/>
    <cellStyle name="Normal 20 3 4 3 2 3 3" xfId="21722"/>
    <cellStyle name="Normal 20 3 4 3 2 3 3 2" xfId="21723"/>
    <cellStyle name="Normal 20 3 4 3 2 3 4" xfId="21724"/>
    <cellStyle name="Normal 20 3 4 3 2 4" xfId="21725"/>
    <cellStyle name="Normal 20 3 4 3 2 4 2" xfId="21726"/>
    <cellStyle name="Normal 20 3 4 3 2 4 2 2" xfId="21727"/>
    <cellStyle name="Normal 20 3 4 3 2 4 3" xfId="21728"/>
    <cellStyle name="Normal 20 3 4 3 2 5" xfId="21729"/>
    <cellStyle name="Normal 20 3 4 3 2 5 2" xfId="21730"/>
    <cellStyle name="Normal 20 3 4 3 2 6" xfId="21731"/>
    <cellStyle name="Normal 20 3 4 3 3" xfId="21732"/>
    <cellStyle name="Normal 20 3 4 3 3 2" xfId="21733"/>
    <cellStyle name="Normal 20 3 4 3 3 2 2" xfId="21734"/>
    <cellStyle name="Normal 20 3 4 3 3 2 2 2" xfId="21735"/>
    <cellStyle name="Normal 20 3 4 3 3 2 3" xfId="21736"/>
    <cellStyle name="Normal 20 3 4 3 3 3" xfId="21737"/>
    <cellStyle name="Normal 20 3 4 3 3 3 2" xfId="21738"/>
    <cellStyle name="Normal 20 3 4 3 3 4" xfId="21739"/>
    <cellStyle name="Normal 20 3 4 3 4" xfId="21740"/>
    <cellStyle name="Normal 20 3 4 3 4 2" xfId="21741"/>
    <cellStyle name="Normal 20 3 4 3 4 2 2" xfId="21742"/>
    <cellStyle name="Normal 20 3 4 3 4 2 2 2" xfId="21743"/>
    <cellStyle name="Normal 20 3 4 3 4 2 3" xfId="21744"/>
    <cellStyle name="Normal 20 3 4 3 4 3" xfId="21745"/>
    <cellStyle name="Normal 20 3 4 3 4 3 2" xfId="21746"/>
    <cellStyle name="Normal 20 3 4 3 4 4" xfId="21747"/>
    <cellStyle name="Normal 20 3 4 3 5" xfId="21748"/>
    <cellStyle name="Normal 20 3 4 3 5 2" xfId="21749"/>
    <cellStyle name="Normal 20 3 4 3 5 2 2" xfId="21750"/>
    <cellStyle name="Normal 20 3 4 3 5 3" xfId="21751"/>
    <cellStyle name="Normal 20 3 4 3 6" xfId="21752"/>
    <cellStyle name="Normal 20 3 4 3 6 2" xfId="21753"/>
    <cellStyle name="Normal 20 3 4 3 7" xfId="21754"/>
    <cellStyle name="Normal 20 3 4 4" xfId="21755"/>
    <cellStyle name="Normal 20 3 4 4 2" xfId="21756"/>
    <cellStyle name="Normal 20 3 4 4 2 2" xfId="21757"/>
    <cellStyle name="Normal 20 3 4 4 2 2 2" xfId="21758"/>
    <cellStyle name="Normal 20 3 4 4 2 2 2 2" xfId="21759"/>
    <cellStyle name="Normal 20 3 4 4 2 2 3" xfId="21760"/>
    <cellStyle name="Normal 20 3 4 4 2 3" xfId="21761"/>
    <cellStyle name="Normal 20 3 4 4 2 3 2" xfId="21762"/>
    <cellStyle name="Normal 20 3 4 4 2 4" xfId="21763"/>
    <cellStyle name="Normal 20 3 4 4 3" xfId="21764"/>
    <cellStyle name="Normal 20 3 4 4 3 2" xfId="21765"/>
    <cellStyle name="Normal 20 3 4 4 3 2 2" xfId="21766"/>
    <cellStyle name="Normal 20 3 4 4 3 2 2 2" xfId="21767"/>
    <cellStyle name="Normal 20 3 4 4 3 2 3" xfId="21768"/>
    <cellStyle name="Normal 20 3 4 4 3 3" xfId="21769"/>
    <cellStyle name="Normal 20 3 4 4 3 3 2" xfId="21770"/>
    <cellStyle name="Normal 20 3 4 4 3 4" xfId="21771"/>
    <cellStyle name="Normal 20 3 4 4 4" xfId="21772"/>
    <cellStyle name="Normal 20 3 4 4 4 2" xfId="21773"/>
    <cellStyle name="Normal 20 3 4 4 4 2 2" xfId="21774"/>
    <cellStyle name="Normal 20 3 4 4 4 3" xfId="21775"/>
    <cellStyle name="Normal 20 3 4 4 5" xfId="21776"/>
    <cellStyle name="Normal 20 3 4 4 5 2" xfId="21777"/>
    <cellStyle name="Normal 20 3 4 4 6" xfId="21778"/>
    <cellStyle name="Normal 20 3 4 5" xfId="21779"/>
    <cellStyle name="Normal 20 3 4 5 2" xfId="21780"/>
    <cellStyle name="Normal 20 3 4 5 2 2" xfId="21781"/>
    <cellStyle name="Normal 20 3 4 5 2 2 2" xfId="21782"/>
    <cellStyle name="Normal 20 3 4 5 2 3" xfId="21783"/>
    <cellStyle name="Normal 20 3 4 5 3" xfId="21784"/>
    <cellStyle name="Normal 20 3 4 5 3 2" xfId="21785"/>
    <cellStyle name="Normal 20 3 4 5 4" xfId="21786"/>
    <cellStyle name="Normal 20 3 4 6" xfId="21787"/>
    <cellStyle name="Normal 20 3 4 6 2" xfId="21788"/>
    <cellStyle name="Normal 20 3 4 6 2 2" xfId="21789"/>
    <cellStyle name="Normal 20 3 4 6 2 2 2" xfId="21790"/>
    <cellStyle name="Normal 20 3 4 6 2 3" xfId="21791"/>
    <cellStyle name="Normal 20 3 4 6 3" xfId="21792"/>
    <cellStyle name="Normal 20 3 4 6 3 2" xfId="21793"/>
    <cellStyle name="Normal 20 3 4 6 4" xfId="21794"/>
    <cellStyle name="Normal 20 3 4 7" xfId="21795"/>
    <cellStyle name="Normal 20 3 4 7 2" xfId="21796"/>
    <cellStyle name="Normal 20 3 4 7 2 2" xfId="21797"/>
    <cellStyle name="Normal 20 3 4 7 2 2 2" xfId="21798"/>
    <cellStyle name="Normal 20 3 4 7 2 3" xfId="21799"/>
    <cellStyle name="Normal 20 3 4 7 3" xfId="21800"/>
    <cellStyle name="Normal 20 3 4 7 3 2" xfId="21801"/>
    <cellStyle name="Normal 20 3 4 7 4" xfId="21802"/>
    <cellStyle name="Normal 20 3 4 8" xfId="21803"/>
    <cellStyle name="Normal 20 3 4 8 2" xfId="21804"/>
    <cellStyle name="Normal 20 3 4 8 2 2" xfId="21805"/>
    <cellStyle name="Normal 20 3 4 8 3" xfId="21806"/>
    <cellStyle name="Normal 20 3 4 9" xfId="21807"/>
    <cellStyle name="Normal 20 3 4 9 2" xfId="21808"/>
    <cellStyle name="Normal 20 3 5" xfId="21809"/>
    <cellStyle name="Normal 20 3 5 2" xfId="21810"/>
    <cellStyle name="Normal 20 3 5 2 2" xfId="21811"/>
    <cellStyle name="Normal 20 3 5 2 2 2" xfId="21812"/>
    <cellStyle name="Normal 20 3 5 2 2 2 2" xfId="21813"/>
    <cellStyle name="Normal 20 3 5 2 2 2 2 2" xfId="21814"/>
    <cellStyle name="Normal 20 3 5 2 2 2 2 2 2" xfId="21815"/>
    <cellStyle name="Normal 20 3 5 2 2 2 2 3" xfId="21816"/>
    <cellStyle name="Normal 20 3 5 2 2 2 3" xfId="21817"/>
    <cellStyle name="Normal 20 3 5 2 2 2 3 2" xfId="21818"/>
    <cellStyle name="Normal 20 3 5 2 2 2 4" xfId="21819"/>
    <cellStyle name="Normal 20 3 5 2 2 3" xfId="21820"/>
    <cellStyle name="Normal 20 3 5 2 2 3 2" xfId="21821"/>
    <cellStyle name="Normal 20 3 5 2 2 3 2 2" xfId="21822"/>
    <cellStyle name="Normal 20 3 5 2 2 3 2 2 2" xfId="21823"/>
    <cellStyle name="Normal 20 3 5 2 2 3 2 3" xfId="21824"/>
    <cellStyle name="Normal 20 3 5 2 2 3 3" xfId="21825"/>
    <cellStyle name="Normal 20 3 5 2 2 3 3 2" xfId="21826"/>
    <cellStyle name="Normal 20 3 5 2 2 3 4" xfId="21827"/>
    <cellStyle name="Normal 20 3 5 2 2 4" xfId="21828"/>
    <cellStyle name="Normal 20 3 5 2 2 4 2" xfId="21829"/>
    <cellStyle name="Normal 20 3 5 2 2 4 2 2" xfId="21830"/>
    <cellStyle name="Normal 20 3 5 2 2 4 3" xfId="21831"/>
    <cellStyle name="Normal 20 3 5 2 2 5" xfId="21832"/>
    <cellStyle name="Normal 20 3 5 2 2 5 2" xfId="21833"/>
    <cellStyle name="Normal 20 3 5 2 2 6" xfId="21834"/>
    <cellStyle name="Normal 20 3 5 2 3" xfId="21835"/>
    <cellStyle name="Normal 20 3 5 2 3 2" xfId="21836"/>
    <cellStyle name="Normal 20 3 5 2 3 2 2" xfId="21837"/>
    <cellStyle name="Normal 20 3 5 2 3 2 2 2" xfId="21838"/>
    <cellStyle name="Normal 20 3 5 2 3 2 3" xfId="21839"/>
    <cellStyle name="Normal 20 3 5 2 3 3" xfId="21840"/>
    <cellStyle name="Normal 20 3 5 2 3 3 2" xfId="21841"/>
    <cellStyle name="Normal 20 3 5 2 3 4" xfId="21842"/>
    <cellStyle name="Normal 20 3 5 2 4" xfId="21843"/>
    <cellStyle name="Normal 20 3 5 2 4 2" xfId="21844"/>
    <cellStyle name="Normal 20 3 5 2 4 2 2" xfId="21845"/>
    <cellStyle name="Normal 20 3 5 2 4 2 2 2" xfId="21846"/>
    <cellStyle name="Normal 20 3 5 2 4 2 3" xfId="21847"/>
    <cellStyle name="Normal 20 3 5 2 4 3" xfId="21848"/>
    <cellStyle name="Normal 20 3 5 2 4 3 2" xfId="21849"/>
    <cellStyle name="Normal 20 3 5 2 4 4" xfId="21850"/>
    <cellStyle name="Normal 20 3 5 2 5" xfId="21851"/>
    <cellStyle name="Normal 20 3 5 2 5 2" xfId="21852"/>
    <cellStyle name="Normal 20 3 5 2 5 2 2" xfId="21853"/>
    <cellStyle name="Normal 20 3 5 2 5 3" xfId="21854"/>
    <cellStyle name="Normal 20 3 5 2 6" xfId="21855"/>
    <cellStyle name="Normal 20 3 5 2 6 2" xfId="21856"/>
    <cellStyle name="Normal 20 3 5 2 7" xfId="21857"/>
    <cellStyle name="Normal 20 3 5 3" xfId="21858"/>
    <cellStyle name="Normal 20 3 5 3 2" xfId="21859"/>
    <cellStyle name="Normal 20 3 5 3 2 2" xfId="21860"/>
    <cellStyle name="Normal 20 3 5 3 2 2 2" xfId="21861"/>
    <cellStyle name="Normal 20 3 5 3 2 2 2 2" xfId="21862"/>
    <cellStyle name="Normal 20 3 5 3 2 2 3" xfId="21863"/>
    <cellStyle name="Normal 20 3 5 3 2 3" xfId="21864"/>
    <cellStyle name="Normal 20 3 5 3 2 3 2" xfId="21865"/>
    <cellStyle name="Normal 20 3 5 3 2 4" xfId="21866"/>
    <cellStyle name="Normal 20 3 5 3 3" xfId="21867"/>
    <cellStyle name="Normal 20 3 5 3 3 2" xfId="21868"/>
    <cellStyle name="Normal 20 3 5 3 3 2 2" xfId="21869"/>
    <cellStyle name="Normal 20 3 5 3 3 2 2 2" xfId="21870"/>
    <cellStyle name="Normal 20 3 5 3 3 2 3" xfId="21871"/>
    <cellStyle name="Normal 20 3 5 3 3 3" xfId="21872"/>
    <cellStyle name="Normal 20 3 5 3 3 3 2" xfId="21873"/>
    <cellStyle name="Normal 20 3 5 3 3 4" xfId="21874"/>
    <cellStyle name="Normal 20 3 5 3 4" xfId="21875"/>
    <cellStyle name="Normal 20 3 5 3 4 2" xfId="21876"/>
    <cellStyle name="Normal 20 3 5 3 4 2 2" xfId="21877"/>
    <cellStyle name="Normal 20 3 5 3 4 3" xfId="21878"/>
    <cellStyle name="Normal 20 3 5 3 5" xfId="21879"/>
    <cellStyle name="Normal 20 3 5 3 5 2" xfId="21880"/>
    <cellStyle name="Normal 20 3 5 3 6" xfId="21881"/>
    <cellStyle name="Normal 20 3 5 4" xfId="21882"/>
    <cellStyle name="Normal 20 3 5 4 2" xfId="21883"/>
    <cellStyle name="Normal 20 3 5 4 2 2" xfId="21884"/>
    <cellStyle name="Normal 20 3 5 4 2 2 2" xfId="21885"/>
    <cellStyle name="Normal 20 3 5 4 2 3" xfId="21886"/>
    <cellStyle name="Normal 20 3 5 4 3" xfId="21887"/>
    <cellStyle name="Normal 20 3 5 4 3 2" xfId="21888"/>
    <cellStyle name="Normal 20 3 5 4 4" xfId="21889"/>
    <cellStyle name="Normal 20 3 5 5" xfId="21890"/>
    <cellStyle name="Normal 20 3 5 5 2" xfId="21891"/>
    <cellStyle name="Normal 20 3 5 5 2 2" xfId="21892"/>
    <cellStyle name="Normal 20 3 5 5 2 2 2" xfId="21893"/>
    <cellStyle name="Normal 20 3 5 5 2 3" xfId="21894"/>
    <cellStyle name="Normal 20 3 5 5 3" xfId="21895"/>
    <cellStyle name="Normal 20 3 5 5 3 2" xfId="21896"/>
    <cellStyle name="Normal 20 3 5 5 4" xfId="21897"/>
    <cellStyle name="Normal 20 3 5 6" xfId="21898"/>
    <cellStyle name="Normal 20 3 5 6 2" xfId="21899"/>
    <cellStyle name="Normal 20 3 5 6 2 2" xfId="21900"/>
    <cellStyle name="Normal 20 3 5 6 2 2 2" xfId="21901"/>
    <cellStyle name="Normal 20 3 5 6 2 3" xfId="21902"/>
    <cellStyle name="Normal 20 3 5 6 3" xfId="21903"/>
    <cellStyle name="Normal 20 3 5 6 3 2" xfId="21904"/>
    <cellStyle name="Normal 20 3 5 6 4" xfId="21905"/>
    <cellStyle name="Normal 20 3 5 7" xfId="21906"/>
    <cellStyle name="Normal 20 3 5 7 2" xfId="21907"/>
    <cellStyle name="Normal 20 3 5 7 2 2" xfId="21908"/>
    <cellStyle name="Normal 20 3 5 7 3" xfId="21909"/>
    <cellStyle name="Normal 20 3 5 8" xfId="21910"/>
    <cellStyle name="Normal 20 3 5 8 2" xfId="21911"/>
    <cellStyle name="Normal 20 3 5 9" xfId="21912"/>
    <cellStyle name="Normal 20 3 6" xfId="21913"/>
    <cellStyle name="Normal 20 3 6 2" xfId="21914"/>
    <cellStyle name="Normal 20 3 6 2 2" xfId="21915"/>
    <cellStyle name="Normal 20 3 6 2 2 2" xfId="21916"/>
    <cellStyle name="Normal 20 3 6 2 2 2 2" xfId="21917"/>
    <cellStyle name="Normal 20 3 6 2 2 2 2 2" xfId="21918"/>
    <cellStyle name="Normal 20 3 6 2 2 2 3" xfId="21919"/>
    <cellStyle name="Normal 20 3 6 2 2 3" xfId="21920"/>
    <cellStyle name="Normal 20 3 6 2 2 3 2" xfId="21921"/>
    <cellStyle name="Normal 20 3 6 2 2 4" xfId="21922"/>
    <cellStyle name="Normal 20 3 6 2 3" xfId="21923"/>
    <cellStyle name="Normal 20 3 6 2 3 2" xfId="21924"/>
    <cellStyle name="Normal 20 3 6 2 3 2 2" xfId="21925"/>
    <cellStyle name="Normal 20 3 6 2 3 2 2 2" xfId="21926"/>
    <cellStyle name="Normal 20 3 6 2 3 2 3" xfId="21927"/>
    <cellStyle name="Normal 20 3 6 2 3 3" xfId="21928"/>
    <cellStyle name="Normal 20 3 6 2 3 3 2" xfId="21929"/>
    <cellStyle name="Normal 20 3 6 2 3 4" xfId="21930"/>
    <cellStyle name="Normal 20 3 6 2 4" xfId="21931"/>
    <cellStyle name="Normal 20 3 6 2 4 2" xfId="21932"/>
    <cellStyle name="Normal 20 3 6 2 4 2 2" xfId="21933"/>
    <cellStyle name="Normal 20 3 6 2 4 3" xfId="21934"/>
    <cellStyle name="Normal 20 3 6 2 5" xfId="21935"/>
    <cellStyle name="Normal 20 3 6 2 5 2" xfId="21936"/>
    <cellStyle name="Normal 20 3 6 2 6" xfId="21937"/>
    <cellStyle name="Normal 20 3 6 3" xfId="21938"/>
    <cellStyle name="Normal 20 3 6 3 2" xfId="21939"/>
    <cellStyle name="Normal 20 3 6 3 2 2" xfId="21940"/>
    <cellStyle name="Normal 20 3 6 3 2 2 2" xfId="21941"/>
    <cellStyle name="Normal 20 3 6 3 2 3" xfId="21942"/>
    <cellStyle name="Normal 20 3 6 3 3" xfId="21943"/>
    <cellStyle name="Normal 20 3 6 3 3 2" xfId="21944"/>
    <cellStyle name="Normal 20 3 6 3 4" xfId="21945"/>
    <cellStyle name="Normal 20 3 6 4" xfId="21946"/>
    <cellStyle name="Normal 20 3 6 4 2" xfId="21947"/>
    <cellStyle name="Normal 20 3 6 4 2 2" xfId="21948"/>
    <cellStyle name="Normal 20 3 6 4 2 2 2" xfId="21949"/>
    <cellStyle name="Normal 20 3 6 4 2 3" xfId="21950"/>
    <cellStyle name="Normal 20 3 6 4 3" xfId="21951"/>
    <cellStyle name="Normal 20 3 6 4 3 2" xfId="21952"/>
    <cellStyle name="Normal 20 3 6 4 4" xfId="21953"/>
    <cellStyle name="Normal 20 3 6 5" xfId="21954"/>
    <cellStyle name="Normal 20 3 6 5 2" xfId="21955"/>
    <cellStyle name="Normal 20 3 6 5 2 2" xfId="21956"/>
    <cellStyle name="Normal 20 3 6 5 3" xfId="21957"/>
    <cellStyle name="Normal 20 3 6 6" xfId="21958"/>
    <cellStyle name="Normal 20 3 6 6 2" xfId="21959"/>
    <cellStyle name="Normal 20 3 6 7" xfId="21960"/>
    <cellStyle name="Normal 20 3 7" xfId="21961"/>
    <cellStyle name="Normal 20 3 7 2" xfId="21962"/>
    <cellStyle name="Normal 20 3 7 2 2" xfId="21963"/>
    <cellStyle name="Normal 20 3 7 2 2 2" xfId="21964"/>
    <cellStyle name="Normal 20 3 7 2 2 2 2" xfId="21965"/>
    <cellStyle name="Normal 20 3 7 2 2 3" xfId="21966"/>
    <cellStyle name="Normal 20 3 7 2 3" xfId="21967"/>
    <cellStyle name="Normal 20 3 7 2 3 2" xfId="21968"/>
    <cellStyle name="Normal 20 3 7 2 4" xfId="21969"/>
    <cellStyle name="Normal 20 3 7 3" xfId="21970"/>
    <cellStyle name="Normal 20 3 7 3 2" xfId="21971"/>
    <cellStyle name="Normal 20 3 7 3 2 2" xfId="21972"/>
    <cellStyle name="Normal 20 3 7 3 2 2 2" xfId="21973"/>
    <cellStyle name="Normal 20 3 7 3 2 3" xfId="21974"/>
    <cellStyle name="Normal 20 3 7 3 3" xfId="21975"/>
    <cellStyle name="Normal 20 3 7 3 3 2" xfId="21976"/>
    <cellStyle name="Normal 20 3 7 3 4" xfId="21977"/>
    <cellStyle name="Normal 20 3 7 4" xfId="21978"/>
    <cellStyle name="Normal 20 3 7 4 2" xfId="21979"/>
    <cellStyle name="Normal 20 3 7 4 2 2" xfId="21980"/>
    <cellStyle name="Normal 20 3 7 4 3" xfId="21981"/>
    <cellStyle name="Normal 20 3 7 5" xfId="21982"/>
    <cellStyle name="Normal 20 3 7 5 2" xfId="21983"/>
    <cellStyle name="Normal 20 3 7 6" xfId="21984"/>
    <cellStyle name="Normal 20 3 8" xfId="21985"/>
    <cellStyle name="Normal 20 3 8 2" xfId="21986"/>
    <cellStyle name="Normal 20 3 8 2 2" xfId="21987"/>
    <cellStyle name="Normal 20 3 8 2 2 2" xfId="21988"/>
    <cellStyle name="Normal 20 3 8 2 3" xfId="21989"/>
    <cellStyle name="Normal 20 3 8 3" xfId="21990"/>
    <cellStyle name="Normal 20 3 8 3 2" xfId="21991"/>
    <cellStyle name="Normal 20 3 8 4" xfId="21992"/>
    <cellStyle name="Normal 20 3 9" xfId="21993"/>
    <cellStyle name="Normal 20 3 9 2" xfId="21994"/>
    <cellStyle name="Normal 20 3 9 2 2" xfId="21995"/>
    <cellStyle name="Normal 20 3 9 2 2 2" xfId="21996"/>
    <cellStyle name="Normal 20 3 9 2 3" xfId="21997"/>
    <cellStyle name="Normal 20 3 9 3" xfId="21998"/>
    <cellStyle name="Normal 20 3 9 3 2" xfId="21999"/>
    <cellStyle name="Normal 20 3 9 4" xfId="22000"/>
    <cellStyle name="Normal 20 4" xfId="22001"/>
    <cellStyle name="Normal 20 4 10" xfId="22002"/>
    <cellStyle name="Normal 20 4 10 2" xfId="22003"/>
    <cellStyle name="Normal 20 4 11" xfId="22004"/>
    <cellStyle name="Normal 20 4 2" xfId="22005"/>
    <cellStyle name="Normal 20 4 2 10" xfId="22006"/>
    <cellStyle name="Normal 20 4 2 2" xfId="22007"/>
    <cellStyle name="Normal 20 4 2 2 2" xfId="22008"/>
    <cellStyle name="Normal 20 4 2 2 2 2" xfId="22009"/>
    <cellStyle name="Normal 20 4 2 2 2 2 2" xfId="22010"/>
    <cellStyle name="Normal 20 4 2 2 2 2 2 2" xfId="22011"/>
    <cellStyle name="Normal 20 4 2 2 2 2 2 2 2" xfId="22012"/>
    <cellStyle name="Normal 20 4 2 2 2 2 2 2 2 2" xfId="22013"/>
    <cellStyle name="Normal 20 4 2 2 2 2 2 2 3" xfId="22014"/>
    <cellStyle name="Normal 20 4 2 2 2 2 2 3" xfId="22015"/>
    <cellStyle name="Normal 20 4 2 2 2 2 2 3 2" xfId="22016"/>
    <cellStyle name="Normal 20 4 2 2 2 2 2 4" xfId="22017"/>
    <cellStyle name="Normal 20 4 2 2 2 2 3" xfId="22018"/>
    <cellStyle name="Normal 20 4 2 2 2 2 3 2" xfId="22019"/>
    <cellStyle name="Normal 20 4 2 2 2 2 3 2 2" xfId="22020"/>
    <cellStyle name="Normal 20 4 2 2 2 2 3 2 2 2" xfId="22021"/>
    <cellStyle name="Normal 20 4 2 2 2 2 3 2 3" xfId="22022"/>
    <cellStyle name="Normal 20 4 2 2 2 2 3 3" xfId="22023"/>
    <cellStyle name="Normal 20 4 2 2 2 2 3 3 2" xfId="22024"/>
    <cellStyle name="Normal 20 4 2 2 2 2 3 4" xfId="22025"/>
    <cellStyle name="Normal 20 4 2 2 2 2 4" xfId="22026"/>
    <cellStyle name="Normal 20 4 2 2 2 2 4 2" xfId="22027"/>
    <cellStyle name="Normal 20 4 2 2 2 2 4 2 2" xfId="22028"/>
    <cellStyle name="Normal 20 4 2 2 2 2 4 3" xfId="22029"/>
    <cellStyle name="Normal 20 4 2 2 2 2 5" xfId="22030"/>
    <cellStyle name="Normal 20 4 2 2 2 2 5 2" xfId="22031"/>
    <cellStyle name="Normal 20 4 2 2 2 2 6" xfId="22032"/>
    <cellStyle name="Normal 20 4 2 2 2 3" xfId="22033"/>
    <cellStyle name="Normal 20 4 2 2 2 3 2" xfId="22034"/>
    <cellStyle name="Normal 20 4 2 2 2 3 2 2" xfId="22035"/>
    <cellStyle name="Normal 20 4 2 2 2 3 2 2 2" xfId="22036"/>
    <cellStyle name="Normal 20 4 2 2 2 3 2 3" xfId="22037"/>
    <cellStyle name="Normal 20 4 2 2 2 3 3" xfId="22038"/>
    <cellStyle name="Normal 20 4 2 2 2 3 3 2" xfId="22039"/>
    <cellStyle name="Normal 20 4 2 2 2 3 4" xfId="22040"/>
    <cellStyle name="Normal 20 4 2 2 2 4" xfId="22041"/>
    <cellStyle name="Normal 20 4 2 2 2 4 2" xfId="22042"/>
    <cellStyle name="Normal 20 4 2 2 2 4 2 2" xfId="22043"/>
    <cellStyle name="Normal 20 4 2 2 2 4 2 2 2" xfId="22044"/>
    <cellStyle name="Normal 20 4 2 2 2 4 2 3" xfId="22045"/>
    <cellStyle name="Normal 20 4 2 2 2 4 3" xfId="22046"/>
    <cellStyle name="Normal 20 4 2 2 2 4 3 2" xfId="22047"/>
    <cellStyle name="Normal 20 4 2 2 2 4 4" xfId="22048"/>
    <cellStyle name="Normal 20 4 2 2 2 5" xfId="22049"/>
    <cellStyle name="Normal 20 4 2 2 2 5 2" xfId="22050"/>
    <cellStyle name="Normal 20 4 2 2 2 5 2 2" xfId="22051"/>
    <cellStyle name="Normal 20 4 2 2 2 5 3" xfId="22052"/>
    <cellStyle name="Normal 20 4 2 2 2 6" xfId="22053"/>
    <cellStyle name="Normal 20 4 2 2 2 6 2" xfId="22054"/>
    <cellStyle name="Normal 20 4 2 2 2 7" xfId="22055"/>
    <cellStyle name="Normal 20 4 2 2 3" xfId="22056"/>
    <cellStyle name="Normal 20 4 2 2 3 2" xfId="22057"/>
    <cellStyle name="Normal 20 4 2 2 3 2 2" xfId="22058"/>
    <cellStyle name="Normal 20 4 2 2 3 2 2 2" xfId="22059"/>
    <cellStyle name="Normal 20 4 2 2 3 2 2 2 2" xfId="22060"/>
    <cellStyle name="Normal 20 4 2 2 3 2 2 3" xfId="22061"/>
    <cellStyle name="Normal 20 4 2 2 3 2 3" xfId="22062"/>
    <cellStyle name="Normal 20 4 2 2 3 2 3 2" xfId="22063"/>
    <cellStyle name="Normal 20 4 2 2 3 2 4" xfId="22064"/>
    <cellStyle name="Normal 20 4 2 2 3 3" xfId="22065"/>
    <cellStyle name="Normal 20 4 2 2 3 3 2" xfId="22066"/>
    <cellStyle name="Normal 20 4 2 2 3 3 2 2" xfId="22067"/>
    <cellStyle name="Normal 20 4 2 2 3 3 2 2 2" xfId="22068"/>
    <cellStyle name="Normal 20 4 2 2 3 3 2 3" xfId="22069"/>
    <cellStyle name="Normal 20 4 2 2 3 3 3" xfId="22070"/>
    <cellStyle name="Normal 20 4 2 2 3 3 3 2" xfId="22071"/>
    <cellStyle name="Normal 20 4 2 2 3 3 4" xfId="22072"/>
    <cellStyle name="Normal 20 4 2 2 3 4" xfId="22073"/>
    <cellStyle name="Normal 20 4 2 2 3 4 2" xfId="22074"/>
    <cellStyle name="Normal 20 4 2 2 3 4 2 2" xfId="22075"/>
    <cellStyle name="Normal 20 4 2 2 3 4 3" xfId="22076"/>
    <cellStyle name="Normal 20 4 2 2 3 5" xfId="22077"/>
    <cellStyle name="Normal 20 4 2 2 3 5 2" xfId="22078"/>
    <cellStyle name="Normal 20 4 2 2 3 6" xfId="22079"/>
    <cellStyle name="Normal 20 4 2 2 4" xfId="22080"/>
    <cellStyle name="Normal 20 4 2 2 4 2" xfId="22081"/>
    <cellStyle name="Normal 20 4 2 2 4 2 2" xfId="22082"/>
    <cellStyle name="Normal 20 4 2 2 4 2 2 2" xfId="22083"/>
    <cellStyle name="Normal 20 4 2 2 4 2 3" xfId="22084"/>
    <cellStyle name="Normal 20 4 2 2 4 3" xfId="22085"/>
    <cellStyle name="Normal 20 4 2 2 4 3 2" xfId="22086"/>
    <cellStyle name="Normal 20 4 2 2 4 4" xfId="22087"/>
    <cellStyle name="Normal 20 4 2 2 5" xfId="22088"/>
    <cellStyle name="Normal 20 4 2 2 5 2" xfId="22089"/>
    <cellStyle name="Normal 20 4 2 2 5 2 2" xfId="22090"/>
    <cellStyle name="Normal 20 4 2 2 5 2 2 2" xfId="22091"/>
    <cellStyle name="Normal 20 4 2 2 5 2 3" xfId="22092"/>
    <cellStyle name="Normal 20 4 2 2 5 3" xfId="22093"/>
    <cellStyle name="Normal 20 4 2 2 5 3 2" xfId="22094"/>
    <cellStyle name="Normal 20 4 2 2 5 4" xfId="22095"/>
    <cellStyle name="Normal 20 4 2 2 6" xfId="22096"/>
    <cellStyle name="Normal 20 4 2 2 6 2" xfId="22097"/>
    <cellStyle name="Normal 20 4 2 2 6 2 2" xfId="22098"/>
    <cellStyle name="Normal 20 4 2 2 6 2 2 2" xfId="22099"/>
    <cellStyle name="Normal 20 4 2 2 6 2 3" xfId="22100"/>
    <cellStyle name="Normal 20 4 2 2 6 3" xfId="22101"/>
    <cellStyle name="Normal 20 4 2 2 6 3 2" xfId="22102"/>
    <cellStyle name="Normal 20 4 2 2 6 4" xfId="22103"/>
    <cellStyle name="Normal 20 4 2 2 7" xfId="22104"/>
    <cellStyle name="Normal 20 4 2 2 7 2" xfId="22105"/>
    <cellStyle name="Normal 20 4 2 2 7 2 2" xfId="22106"/>
    <cellStyle name="Normal 20 4 2 2 7 3" xfId="22107"/>
    <cellStyle name="Normal 20 4 2 2 8" xfId="22108"/>
    <cellStyle name="Normal 20 4 2 2 8 2" xfId="22109"/>
    <cellStyle name="Normal 20 4 2 2 9" xfId="22110"/>
    <cellStyle name="Normal 20 4 2 3" xfId="22111"/>
    <cellStyle name="Normal 20 4 2 3 2" xfId="22112"/>
    <cellStyle name="Normal 20 4 2 3 2 2" xfId="22113"/>
    <cellStyle name="Normal 20 4 2 3 2 2 2" xfId="22114"/>
    <cellStyle name="Normal 20 4 2 3 2 2 2 2" xfId="22115"/>
    <cellStyle name="Normal 20 4 2 3 2 2 2 2 2" xfId="22116"/>
    <cellStyle name="Normal 20 4 2 3 2 2 2 3" xfId="22117"/>
    <cellStyle name="Normal 20 4 2 3 2 2 3" xfId="22118"/>
    <cellStyle name="Normal 20 4 2 3 2 2 3 2" xfId="22119"/>
    <cellStyle name="Normal 20 4 2 3 2 2 4" xfId="22120"/>
    <cellStyle name="Normal 20 4 2 3 2 3" xfId="22121"/>
    <cellStyle name="Normal 20 4 2 3 2 3 2" xfId="22122"/>
    <cellStyle name="Normal 20 4 2 3 2 3 2 2" xfId="22123"/>
    <cellStyle name="Normal 20 4 2 3 2 3 2 2 2" xfId="22124"/>
    <cellStyle name="Normal 20 4 2 3 2 3 2 3" xfId="22125"/>
    <cellStyle name="Normal 20 4 2 3 2 3 3" xfId="22126"/>
    <cellStyle name="Normal 20 4 2 3 2 3 3 2" xfId="22127"/>
    <cellStyle name="Normal 20 4 2 3 2 3 4" xfId="22128"/>
    <cellStyle name="Normal 20 4 2 3 2 4" xfId="22129"/>
    <cellStyle name="Normal 20 4 2 3 2 4 2" xfId="22130"/>
    <cellStyle name="Normal 20 4 2 3 2 4 2 2" xfId="22131"/>
    <cellStyle name="Normal 20 4 2 3 2 4 3" xfId="22132"/>
    <cellStyle name="Normal 20 4 2 3 2 5" xfId="22133"/>
    <cellStyle name="Normal 20 4 2 3 2 5 2" xfId="22134"/>
    <cellStyle name="Normal 20 4 2 3 2 6" xfId="22135"/>
    <cellStyle name="Normal 20 4 2 3 3" xfId="22136"/>
    <cellStyle name="Normal 20 4 2 3 3 2" xfId="22137"/>
    <cellStyle name="Normal 20 4 2 3 3 2 2" xfId="22138"/>
    <cellStyle name="Normal 20 4 2 3 3 2 2 2" xfId="22139"/>
    <cellStyle name="Normal 20 4 2 3 3 2 3" xfId="22140"/>
    <cellStyle name="Normal 20 4 2 3 3 3" xfId="22141"/>
    <cellStyle name="Normal 20 4 2 3 3 3 2" xfId="22142"/>
    <cellStyle name="Normal 20 4 2 3 3 4" xfId="22143"/>
    <cellStyle name="Normal 20 4 2 3 4" xfId="22144"/>
    <cellStyle name="Normal 20 4 2 3 4 2" xfId="22145"/>
    <cellStyle name="Normal 20 4 2 3 4 2 2" xfId="22146"/>
    <cellStyle name="Normal 20 4 2 3 4 2 2 2" xfId="22147"/>
    <cellStyle name="Normal 20 4 2 3 4 2 3" xfId="22148"/>
    <cellStyle name="Normal 20 4 2 3 4 3" xfId="22149"/>
    <cellStyle name="Normal 20 4 2 3 4 3 2" xfId="22150"/>
    <cellStyle name="Normal 20 4 2 3 4 4" xfId="22151"/>
    <cellStyle name="Normal 20 4 2 3 5" xfId="22152"/>
    <cellStyle name="Normal 20 4 2 3 5 2" xfId="22153"/>
    <cellStyle name="Normal 20 4 2 3 5 2 2" xfId="22154"/>
    <cellStyle name="Normal 20 4 2 3 5 3" xfId="22155"/>
    <cellStyle name="Normal 20 4 2 3 6" xfId="22156"/>
    <cellStyle name="Normal 20 4 2 3 6 2" xfId="22157"/>
    <cellStyle name="Normal 20 4 2 3 7" xfId="22158"/>
    <cellStyle name="Normal 20 4 2 4" xfId="22159"/>
    <cellStyle name="Normal 20 4 2 4 2" xfId="22160"/>
    <cellStyle name="Normal 20 4 2 4 2 2" xfId="22161"/>
    <cellStyle name="Normal 20 4 2 4 2 2 2" xfId="22162"/>
    <cellStyle name="Normal 20 4 2 4 2 2 2 2" xfId="22163"/>
    <cellStyle name="Normal 20 4 2 4 2 2 3" xfId="22164"/>
    <cellStyle name="Normal 20 4 2 4 2 3" xfId="22165"/>
    <cellStyle name="Normal 20 4 2 4 2 3 2" xfId="22166"/>
    <cellStyle name="Normal 20 4 2 4 2 4" xfId="22167"/>
    <cellStyle name="Normal 20 4 2 4 3" xfId="22168"/>
    <cellStyle name="Normal 20 4 2 4 3 2" xfId="22169"/>
    <cellStyle name="Normal 20 4 2 4 3 2 2" xfId="22170"/>
    <cellStyle name="Normal 20 4 2 4 3 2 2 2" xfId="22171"/>
    <cellStyle name="Normal 20 4 2 4 3 2 3" xfId="22172"/>
    <cellStyle name="Normal 20 4 2 4 3 3" xfId="22173"/>
    <cellStyle name="Normal 20 4 2 4 3 3 2" xfId="22174"/>
    <cellStyle name="Normal 20 4 2 4 3 4" xfId="22175"/>
    <cellStyle name="Normal 20 4 2 4 4" xfId="22176"/>
    <cellStyle name="Normal 20 4 2 4 4 2" xfId="22177"/>
    <cellStyle name="Normal 20 4 2 4 4 2 2" xfId="22178"/>
    <cellStyle name="Normal 20 4 2 4 4 3" xfId="22179"/>
    <cellStyle name="Normal 20 4 2 4 5" xfId="22180"/>
    <cellStyle name="Normal 20 4 2 4 5 2" xfId="22181"/>
    <cellStyle name="Normal 20 4 2 4 6" xfId="22182"/>
    <cellStyle name="Normal 20 4 2 5" xfId="22183"/>
    <cellStyle name="Normal 20 4 2 5 2" xfId="22184"/>
    <cellStyle name="Normal 20 4 2 5 2 2" xfId="22185"/>
    <cellStyle name="Normal 20 4 2 5 2 2 2" xfId="22186"/>
    <cellStyle name="Normal 20 4 2 5 2 3" xfId="22187"/>
    <cellStyle name="Normal 20 4 2 5 3" xfId="22188"/>
    <cellStyle name="Normal 20 4 2 5 3 2" xfId="22189"/>
    <cellStyle name="Normal 20 4 2 5 4" xfId="22190"/>
    <cellStyle name="Normal 20 4 2 6" xfId="22191"/>
    <cellStyle name="Normal 20 4 2 6 2" xfId="22192"/>
    <cellStyle name="Normal 20 4 2 6 2 2" xfId="22193"/>
    <cellStyle name="Normal 20 4 2 6 2 2 2" xfId="22194"/>
    <cellStyle name="Normal 20 4 2 6 2 3" xfId="22195"/>
    <cellStyle name="Normal 20 4 2 6 3" xfId="22196"/>
    <cellStyle name="Normal 20 4 2 6 3 2" xfId="22197"/>
    <cellStyle name="Normal 20 4 2 6 4" xfId="22198"/>
    <cellStyle name="Normal 20 4 2 7" xfId="22199"/>
    <cellStyle name="Normal 20 4 2 7 2" xfId="22200"/>
    <cellStyle name="Normal 20 4 2 7 2 2" xfId="22201"/>
    <cellStyle name="Normal 20 4 2 7 2 2 2" xfId="22202"/>
    <cellStyle name="Normal 20 4 2 7 2 3" xfId="22203"/>
    <cellStyle name="Normal 20 4 2 7 3" xfId="22204"/>
    <cellStyle name="Normal 20 4 2 7 3 2" xfId="22205"/>
    <cellStyle name="Normal 20 4 2 7 4" xfId="22206"/>
    <cellStyle name="Normal 20 4 2 8" xfId="22207"/>
    <cellStyle name="Normal 20 4 2 8 2" xfId="22208"/>
    <cellStyle name="Normal 20 4 2 8 2 2" xfId="22209"/>
    <cellStyle name="Normal 20 4 2 8 3" xfId="22210"/>
    <cellStyle name="Normal 20 4 2 9" xfId="22211"/>
    <cellStyle name="Normal 20 4 2 9 2" xfId="22212"/>
    <cellStyle name="Normal 20 4 3" xfId="22213"/>
    <cellStyle name="Normal 20 4 3 2" xfId="22214"/>
    <cellStyle name="Normal 20 4 3 2 2" xfId="22215"/>
    <cellStyle name="Normal 20 4 3 2 2 2" xfId="22216"/>
    <cellStyle name="Normal 20 4 3 2 2 2 2" xfId="22217"/>
    <cellStyle name="Normal 20 4 3 2 2 2 2 2" xfId="22218"/>
    <cellStyle name="Normal 20 4 3 2 2 2 2 2 2" xfId="22219"/>
    <cellStyle name="Normal 20 4 3 2 2 2 2 3" xfId="22220"/>
    <cellStyle name="Normal 20 4 3 2 2 2 3" xfId="22221"/>
    <cellStyle name="Normal 20 4 3 2 2 2 3 2" xfId="22222"/>
    <cellStyle name="Normal 20 4 3 2 2 2 4" xfId="22223"/>
    <cellStyle name="Normal 20 4 3 2 2 3" xfId="22224"/>
    <cellStyle name="Normal 20 4 3 2 2 3 2" xfId="22225"/>
    <cellStyle name="Normal 20 4 3 2 2 3 2 2" xfId="22226"/>
    <cellStyle name="Normal 20 4 3 2 2 3 2 2 2" xfId="22227"/>
    <cellStyle name="Normal 20 4 3 2 2 3 2 3" xfId="22228"/>
    <cellStyle name="Normal 20 4 3 2 2 3 3" xfId="22229"/>
    <cellStyle name="Normal 20 4 3 2 2 3 3 2" xfId="22230"/>
    <cellStyle name="Normal 20 4 3 2 2 3 4" xfId="22231"/>
    <cellStyle name="Normal 20 4 3 2 2 4" xfId="22232"/>
    <cellStyle name="Normal 20 4 3 2 2 4 2" xfId="22233"/>
    <cellStyle name="Normal 20 4 3 2 2 4 2 2" xfId="22234"/>
    <cellStyle name="Normal 20 4 3 2 2 4 3" xfId="22235"/>
    <cellStyle name="Normal 20 4 3 2 2 5" xfId="22236"/>
    <cellStyle name="Normal 20 4 3 2 2 5 2" xfId="22237"/>
    <cellStyle name="Normal 20 4 3 2 2 6" xfId="22238"/>
    <cellStyle name="Normal 20 4 3 2 3" xfId="22239"/>
    <cellStyle name="Normal 20 4 3 2 3 2" xfId="22240"/>
    <cellStyle name="Normal 20 4 3 2 3 2 2" xfId="22241"/>
    <cellStyle name="Normal 20 4 3 2 3 2 2 2" xfId="22242"/>
    <cellStyle name="Normal 20 4 3 2 3 2 3" xfId="22243"/>
    <cellStyle name="Normal 20 4 3 2 3 3" xfId="22244"/>
    <cellStyle name="Normal 20 4 3 2 3 3 2" xfId="22245"/>
    <cellStyle name="Normal 20 4 3 2 3 4" xfId="22246"/>
    <cellStyle name="Normal 20 4 3 2 4" xfId="22247"/>
    <cellStyle name="Normal 20 4 3 2 4 2" xfId="22248"/>
    <cellStyle name="Normal 20 4 3 2 4 2 2" xfId="22249"/>
    <cellStyle name="Normal 20 4 3 2 4 2 2 2" xfId="22250"/>
    <cellStyle name="Normal 20 4 3 2 4 2 3" xfId="22251"/>
    <cellStyle name="Normal 20 4 3 2 4 3" xfId="22252"/>
    <cellStyle name="Normal 20 4 3 2 4 3 2" xfId="22253"/>
    <cellStyle name="Normal 20 4 3 2 4 4" xfId="22254"/>
    <cellStyle name="Normal 20 4 3 2 5" xfId="22255"/>
    <cellStyle name="Normal 20 4 3 2 5 2" xfId="22256"/>
    <cellStyle name="Normal 20 4 3 2 5 2 2" xfId="22257"/>
    <cellStyle name="Normal 20 4 3 2 5 3" xfId="22258"/>
    <cellStyle name="Normal 20 4 3 2 6" xfId="22259"/>
    <cellStyle name="Normal 20 4 3 2 6 2" xfId="22260"/>
    <cellStyle name="Normal 20 4 3 2 7" xfId="22261"/>
    <cellStyle name="Normal 20 4 3 3" xfId="22262"/>
    <cellStyle name="Normal 20 4 3 3 2" xfId="22263"/>
    <cellStyle name="Normal 20 4 3 3 2 2" xfId="22264"/>
    <cellStyle name="Normal 20 4 3 3 2 2 2" xfId="22265"/>
    <cellStyle name="Normal 20 4 3 3 2 2 2 2" xfId="22266"/>
    <cellStyle name="Normal 20 4 3 3 2 2 3" xfId="22267"/>
    <cellStyle name="Normal 20 4 3 3 2 3" xfId="22268"/>
    <cellStyle name="Normal 20 4 3 3 2 3 2" xfId="22269"/>
    <cellStyle name="Normal 20 4 3 3 2 4" xfId="22270"/>
    <cellStyle name="Normal 20 4 3 3 3" xfId="22271"/>
    <cellStyle name="Normal 20 4 3 3 3 2" xfId="22272"/>
    <cellStyle name="Normal 20 4 3 3 3 2 2" xfId="22273"/>
    <cellStyle name="Normal 20 4 3 3 3 2 2 2" xfId="22274"/>
    <cellStyle name="Normal 20 4 3 3 3 2 3" xfId="22275"/>
    <cellStyle name="Normal 20 4 3 3 3 3" xfId="22276"/>
    <cellStyle name="Normal 20 4 3 3 3 3 2" xfId="22277"/>
    <cellStyle name="Normal 20 4 3 3 3 4" xfId="22278"/>
    <cellStyle name="Normal 20 4 3 3 4" xfId="22279"/>
    <cellStyle name="Normal 20 4 3 3 4 2" xfId="22280"/>
    <cellStyle name="Normal 20 4 3 3 4 2 2" xfId="22281"/>
    <cellStyle name="Normal 20 4 3 3 4 3" xfId="22282"/>
    <cellStyle name="Normal 20 4 3 3 5" xfId="22283"/>
    <cellStyle name="Normal 20 4 3 3 5 2" xfId="22284"/>
    <cellStyle name="Normal 20 4 3 3 6" xfId="22285"/>
    <cellStyle name="Normal 20 4 3 4" xfId="22286"/>
    <cellStyle name="Normal 20 4 3 4 2" xfId="22287"/>
    <cellStyle name="Normal 20 4 3 4 2 2" xfId="22288"/>
    <cellStyle name="Normal 20 4 3 4 2 2 2" xfId="22289"/>
    <cellStyle name="Normal 20 4 3 4 2 3" xfId="22290"/>
    <cellStyle name="Normal 20 4 3 4 3" xfId="22291"/>
    <cellStyle name="Normal 20 4 3 4 3 2" xfId="22292"/>
    <cellStyle name="Normal 20 4 3 4 4" xfId="22293"/>
    <cellStyle name="Normal 20 4 3 5" xfId="22294"/>
    <cellStyle name="Normal 20 4 3 5 2" xfId="22295"/>
    <cellStyle name="Normal 20 4 3 5 2 2" xfId="22296"/>
    <cellStyle name="Normal 20 4 3 5 2 2 2" xfId="22297"/>
    <cellStyle name="Normal 20 4 3 5 2 3" xfId="22298"/>
    <cellStyle name="Normal 20 4 3 5 3" xfId="22299"/>
    <cellStyle name="Normal 20 4 3 5 3 2" xfId="22300"/>
    <cellStyle name="Normal 20 4 3 5 4" xfId="22301"/>
    <cellStyle name="Normal 20 4 3 6" xfId="22302"/>
    <cellStyle name="Normal 20 4 3 6 2" xfId="22303"/>
    <cellStyle name="Normal 20 4 3 6 2 2" xfId="22304"/>
    <cellStyle name="Normal 20 4 3 6 2 2 2" xfId="22305"/>
    <cellStyle name="Normal 20 4 3 6 2 3" xfId="22306"/>
    <cellStyle name="Normal 20 4 3 6 3" xfId="22307"/>
    <cellStyle name="Normal 20 4 3 6 3 2" xfId="22308"/>
    <cellStyle name="Normal 20 4 3 6 4" xfId="22309"/>
    <cellStyle name="Normal 20 4 3 7" xfId="22310"/>
    <cellStyle name="Normal 20 4 3 7 2" xfId="22311"/>
    <cellStyle name="Normal 20 4 3 7 2 2" xfId="22312"/>
    <cellStyle name="Normal 20 4 3 7 3" xfId="22313"/>
    <cellStyle name="Normal 20 4 3 8" xfId="22314"/>
    <cellStyle name="Normal 20 4 3 8 2" xfId="22315"/>
    <cellStyle name="Normal 20 4 3 9" xfId="22316"/>
    <cellStyle name="Normal 20 4 4" xfId="22317"/>
    <cellStyle name="Normal 20 4 4 2" xfId="22318"/>
    <cellStyle name="Normal 20 4 4 2 2" xfId="22319"/>
    <cellStyle name="Normal 20 4 4 2 2 2" xfId="22320"/>
    <cellStyle name="Normal 20 4 4 2 2 2 2" xfId="22321"/>
    <cellStyle name="Normal 20 4 4 2 2 2 2 2" xfId="22322"/>
    <cellStyle name="Normal 20 4 4 2 2 2 3" xfId="22323"/>
    <cellStyle name="Normal 20 4 4 2 2 3" xfId="22324"/>
    <cellStyle name="Normal 20 4 4 2 2 3 2" xfId="22325"/>
    <cellStyle name="Normal 20 4 4 2 2 4" xfId="22326"/>
    <cellStyle name="Normal 20 4 4 2 3" xfId="22327"/>
    <cellStyle name="Normal 20 4 4 2 3 2" xfId="22328"/>
    <cellStyle name="Normal 20 4 4 2 3 2 2" xfId="22329"/>
    <cellStyle name="Normal 20 4 4 2 3 2 2 2" xfId="22330"/>
    <cellStyle name="Normal 20 4 4 2 3 2 3" xfId="22331"/>
    <cellStyle name="Normal 20 4 4 2 3 3" xfId="22332"/>
    <cellStyle name="Normal 20 4 4 2 3 3 2" xfId="22333"/>
    <cellStyle name="Normal 20 4 4 2 3 4" xfId="22334"/>
    <cellStyle name="Normal 20 4 4 2 4" xfId="22335"/>
    <cellStyle name="Normal 20 4 4 2 4 2" xfId="22336"/>
    <cellStyle name="Normal 20 4 4 2 4 2 2" xfId="22337"/>
    <cellStyle name="Normal 20 4 4 2 4 3" xfId="22338"/>
    <cellStyle name="Normal 20 4 4 2 5" xfId="22339"/>
    <cellStyle name="Normal 20 4 4 2 5 2" xfId="22340"/>
    <cellStyle name="Normal 20 4 4 2 6" xfId="22341"/>
    <cellStyle name="Normal 20 4 4 3" xfId="22342"/>
    <cellStyle name="Normal 20 4 4 3 2" xfId="22343"/>
    <cellStyle name="Normal 20 4 4 3 2 2" xfId="22344"/>
    <cellStyle name="Normal 20 4 4 3 2 2 2" xfId="22345"/>
    <cellStyle name="Normal 20 4 4 3 2 3" xfId="22346"/>
    <cellStyle name="Normal 20 4 4 3 3" xfId="22347"/>
    <cellStyle name="Normal 20 4 4 3 3 2" xfId="22348"/>
    <cellStyle name="Normal 20 4 4 3 4" xfId="22349"/>
    <cellStyle name="Normal 20 4 4 4" xfId="22350"/>
    <cellStyle name="Normal 20 4 4 4 2" xfId="22351"/>
    <cellStyle name="Normal 20 4 4 4 2 2" xfId="22352"/>
    <cellStyle name="Normal 20 4 4 4 2 2 2" xfId="22353"/>
    <cellStyle name="Normal 20 4 4 4 2 3" xfId="22354"/>
    <cellStyle name="Normal 20 4 4 4 3" xfId="22355"/>
    <cellStyle name="Normal 20 4 4 4 3 2" xfId="22356"/>
    <cellStyle name="Normal 20 4 4 4 4" xfId="22357"/>
    <cellStyle name="Normal 20 4 4 5" xfId="22358"/>
    <cellStyle name="Normal 20 4 4 5 2" xfId="22359"/>
    <cellStyle name="Normal 20 4 4 5 2 2" xfId="22360"/>
    <cellStyle name="Normal 20 4 4 5 3" xfId="22361"/>
    <cellStyle name="Normal 20 4 4 6" xfId="22362"/>
    <cellStyle name="Normal 20 4 4 6 2" xfId="22363"/>
    <cellStyle name="Normal 20 4 4 7" xfId="22364"/>
    <cellStyle name="Normal 20 4 5" xfId="22365"/>
    <cellStyle name="Normal 20 4 5 2" xfId="22366"/>
    <cellStyle name="Normal 20 4 5 2 2" xfId="22367"/>
    <cellStyle name="Normal 20 4 5 2 2 2" xfId="22368"/>
    <cellStyle name="Normal 20 4 5 2 2 2 2" xfId="22369"/>
    <cellStyle name="Normal 20 4 5 2 2 3" xfId="22370"/>
    <cellStyle name="Normal 20 4 5 2 3" xfId="22371"/>
    <cellStyle name="Normal 20 4 5 2 3 2" xfId="22372"/>
    <cellStyle name="Normal 20 4 5 2 4" xfId="22373"/>
    <cellStyle name="Normal 20 4 5 3" xfId="22374"/>
    <cellStyle name="Normal 20 4 5 3 2" xfId="22375"/>
    <cellStyle name="Normal 20 4 5 3 2 2" xfId="22376"/>
    <cellStyle name="Normal 20 4 5 3 2 2 2" xfId="22377"/>
    <cellStyle name="Normal 20 4 5 3 2 3" xfId="22378"/>
    <cellStyle name="Normal 20 4 5 3 3" xfId="22379"/>
    <cellStyle name="Normal 20 4 5 3 3 2" xfId="22380"/>
    <cellStyle name="Normal 20 4 5 3 4" xfId="22381"/>
    <cellStyle name="Normal 20 4 5 4" xfId="22382"/>
    <cellStyle name="Normal 20 4 5 4 2" xfId="22383"/>
    <cellStyle name="Normal 20 4 5 4 2 2" xfId="22384"/>
    <cellStyle name="Normal 20 4 5 4 3" xfId="22385"/>
    <cellStyle name="Normal 20 4 5 5" xfId="22386"/>
    <cellStyle name="Normal 20 4 5 5 2" xfId="22387"/>
    <cellStyle name="Normal 20 4 5 6" xfId="22388"/>
    <cellStyle name="Normal 20 4 6" xfId="22389"/>
    <cellStyle name="Normal 20 4 6 2" xfId="22390"/>
    <cellStyle name="Normal 20 4 6 2 2" xfId="22391"/>
    <cellStyle name="Normal 20 4 6 2 2 2" xfId="22392"/>
    <cellStyle name="Normal 20 4 6 2 3" xfId="22393"/>
    <cellStyle name="Normal 20 4 6 3" xfId="22394"/>
    <cellStyle name="Normal 20 4 6 3 2" xfId="22395"/>
    <cellStyle name="Normal 20 4 6 4" xfId="22396"/>
    <cellStyle name="Normal 20 4 7" xfId="22397"/>
    <cellStyle name="Normal 20 4 7 2" xfId="22398"/>
    <cellStyle name="Normal 20 4 7 2 2" xfId="22399"/>
    <cellStyle name="Normal 20 4 7 2 2 2" xfId="22400"/>
    <cellStyle name="Normal 20 4 7 2 3" xfId="22401"/>
    <cellStyle name="Normal 20 4 7 3" xfId="22402"/>
    <cellStyle name="Normal 20 4 7 3 2" xfId="22403"/>
    <cellStyle name="Normal 20 4 7 4" xfId="22404"/>
    <cellStyle name="Normal 20 4 8" xfId="22405"/>
    <cellStyle name="Normal 20 4 8 2" xfId="22406"/>
    <cellStyle name="Normal 20 4 8 2 2" xfId="22407"/>
    <cellStyle name="Normal 20 4 8 2 2 2" xfId="22408"/>
    <cellStyle name="Normal 20 4 8 2 3" xfId="22409"/>
    <cellStyle name="Normal 20 4 8 3" xfId="22410"/>
    <cellStyle name="Normal 20 4 8 3 2" xfId="22411"/>
    <cellStyle name="Normal 20 4 8 4" xfId="22412"/>
    <cellStyle name="Normal 20 4 9" xfId="22413"/>
    <cellStyle name="Normal 20 4 9 2" xfId="22414"/>
    <cellStyle name="Normal 20 4 9 2 2" xfId="22415"/>
    <cellStyle name="Normal 20 4 9 3" xfId="22416"/>
    <cellStyle name="Normal 20 5" xfId="22417"/>
    <cellStyle name="Normal 20 5 10" xfId="22418"/>
    <cellStyle name="Normal 20 5 2" xfId="22419"/>
    <cellStyle name="Normal 20 5 2 2" xfId="22420"/>
    <cellStyle name="Normal 20 5 2 2 2" xfId="22421"/>
    <cellStyle name="Normal 20 5 2 2 2 2" xfId="22422"/>
    <cellStyle name="Normal 20 5 2 2 2 2 2" xfId="22423"/>
    <cellStyle name="Normal 20 5 2 2 2 2 2 2" xfId="22424"/>
    <cellStyle name="Normal 20 5 2 2 2 2 2 2 2" xfId="22425"/>
    <cellStyle name="Normal 20 5 2 2 2 2 2 3" xfId="22426"/>
    <cellStyle name="Normal 20 5 2 2 2 2 3" xfId="22427"/>
    <cellStyle name="Normal 20 5 2 2 2 2 3 2" xfId="22428"/>
    <cellStyle name="Normal 20 5 2 2 2 2 4" xfId="22429"/>
    <cellStyle name="Normal 20 5 2 2 2 3" xfId="22430"/>
    <cellStyle name="Normal 20 5 2 2 2 3 2" xfId="22431"/>
    <cellStyle name="Normal 20 5 2 2 2 3 2 2" xfId="22432"/>
    <cellStyle name="Normal 20 5 2 2 2 3 2 2 2" xfId="22433"/>
    <cellStyle name="Normal 20 5 2 2 2 3 2 3" xfId="22434"/>
    <cellStyle name="Normal 20 5 2 2 2 3 3" xfId="22435"/>
    <cellStyle name="Normal 20 5 2 2 2 3 3 2" xfId="22436"/>
    <cellStyle name="Normal 20 5 2 2 2 3 4" xfId="22437"/>
    <cellStyle name="Normal 20 5 2 2 2 4" xfId="22438"/>
    <cellStyle name="Normal 20 5 2 2 2 4 2" xfId="22439"/>
    <cellStyle name="Normal 20 5 2 2 2 4 2 2" xfId="22440"/>
    <cellStyle name="Normal 20 5 2 2 2 4 3" xfId="22441"/>
    <cellStyle name="Normal 20 5 2 2 2 5" xfId="22442"/>
    <cellStyle name="Normal 20 5 2 2 2 5 2" xfId="22443"/>
    <cellStyle name="Normal 20 5 2 2 2 6" xfId="22444"/>
    <cellStyle name="Normal 20 5 2 2 3" xfId="22445"/>
    <cellStyle name="Normal 20 5 2 2 3 2" xfId="22446"/>
    <cellStyle name="Normal 20 5 2 2 3 2 2" xfId="22447"/>
    <cellStyle name="Normal 20 5 2 2 3 2 2 2" xfId="22448"/>
    <cellStyle name="Normal 20 5 2 2 3 2 3" xfId="22449"/>
    <cellStyle name="Normal 20 5 2 2 3 3" xfId="22450"/>
    <cellStyle name="Normal 20 5 2 2 3 3 2" xfId="22451"/>
    <cellStyle name="Normal 20 5 2 2 3 4" xfId="22452"/>
    <cellStyle name="Normal 20 5 2 2 4" xfId="22453"/>
    <cellStyle name="Normal 20 5 2 2 4 2" xfId="22454"/>
    <cellStyle name="Normal 20 5 2 2 4 2 2" xfId="22455"/>
    <cellStyle name="Normal 20 5 2 2 4 2 2 2" xfId="22456"/>
    <cellStyle name="Normal 20 5 2 2 4 2 3" xfId="22457"/>
    <cellStyle name="Normal 20 5 2 2 4 3" xfId="22458"/>
    <cellStyle name="Normal 20 5 2 2 4 3 2" xfId="22459"/>
    <cellStyle name="Normal 20 5 2 2 4 4" xfId="22460"/>
    <cellStyle name="Normal 20 5 2 2 5" xfId="22461"/>
    <cellStyle name="Normal 20 5 2 2 5 2" xfId="22462"/>
    <cellStyle name="Normal 20 5 2 2 5 2 2" xfId="22463"/>
    <cellStyle name="Normal 20 5 2 2 5 3" xfId="22464"/>
    <cellStyle name="Normal 20 5 2 2 6" xfId="22465"/>
    <cellStyle name="Normal 20 5 2 2 6 2" xfId="22466"/>
    <cellStyle name="Normal 20 5 2 2 7" xfId="22467"/>
    <cellStyle name="Normal 20 5 2 3" xfId="22468"/>
    <cellStyle name="Normal 20 5 2 3 2" xfId="22469"/>
    <cellStyle name="Normal 20 5 2 3 2 2" xfId="22470"/>
    <cellStyle name="Normal 20 5 2 3 2 2 2" xfId="22471"/>
    <cellStyle name="Normal 20 5 2 3 2 2 2 2" xfId="22472"/>
    <cellStyle name="Normal 20 5 2 3 2 2 3" xfId="22473"/>
    <cellStyle name="Normal 20 5 2 3 2 3" xfId="22474"/>
    <cellStyle name="Normal 20 5 2 3 2 3 2" xfId="22475"/>
    <cellStyle name="Normal 20 5 2 3 2 4" xfId="22476"/>
    <cellStyle name="Normal 20 5 2 3 3" xfId="22477"/>
    <cellStyle name="Normal 20 5 2 3 3 2" xfId="22478"/>
    <cellStyle name="Normal 20 5 2 3 3 2 2" xfId="22479"/>
    <cellStyle name="Normal 20 5 2 3 3 2 2 2" xfId="22480"/>
    <cellStyle name="Normal 20 5 2 3 3 2 3" xfId="22481"/>
    <cellStyle name="Normal 20 5 2 3 3 3" xfId="22482"/>
    <cellStyle name="Normal 20 5 2 3 3 3 2" xfId="22483"/>
    <cellStyle name="Normal 20 5 2 3 3 4" xfId="22484"/>
    <cellStyle name="Normal 20 5 2 3 4" xfId="22485"/>
    <cellStyle name="Normal 20 5 2 3 4 2" xfId="22486"/>
    <cellStyle name="Normal 20 5 2 3 4 2 2" xfId="22487"/>
    <cellStyle name="Normal 20 5 2 3 4 3" xfId="22488"/>
    <cellStyle name="Normal 20 5 2 3 5" xfId="22489"/>
    <cellStyle name="Normal 20 5 2 3 5 2" xfId="22490"/>
    <cellStyle name="Normal 20 5 2 3 6" xfId="22491"/>
    <cellStyle name="Normal 20 5 2 4" xfId="22492"/>
    <cellStyle name="Normal 20 5 2 4 2" xfId="22493"/>
    <cellStyle name="Normal 20 5 2 4 2 2" xfId="22494"/>
    <cellStyle name="Normal 20 5 2 4 2 2 2" xfId="22495"/>
    <cellStyle name="Normal 20 5 2 4 2 3" xfId="22496"/>
    <cellStyle name="Normal 20 5 2 4 3" xfId="22497"/>
    <cellStyle name="Normal 20 5 2 4 3 2" xfId="22498"/>
    <cellStyle name="Normal 20 5 2 4 4" xfId="22499"/>
    <cellStyle name="Normal 20 5 2 5" xfId="22500"/>
    <cellStyle name="Normal 20 5 2 5 2" xfId="22501"/>
    <cellStyle name="Normal 20 5 2 5 2 2" xfId="22502"/>
    <cellStyle name="Normal 20 5 2 5 2 2 2" xfId="22503"/>
    <cellStyle name="Normal 20 5 2 5 2 3" xfId="22504"/>
    <cellStyle name="Normal 20 5 2 5 3" xfId="22505"/>
    <cellStyle name="Normal 20 5 2 5 3 2" xfId="22506"/>
    <cellStyle name="Normal 20 5 2 5 4" xfId="22507"/>
    <cellStyle name="Normal 20 5 2 6" xfId="22508"/>
    <cellStyle name="Normal 20 5 2 6 2" xfId="22509"/>
    <cellStyle name="Normal 20 5 2 6 2 2" xfId="22510"/>
    <cellStyle name="Normal 20 5 2 6 2 2 2" xfId="22511"/>
    <cellStyle name="Normal 20 5 2 6 2 3" xfId="22512"/>
    <cellStyle name="Normal 20 5 2 6 3" xfId="22513"/>
    <cellStyle name="Normal 20 5 2 6 3 2" xfId="22514"/>
    <cellStyle name="Normal 20 5 2 6 4" xfId="22515"/>
    <cellStyle name="Normal 20 5 2 7" xfId="22516"/>
    <cellStyle name="Normal 20 5 2 7 2" xfId="22517"/>
    <cellStyle name="Normal 20 5 2 7 2 2" xfId="22518"/>
    <cellStyle name="Normal 20 5 2 7 3" xfId="22519"/>
    <cellStyle name="Normal 20 5 2 8" xfId="22520"/>
    <cellStyle name="Normal 20 5 2 8 2" xfId="22521"/>
    <cellStyle name="Normal 20 5 2 9" xfId="22522"/>
    <cellStyle name="Normal 20 5 3" xfId="22523"/>
    <cellStyle name="Normal 20 5 3 2" xfId="22524"/>
    <cellStyle name="Normal 20 5 3 2 2" xfId="22525"/>
    <cellStyle name="Normal 20 5 3 2 2 2" xfId="22526"/>
    <cellStyle name="Normal 20 5 3 2 2 2 2" xfId="22527"/>
    <cellStyle name="Normal 20 5 3 2 2 2 2 2" xfId="22528"/>
    <cellStyle name="Normal 20 5 3 2 2 2 3" xfId="22529"/>
    <cellStyle name="Normal 20 5 3 2 2 3" xfId="22530"/>
    <cellStyle name="Normal 20 5 3 2 2 3 2" xfId="22531"/>
    <cellStyle name="Normal 20 5 3 2 2 4" xfId="22532"/>
    <cellStyle name="Normal 20 5 3 2 3" xfId="22533"/>
    <cellStyle name="Normal 20 5 3 2 3 2" xfId="22534"/>
    <cellStyle name="Normal 20 5 3 2 3 2 2" xfId="22535"/>
    <cellStyle name="Normal 20 5 3 2 3 2 2 2" xfId="22536"/>
    <cellStyle name="Normal 20 5 3 2 3 2 3" xfId="22537"/>
    <cellStyle name="Normal 20 5 3 2 3 3" xfId="22538"/>
    <cellStyle name="Normal 20 5 3 2 3 3 2" xfId="22539"/>
    <cellStyle name="Normal 20 5 3 2 3 4" xfId="22540"/>
    <cellStyle name="Normal 20 5 3 2 4" xfId="22541"/>
    <cellStyle name="Normal 20 5 3 2 4 2" xfId="22542"/>
    <cellStyle name="Normal 20 5 3 2 4 2 2" xfId="22543"/>
    <cellStyle name="Normal 20 5 3 2 4 3" xfId="22544"/>
    <cellStyle name="Normal 20 5 3 2 5" xfId="22545"/>
    <cellStyle name="Normal 20 5 3 2 5 2" xfId="22546"/>
    <cellStyle name="Normal 20 5 3 2 6" xfId="22547"/>
    <cellStyle name="Normal 20 5 3 3" xfId="22548"/>
    <cellStyle name="Normal 20 5 3 3 2" xfId="22549"/>
    <cellStyle name="Normal 20 5 3 3 2 2" xfId="22550"/>
    <cellStyle name="Normal 20 5 3 3 2 2 2" xfId="22551"/>
    <cellStyle name="Normal 20 5 3 3 2 3" xfId="22552"/>
    <cellStyle name="Normal 20 5 3 3 3" xfId="22553"/>
    <cellStyle name="Normal 20 5 3 3 3 2" xfId="22554"/>
    <cellStyle name="Normal 20 5 3 3 4" xfId="22555"/>
    <cellStyle name="Normal 20 5 3 4" xfId="22556"/>
    <cellStyle name="Normal 20 5 3 4 2" xfId="22557"/>
    <cellStyle name="Normal 20 5 3 4 2 2" xfId="22558"/>
    <cellStyle name="Normal 20 5 3 4 2 2 2" xfId="22559"/>
    <cellStyle name="Normal 20 5 3 4 2 3" xfId="22560"/>
    <cellStyle name="Normal 20 5 3 4 3" xfId="22561"/>
    <cellStyle name="Normal 20 5 3 4 3 2" xfId="22562"/>
    <cellStyle name="Normal 20 5 3 4 4" xfId="22563"/>
    <cellStyle name="Normal 20 5 3 5" xfId="22564"/>
    <cellStyle name="Normal 20 5 3 5 2" xfId="22565"/>
    <cellStyle name="Normal 20 5 3 5 2 2" xfId="22566"/>
    <cellStyle name="Normal 20 5 3 5 3" xfId="22567"/>
    <cellStyle name="Normal 20 5 3 6" xfId="22568"/>
    <cellStyle name="Normal 20 5 3 6 2" xfId="22569"/>
    <cellStyle name="Normal 20 5 3 7" xfId="22570"/>
    <cellStyle name="Normal 20 5 4" xfId="22571"/>
    <cellStyle name="Normal 20 5 4 2" xfId="22572"/>
    <cellStyle name="Normal 20 5 4 2 2" xfId="22573"/>
    <cellStyle name="Normal 20 5 4 2 2 2" xfId="22574"/>
    <cellStyle name="Normal 20 5 4 2 2 2 2" xfId="22575"/>
    <cellStyle name="Normal 20 5 4 2 2 3" xfId="22576"/>
    <cellStyle name="Normal 20 5 4 2 3" xfId="22577"/>
    <cellStyle name="Normal 20 5 4 2 3 2" xfId="22578"/>
    <cellStyle name="Normal 20 5 4 2 4" xfId="22579"/>
    <cellStyle name="Normal 20 5 4 3" xfId="22580"/>
    <cellStyle name="Normal 20 5 4 3 2" xfId="22581"/>
    <cellStyle name="Normal 20 5 4 3 2 2" xfId="22582"/>
    <cellStyle name="Normal 20 5 4 3 2 2 2" xfId="22583"/>
    <cellStyle name="Normal 20 5 4 3 2 3" xfId="22584"/>
    <cellStyle name="Normal 20 5 4 3 3" xfId="22585"/>
    <cellStyle name="Normal 20 5 4 3 3 2" xfId="22586"/>
    <cellStyle name="Normal 20 5 4 3 4" xfId="22587"/>
    <cellStyle name="Normal 20 5 4 4" xfId="22588"/>
    <cellStyle name="Normal 20 5 4 4 2" xfId="22589"/>
    <cellStyle name="Normal 20 5 4 4 2 2" xfId="22590"/>
    <cellStyle name="Normal 20 5 4 4 3" xfId="22591"/>
    <cellStyle name="Normal 20 5 4 5" xfId="22592"/>
    <cellStyle name="Normal 20 5 4 5 2" xfId="22593"/>
    <cellStyle name="Normal 20 5 4 6" xfId="22594"/>
    <cellStyle name="Normal 20 5 5" xfId="22595"/>
    <cellStyle name="Normal 20 5 5 2" xfId="22596"/>
    <cellStyle name="Normal 20 5 5 2 2" xfId="22597"/>
    <cellStyle name="Normal 20 5 5 2 2 2" xfId="22598"/>
    <cellStyle name="Normal 20 5 5 2 3" xfId="22599"/>
    <cellStyle name="Normal 20 5 5 3" xfId="22600"/>
    <cellStyle name="Normal 20 5 5 3 2" xfId="22601"/>
    <cellStyle name="Normal 20 5 5 4" xfId="22602"/>
    <cellStyle name="Normal 20 5 6" xfId="22603"/>
    <cellStyle name="Normal 20 5 6 2" xfId="22604"/>
    <cellStyle name="Normal 20 5 6 2 2" xfId="22605"/>
    <cellStyle name="Normal 20 5 6 2 2 2" xfId="22606"/>
    <cellStyle name="Normal 20 5 6 2 3" xfId="22607"/>
    <cellStyle name="Normal 20 5 6 3" xfId="22608"/>
    <cellStyle name="Normal 20 5 6 3 2" xfId="22609"/>
    <cellStyle name="Normal 20 5 6 4" xfId="22610"/>
    <cellStyle name="Normal 20 5 7" xfId="22611"/>
    <cellStyle name="Normal 20 5 7 2" xfId="22612"/>
    <cellStyle name="Normal 20 5 7 2 2" xfId="22613"/>
    <cellStyle name="Normal 20 5 7 2 2 2" xfId="22614"/>
    <cellStyle name="Normal 20 5 7 2 3" xfId="22615"/>
    <cellStyle name="Normal 20 5 7 3" xfId="22616"/>
    <cellStyle name="Normal 20 5 7 3 2" xfId="22617"/>
    <cellStyle name="Normal 20 5 7 4" xfId="22618"/>
    <cellStyle name="Normal 20 5 8" xfId="22619"/>
    <cellStyle name="Normal 20 5 8 2" xfId="22620"/>
    <cellStyle name="Normal 20 5 8 2 2" xfId="22621"/>
    <cellStyle name="Normal 20 5 8 3" xfId="22622"/>
    <cellStyle name="Normal 20 5 9" xfId="22623"/>
    <cellStyle name="Normal 20 5 9 2" xfId="22624"/>
    <cellStyle name="Normal 20 6" xfId="22625"/>
    <cellStyle name="Normal 20 6 10" xfId="22626"/>
    <cellStyle name="Normal 20 6 2" xfId="22627"/>
    <cellStyle name="Normal 20 6 2 2" xfId="22628"/>
    <cellStyle name="Normal 20 6 2 2 2" xfId="22629"/>
    <cellStyle name="Normal 20 6 2 2 2 2" xfId="22630"/>
    <cellStyle name="Normal 20 6 2 2 2 2 2" xfId="22631"/>
    <cellStyle name="Normal 20 6 2 2 2 2 2 2" xfId="22632"/>
    <cellStyle name="Normal 20 6 2 2 2 2 2 2 2" xfId="22633"/>
    <cellStyle name="Normal 20 6 2 2 2 2 2 3" xfId="22634"/>
    <cellStyle name="Normal 20 6 2 2 2 2 3" xfId="22635"/>
    <cellStyle name="Normal 20 6 2 2 2 2 3 2" xfId="22636"/>
    <cellStyle name="Normal 20 6 2 2 2 2 4" xfId="22637"/>
    <cellStyle name="Normal 20 6 2 2 2 3" xfId="22638"/>
    <cellStyle name="Normal 20 6 2 2 2 3 2" xfId="22639"/>
    <cellStyle name="Normal 20 6 2 2 2 3 2 2" xfId="22640"/>
    <cellStyle name="Normal 20 6 2 2 2 3 2 2 2" xfId="22641"/>
    <cellStyle name="Normal 20 6 2 2 2 3 2 3" xfId="22642"/>
    <cellStyle name="Normal 20 6 2 2 2 3 3" xfId="22643"/>
    <cellStyle name="Normal 20 6 2 2 2 3 3 2" xfId="22644"/>
    <cellStyle name="Normal 20 6 2 2 2 3 4" xfId="22645"/>
    <cellStyle name="Normal 20 6 2 2 2 4" xfId="22646"/>
    <cellStyle name="Normal 20 6 2 2 2 4 2" xfId="22647"/>
    <cellStyle name="Normal 20 6 2 2 2 4 2 2" xfId="22648"/>
    <cellStyle name="Normal 20 6 2 2 2 4 3" xfId="22649"/>
    <cellStyle name="Normal 20 6 2 2 2 5" xfId="22650"/>
    <cellStyle name="Normal 20 6 2 2 2 5 2" xfId="22651"/>
    <cellStyle name="Normal 20 6 2 2 2 6" xfId="22652"/>
    <cellStyle name="Normal 20 6 2 2 3" xfId="22653"/>
    <cellStyle name="Normal 20 6 2 2 3 2" xfId="22654"/>
    <cellStyle name="Normal 20 6 2 2 3 2 2" xfId="22655"/>
    <cellStyle name="Normal 20 6 2 2 3 2 2 2" xfId="22656"/>
    <cellStyle name="Normal 20 6 2 2 3 2 3" xfId="22657"/>
    <cellStyle name="Normal 20 6 2 2 3 3" xfId="22658"/>
    <cellStyle name="Normal 20 6 2 2 3 3 2" xfId="22659"/>
    <cellStyle name="Normal 20 6 2 2 3 4" xfId="22660"/>
    <cellStyle name="Normal 20 6 2 2 4" xfId="22661"/>
    <cellStyle name="Normal 20 6 2 2 4 2" xfId="22662"/>
    <cellStyle name="Normal 20 6 2 2 4 2 2" xfId="22663"/>
    <cellStyle name="Normal 20 6 2 2 4 2 2 2" xfId="22664"/>
    <cellStyle name="Normal 20 6 2 2 4 2 3" xfId="22665"/>
    <cellStyle name="Normal 20 6 2 2 4 3" xfId="22666"/>
    <cellStyle name="Normal 20 6 2 2 4 3 2" xfId="22667"/>
    <cellStyle name="Normal 20 6 2 2 4 4" xfId="22668"/>
    <cellStyle name="Normal 20 6 2 2 5" xfId="22669"/>
    <cellStyle name="Normal 20 6 2 2 5 2" xfId="22670"/>
    <cellStyle name="Normal 20 6 2 2 5 2 2" xfId="22671"/>
    <cellStyle name="Normal 20 6 2 2 5 3" xfId="22672"/>
    <cellStyle name="Normal 20 6 2 2 6" xfId="22673"/>
    <cellStyle name="Normal 20 6 2 2 6 2" xfId="22674"/>
    <cellStyle name="Normal 20 6 2 2 7" xfId="22675"/>
    <cellStyle name="Normal 20 6 2 3" xfId="22676"/>
    <cellStyle name="Normal 20 6 2 3 2" xfId="22677"/>
    <cellStyle name="Normal 20 6 2 3 2 2" xfId="22678"/>
    <cellStyle name="Normal 20 6 2 3 2 2 2" xfId="22679"/>
    <cellStyle name="Normal 20 6 2 3 2 2 2 2" xfId="22680"/>
    <cellStyle name="Normal 20 6 2 3 2 2 3" xfId="22681"/>
    <cellStyle name="Normal 20 6 2 3 2 3" xfId="22682"/>
    <cellStyle name="Normal 20 6 2 3 2 3 2" xfId="22683"/>
    <cellStyle name="Normal 20 6 2 3 2 4" xfId="22684"/>
    <cellStyle name="Normal 20 6 2 3 3" xfId="22685"/>
    <cellStyle name="Normal 20 6 2 3 3 2" xfId="22686"/>
    <cellStyle name="Normal 20 6 2 3 3 2 2" xfId="22687"/>
    <cellStyle name="Normal 20 6 2 3 3 2 2 2" xfId="22688"/>
    <cellStyle name="Normal 20 6 2 3 3 2 3" xfId="22689"/>
    <cellStyle name="Normal 20 6 2 3 3 3" xfId="22690"/>
    <cellStyle name="Normal 20 6 2 3 3 3 2" xfId="22691"/>
    <cellStyle name="Normal 20 6 2 3 3 4" xfId="22692"/>
    <cellStyle name="Normal 20 6 2 3 4" xfId="22693"/>
    <cellStyle name="Normal 20 6 2 3 4 2" xfId="22694"/>
    <cellStyle name="Normal 20 6 2 3 4 2 2" xfId="22695"/>
    <cellStyle name="Normal 20 6 2 3 4 3" xfId="22696"/>
    <cellStyle name="Normal 20 6 2 3 5" xfId="22697"/>
    <cellStyle name="Normal 20 6 2 3 5 2" xfId="22698"/>
    <cellStyle name="Normal 20 6 2 3 6" xfId="22699"/>
    <cellStyle name="Normal 20 6 2 4" xfId="22700"/>
    <cellStyle name="Normal 20 6 2 4 2" xfId="22701"/>
    <cellStyle name="Normal 20 6 2 4 2 2" xfId="22702"/>
    <cellStyle name="Normal 20 6 2 4 2 2 2" xfId="22703"/>
    <cellStyle name="Normal 20 6 2 4 2 3" xfId="22704"/>
    <cellStyle name="Normal 20 6 2 4 3" xfId="22705"/>
    <cellStyle name="Normal 20 6 2 4 3 2" xfId="22706"/>
    <cellStyle name="Normal 20 6 2 4 4" xfId="22707"/>
    <cellStyle name="Normal 20 6 2 5" xfId="22708"/>
    <cellStyle name="Normal 20 6 2 5 2" xfId="22709"/>
    <cellStyle name="Normal 20 6 2 5 2 2" xfId="22710"/>
    <cellStyle name="Normal 20 6 2 5 2 2 2" xfId="22711"/>
    <cellStyle name="Normal 20 6 2 5 2 3" xfId="22712"/>
    <cellStyle name="Normal 20 6 2 5 3" xfId="22713"/>
    <cellStyle name="Normal 20 6 2 5 3 2" xfId="22714"/>
    <cellStyle name="Normal 20 6 2 5 4" xfId="22715"/>
    <cellStyle name="Normal 20 6 2 6" xfId="22716"/>
    <cellStyle name="Normal 20 6 2 6 2" xfId="22717"/>
    <cellStyle name="Normal 20 6 2 6 2 2" xfId="22718"/>
    <cellStyle name="Normal 20 6 2 6 2 2 2" xfId="22719"/>
    <cellStyle name="Normal 20 6 2 6 2 3" xfId="22720"/>
    <cellStyle name="Normal 20 6 2 6 3" xfId="22721"/>
    <cellStyle name="Normal 20 6 2 6 3 2" xfId="22722"/>
    <cellStyle name="Normal 20 6 2 6 4" xfId="22723"/>
    <cellStyle name="Normal 20 6 2 7" xfId="22724"/>
    <cellStyle name="Normal 20 6 2 7 2" xfId="22725"/>
    <cellStyle name="Normal 20 6 2 7 2 2" xfId="22726"/>
    <cellStyle name="Normal 20 6 2 7 3" xfId="22727"/>
    <cellStyle name="Normal 20 6 2 8" xfId="22728"/>
    <cellStyle name="Normal 20 6 2 8 2" xfId="22729"/>
    <cellStyle name="Normal 20 6 2 9" xfId="22730"/>
    <cellStyle name="Normal 20 6 3" xfId="22731"/>
    <cellStyle name="Normal 20 6 3 2" xfId="22732"/>
    <cellStyle name="Normal 20 6 3 2 2" xfId="22733"/>
    <cellStyle name="Normal 20 6 3 2 2 2" xfId="22734"/>
    <cellStyle name="Normal 20 6 3 2 2 2 2" xfId="22735"/>
    <cellStyle name="Normal 20 6 3 2 2 2 2 2" xfId="22736"/>
    <cellStyle name="Normal 20 6 3 2 2 2 3" xfId="22737"/>
    <cellStyle name="Normal 20 6 3 2 2 3" xfId="22738"/>
    <cellStyle name="Normal 20 6 3 2 2 3 2" xfId="22739"/>
    <cellStyle name="Normal 20 6 3 2 2 4" xfId="22740"/>
    <cellStyle name="Normal 20 6 3 2 3" xfId="22741"/>
    <cellStyle name="Normal 20 6 3 2 3 2" xfId="22742"/>
    <cellStyle name="Normal 20 6 3 2 3 2 2" xfId="22743"/>
    <cellStyle name="Normal 20 6 3 2 3 2 2 2" xfId="22744"/>
    <cellStyle name="Normal 20 6 3 2 3 2 3" xfId="22745"/>
    <cellStyle name="Normal 20 6 3 2 3 3" xfId="22746"/>
    <cellStyle name="Normal 20 6 3 2 3 3 2" xfId="22747"/>
    <cellStyle name="Normal 20 6 3 2 3 4" xfId="22748"/>
    <cellStyle name="Normal 20 6 3 2 4" xfId="22749"/>
    <cellStyle name="Normal 20 6 3 2 4 2" xfId="22750"/>
    <cellStyle name="Normal 20 6 3 2 4 2 2" xfId="22751"/>
    <cellStyle name="Normal 20 6 3 2 4 3" xfId="22752"/>
    <cellStyle name="Normal 20 6 3 2 5" xfId="22753"/>
    <cellStyle name="Normal 20 6 3 2 5 2" xfId="22754"/>
    <cellStyle name="Normal 20 6 3 2 6" xfId="22755"/>
    <cellStyle name="Normal 20 6 3 3" xfId="22756"/>
    <cellStyle name="Normal 20 6 3 3 2" xfId="22757"/>
    <cellStyle name="Normal 20 6 3 3 2 2" xfId="22758"/>
    <cellStyle name="Normal 20 6 3 3 2 2 2" xfId="22759"/>
    <cellStyle name="Normal 20 6 3 3 2 3" xfId="22760"/>
    <cellStyle name="Normal 20 6 3 3 3" xfId="22761"/>
    <cellStyle name="Normal 20 6 3 3 3 2" xfId="22762"/>
    <cellStyle name="Normal 20 6 3 3 4" xfId="22763"/>
    <cellStyle name="Normal 20 6 3 4" xfId="22764"/>
    <cellStyle name="Normal 20 6 3 4 2" xfId="22765"/>
    <cellStyle name="Normal 20 6 3 4 2 2" xfId="22766"/>
    <cellStyle name="Normal 20 6 3 4 2 2 2" xfId="22767"/>
    <cellStyle name="Normal 20 6 3 4 2 3" xfId="22768"/>
    <cellStyle name="Normal 20 6 3 4 3" xfId="22769"/>
    <cellStyle name="Normal 20 6 3 4 3 2" xfId="22770"/>
    <cellStyle name="Normal 20 6 3 4 4" xfId="22771"/>
    <cellStyle name="Normal 20 6 3 5" xfId="22772"/>
    <cellStyle name="Normal 20 6 3 5 2" xfId="22773"/>
    <cellStyle name="Normal 20 6 3 5 2 2" xfId="22774"/>
    <cellStyle name="Normal 20 6 3 5 3" xfId="22775"/>
    <cellStyle name="Normal 20 6 3 6" xfId="22776"/>
    <cellStyle name="Normal 20 6 3 6 2" xfId="22777"/>
    <cellStyle name="Normal 20 6 3 7" xfId="22778"/>
    <cellStyle name="Normal 20 6 4" xfId="22779"/>
    <cellStyle name="Normal 20 6 4 2" xfId="22780"/>
    <cellStyle name="Normal 20 6 4 2 2" xfId="22781"/>
    <cellStyle name="Normal 20 6 4 2 2 2" xfId="22782"/>
    <cellStyle name="Normal 20 6 4 2 2 2 2" xfId="22783"/>
    <cellStyle name="Normal 20 6 4 2 2 3" xfId="22784"/>
    <cellStyle name="Normal 20 6 4 2 3" xfId="22785"/>
    <cellStyle name="Normal 20 6 4 2 3 2" xfId="22786"/>
    <cellStyle name="Normal 20 6 4 2 4" xfId="22787"/>
    <cellStyle name="Normal 20 6 4 3" xfId="22788"/>
    <cellStyle name="Normal 20 6 4 3 2" xfId="22789"/>
    <cellStyle name="Normal 20 6 4 3 2 2" xfId="22790"/>
    <cellStyle name="Normal 20 6 4 3 2 2 2" xfId="22791"/>
    <cellStyle name="Normal 20 6 4 3 2 3" xfId="22792"/>
    <cellStyle name="Normal 20 6 4 3 3" xfId="22793"/>
    <cellStyle name="Normal 20 6 4 3 3 2" xfId="22794"/>
    <cellStyle name="Normal 20 6 4 3 4" xfId="22795"/>
    <cellStyle name="Normal 20 6 4 4" xfId="22796"/>
    <cellStyle name="Normal 20 6 4 4 2" xfId="22797"/>
    <cellStyle name="Normal 20 6 4 4 2 2" xfId="22798"/>
    <cellStyle name="Normal 20 6 4 4 3" xfId="22799"/>
    <cellStyle name="Normal 20 6 4 5" xfId="22800"/>
    <cellStyle name="Normal 20 6 4 5 2" xfId="22801"/>
    <cellStyle name="Normal 20 6 4 6" xfId="22802"/>
    <cellStyle name="Normal 20 6 5" xfId="22803"/>
    <cellStyle name="Normal 20 6 5 2" xfId="22804"/>
    <cellStyle name="Normal 20 6 5 2 2" xfId="22805"/>
    <cellStyle name="Normal 20 6 5 2 2 2" xfId="22806"/>
    <cellStyle name="Normal 20 6 5 2 3" xfId="22807"/>
    <cellStyle name="Normal 20 6 5 3" xfId="22808"/>
    <cellStyle name="Normal 20 6 5 3 2" xfId="22809"/>
    <cellStyle name="Normal 20 6 5 4" xfId="22810"/>
    <cellStyle name="Normal 20 6 6" xfId="22811"/>
    <cellStyle name="Normal 20 6 6 2" xfId="22812"/>
    <cellStyle name="Normal 20 6 6 2 2" xfId="22813"/>
    <cellStyle name="Normal 20 6 6 2 2 2" xfId="22814"/>
    <cellStyle name="Normal 20 6 6 2 3" xfId="22815"/>
    <cellStyle name="Normal 20 6 6 3" xfId="22816"/>
    <cellStyle name="Normal 20 6 6 3 2" xfId="22817"/>
    <cellStyle name="Normal 20 6 6 4" xfId="22818"/>
    <cellStyle name="Normal 20 6 7" xfId="22819"/>
    <cellStyle name="Normal 20 6 7 2" xfId="22820"/>
    <cellStyle name="Normal 20 6 7 2 2" xfId="22821"/>
    <cellStyle name="Normal 20 6 7 2 2 2" xfId="22822"/>
    <cellStyle name="Normal 20 6 7 2 3" xfId="22823"/>
    <cellStyle name="Normal 20 6 7 3" xfId="22824"/>
    <cellStyle name="Normal 20 6 7 3 2" xfId="22825"/>
    <cellStyle name="Normal 20 6 7 4" xfId="22826"/>
    <cellStyle name="Normal 20 6 8" xfId="22827"/>
    <cellStyle name="Normal 20 6 8 2" xfId="22828"/>
    <cellStyle name="Normal 20 6 8 2 2" xfId="22829"/>
    <cellStyle name="Normal 20 6 8 3" xfId="22830"/>
    <cellStyle name="Normal 20 6 9" xfId="22831"/>
    <cellStyle name="Normal 20 6 9 2" xfId="22832"/>
    <cellStyle name="Normal 20 7" xfId="22833"/>
    <cellStyle name="Normal 20 7 2" xfId="22834"/>
    <cellStyle name="Normal 20 7 2 2" xfId="22835"/>
    <cellStyle name="Normal 20 7 2 2 2" xfId="22836"/>
    <cellStyle name="Normal 20 7 2 2 2 2" xfId="22837"/>
    <cellStyle name="Normal 20 7 2 2 2 2 2" xfId="22838"/>
    <cellStyle name="Normal 20 7 2 2 2 2 2 2" xfId="22839"/>
    <cellStyle name="Normal 20 7 2 2 2 2 3" xfId="22840"/>
    <cellStyle name="Normal 20 7 2 2 2 3" xfId="22841"/>
    <cellStyle name="Normal 20 7 2 2 2 3 2" xfId="22842"/>
    <cellStyle name="Normal 20 7 2 2 2 4" xfId="22843"/>
    <cellStyle name="Normal 20 7 2 2 3" xfId="22844"/>
    <cellStyle name="Normal 20 7 2 2 3 2" xfId="22845"/>
    <cellStyle name="Normal 20 7 2 2 3 2 2" xfId="22846"/>
    <cellStyle name="Normal 20 7 2 2 3 2 2 2" xfId="22847"/>
    <cellStyle name="Normal 20 7 2 2 3 2 3" xfId="22848"/>
    <cellStyle name="Normal 20 7 2 2 3 3" xfId="22849"/>
    <cellStyle name="Normal 20 7 2 2 3 3 2" xfId="22850"/>
    <cellStyle name="Normal 20 7 2 2 3 4" xfId="22851"/>
    <cellStyle name="Normal 20 7 2 2 4" xfId="22852"/>
    <cellStyle name="Normal 20 7 2 2 4 2" xfId="22853"/>
    <cellStyle name="Normal 20 7 2 2 4 2 2" xfId="22854"/>
    <cellStyle name="Normal 20 7 2 2 4 3" xfId="22855"/>
    <cellStyle name="Normal 20 7 2 2 5" xfId="22856"/>
    <cellStyle name="Normal 20 7 2 2 5 2" xfId="22857"/>
    <cellStyle name="Normal 20 7 2 2 6" xfId="22858"/>
    <cellStyle name="Normal 20 7 2 3" xfId="22859"/>
    <cellStyle name="Normal 20 7 2 3 2" xfId="22860"/>
    <cellStyle name="Normal 20 7 2 3 2 2" xfId="22861"/>
    <cellStyle name="Normal 20 7 2 3 2 2 2" xfId="22862"/>
    <cellStyle name="Normal 20 7 2 3 2 3" xfId="22863"/>
    <cellStyle name="Normal 20 7 2 3 3" xfId="22864"/>
    <cellStyle name="Normal 20 7 2 3 3 2" xfId="22865"/>
    <cellStyle name="Normal 20 7 2 3 4" xfId="22866"/>
    <cellStyle name="Normal 20 7 2 4" xfId="22867"/>
    <cellStyle name="Normal 20 7 2 4 2" xfId="22868"/>
    <cellStyle name="Normal 20 7 2 4 2 2" xfId="22869"/>
    <cellStyle name="Normal 20 7 2 4 2 2 2" xfId="22870"/>
    <cellStyle name="Normal 20 7 2 4 2 3" xfId="22871"/>
    <cellStyle name="Normal 20 7 2 4 3" xfId="22872"/>
    <cellStyle name="Normal 20 7 2 4 3 2" xfId="22873"/>
    <cellStyle name="Normal 20 7 2 4 4" xfId="22874"/>
    <cellStyle name="Normal 20 7 2 5" xfId="22875"/>
    <cellStyle name="Normal 20 7 2 5 2" xfId="22876"/>
    <cellStyle name="Normal 20 7 2 5 2 2" xfId="22877"/>
    <cellStyle name="Normal 20 7 2 5 3" xfId="22878"/>
    <cellStyle name="Normal 20 7 2 6" xfId="22879"/>
    <cellStyle name="Normal 20 7 2 6 2" xfId="22880"/>
    <cellStyle name="Normal 20 7 2 7" xfId="22881"/>
    <cellStyle name="Normal 20 7 3" xfId="22882"/>
    <cellStyle name="Normal 20 7 3 2" xfId="22883"/>
    <cellStyle name="Normal 20 7 3 2 2" xfId="22884"/>
    <cellStyle name="Normal 20 7 3 2 2 2" xfId="22885"/>
    <cellStyle name="Normal 20 7 3 2 2 2 2" xfId="22886"/>
    <cellStyle name="Normal 20 7 3 2 2 3" xfId="22887"/>
    <cellStyle name="Normal 20 7 3 2 3" xfId="22888"/>
    <cellStyle name="Normal 20 7 3 2 3 2" xfId="22889"/>
    <cellStyle name="Normal 20 7 3 2 4" xfId="22890"/>
    <cellStyle name="Normal 20 7 3 3" xfId="22891"/>
    <cellStyle name="Normal 20 7 3 3 2" xfId="22892"/>
    <cellStyle name="Normal 20 7 3 3 2 2" xfId="22893"/>
    <cellStyle name="Normal 20 7 3 3 2 2 2" xfId="22894"/>
    <cellStyle name="Normal 20 7 3 3 2 3" xfId="22895"/>
    <cellStyle name="Normal 20 7 3 3 3" xfId="22896"/>
    <cellStyle name="Normal 20 7 3 3 3 2" xfId="22897"/>
    <cellStyle name="Normal 20 7 3 3 4" xfId="22898"/>
    <cellStyle name="Normal 20 7 3 4" xfId="22899"/>
    <cellStyle name="Normal 20 7 3 4 2" xfId="22900"/>
    <cellStyle name="Normal 20 7 3 4 2 2" xfId="22901"/>
    <cellStyle name="Normal 20 7 3 4 3" xfId="22902"/>
    <cellStyle name="Normal 20 7 3 5" xfId="22903"/>
    <cellStyle name="Normal 20 7 3 5 2" xfId="22904"/>
    <cellStyle name="Normal 20 7 3 6" xfId="22905"/>
    <cellStyle name="Normal 20 7 4" xfId="22906"/>
    <cellStyle name="Normal 20 7 4 2" xfId="22907"/>
    <cellStyle name="Normal 20 7 4 2 2" xfId="22908"/>
    <cellStyle name="Normal 20 7 4 2 2 2" xfId="22909"/>
    <cellStyle name="Normal 20 7 4 2 3" xfId="22910"/>
    <cellStyle name="Normal 20 7 4 3" xfId="22911"/>
    <cellStyle name="Normal 20 7 4 3 2" xfId="22912"/>
    <cellStyle name="Normal 20 7 4 4" xfId="22913"/>
    <cellStyle name="Normal 20 7 5" xfId="22914"/>
    <cellStyle name="Normal 20 7 5 2" xfId="22915"/>
    <cellStyle name="Normal 20 7 5 2 2" xfId="22916"/>
    <cellStyle name="Normal 20 7 5 2 2 2" xfId="22917"/>
    <cellStyle name="Normal 20 7 5 2 3" xfId="22918"/>
    <cellStyle name="Normal 20 7 5 3" xfId="22919"/>
    <cellStyle name="Normal 20 7 5 3 2" xfId="22920"/>
    <cellStyle name="Normal 20 7 5 4" xfId="22921"/>
    <cellStyle name="Normal 20 7 6" xfId="22922"/>
    <cellStyle name="Normal 20 7 6 2" xfId="22923"/>
    <cellStyle name="Normal 20 7 6 2 2" xfId="22924"/>
    <cellStyle name="Normal 20 7 6 2 2 2" xfId="22925"/>
    <cellStyle name="Normal 20 7 6 2 3" xfId="22926"/>
    <cellStyle name="Normal 20 7 6 3" xfId="22927"/>
    <cellStyle name="Normal 20 7 6 3 2" xfId="22928"/>
    <cellStyle name="Normal 20 7 6 4" xfId="22929"/>
    <cellStyle name="Normal 20 7 7" xfId="22930"/>
    <cellStyle name="Normal 20 7 7 2" xfId="22931"/>
    <cellStyle name="Normal 20 7 7 2 2" xfId="22932"/>
    <cellStyle name="Normal 20 7 7 3" xfId="22933"/>
    <cellStyle name="Normal 20 7 8" xfId="22934"/>
    <cellStyle name="Normal 20 7 8 2" xfId="22935"/>
    <cellStyle name="Normal 20 7 9" xfId="22936"/>
    <cellStyle name="Normal 20 8" xfId="22937"/>
    <cellStyle name="Normal 20 8 2" xfId="22938"/>
    <cellStyle name="Normal 20 8 2 2" xfId="22939"/>
    <cellStyle name="Normal 20 8 2 2 2" xfId="22940"/>
    <cellStyle name="Normal 20 8 2 2 2 2" xfId="22941"/>
    <cellStyle name="Normal 20 8 2 2 2 2 2" xfId="22942"/>
    <cellStyle name="Normal 20 8 2 2 2 3" xfId="22943"/>
    <cellStyle name="Normal 20 8 2 2 3" xfId="22944"/>
    <cellStyle name="Normal 20 8 2 2 3 2" xfId="22945"/>
    <cellStyle name="Normal 20 8 2 2 4" xfId="22946"/>
    <cellStyle name="Normal 20 8 2 3" xfId="22947"/>
    <cellStyle name="Normal 20 8 2 3 2" xfId="22948"/>
    <cellStyle name="Normal 20 8 2 3 2 2" xfId="22949"/>
    <cellStyle name="Normal 20 8 2 3 2 2 2" xfId="22950"/>
    <cellStyle name="Normal 20 8 2 3 2 3" xfId="22951"/>
    <cellStyle name="Normal 20 8 2 3 3" xfId="22952"/>
    <cellStyle name="Normal 20 8 2 3 3 2" xfId="22953"/>
    <cellStyle name="Normal 20 8 2 3 4" xfId="22954"/>
    <cellStyle name="Normal 20 8 2 4" xfId="22955"/>
    <cellStyle name="Normal 20 8 2 4 2" xfId="22956"/>
    <cellStyle name="Normal 20 8 2 4 2 2" xfId="22957"/>
    <cellStyle name="Normal 20 8 2 4 3" xfId="22958"/>
    <cellStyle name="Normal 20 8 2 5" xfId="22959"/>
    <cellStyle name="Normal 20 8 2 5 2" xfId="22960"/>
    <cellStyle name="Normal 20 8 2 6" xfId="22961"/>
    <cellStyle name="Normal 20 8 3" xfId="22962"/>
    <cellStyle name="Normal 20 8 3 2" xfId="22963"/>
    <cellStyle name="Normal 20 8 3 2 2" xfId="22964"/>
    <cellStyle name="Normal 20 8 3 2 2 2" xfId="22965"/>
    <cellStyle name="Normal 20 8 3 2 3" xfId="22966"/>
    <cellStyle name="Normal 20 8 3 3" xfId="22967"/>
    <cellStyle name="Normal 20 8 3 3 2" xfId="22968"/>
    <cellStyle name="Normal 20 8 3 4" xfId="22969"/>
    <cellStyle name="Normal 20 8 4" xfId="22970"/>
    <cellStyle name="Normal 20 8 4 2" xfId="22971"/>
    <cellStyle name="Normal 20 8 4 2 2" xfId="22972"/>
    <cellStyle name="Normal 20 8 4 2 2 2" xfId="22973"/>
    <cellStyle name="Normal 20 8 4 2 3" xfId="22974"/>
    <cellStyle name="Normal 20 8 4 3" xfId="22975"/>
    <cellStyle name="Normal 20 8 4 3 2" xfId="22976"/>
    <cellStyle name="Normal 20 8 4 4" xfId="22977"/>
    <cellStyle name="Normal 20 8 5" xfId="22978"/>
    <cellStyle name="Normal 20 8 5 2" xfId="22979"/>
    <cellStyle name="Normal 20 8 5 2 2" xfId="22980"/>
    <cellStyle name="Normal 20 8 5 3" xfId="22981"/>
    <cellStyle name="Normal 20 8 6" xfId="22982"/>
    <cellStyle name="Normal 20 8 6 2" xfId="22983"/>
    <cellStyle name="Normal 20 8 7" xfId="22984"/>
    <cellStyle name="Normal 20 9" xfId="22985"/>
    <cellStyle name="Normal 20 9 2" xfId="22986"/>
    <cellStyle name="Normal 20 9 2 2" xfId="22987"/>
    <cellStyle name="Normal 20 9 2 2 2" xfId="22988"/>
    <cellStyle name="Normal 20 9 2 2 2 2" xfId="22989"/>
    <cellStyle name="Normal 20 9 2 2 3" xfId="22990"/>
    <cellStyle name="Normal 20 9 2 3" xfId="22991"/>
    <cellStyle name="Normal 20 9 2 3 2" xfId="22992"/>
    <cellStyle name="Normal 20 9 2 4" xfId="22993"/>
    <cellStyle name="Normal 20 9 3" xfId="22994"/>
    <cellStyle name="Normal 20 9 3 2" xfId="22995"/>
    <cellStyle name="Normal 20 9 3 2 2" xfId="22996"/>
    <cellStyle name="Normal 20 9 3 2 2 2" xfId="22997"/>
    <cellStyle name="Normal 20 9 3 2 3" xfId="22998"/>
    <cellStyle name="Normal 20 9 3 3" xfId="22999"/>
    <cellStyle name="Normal 20 9 3 3 2" xfId="23000"/>
    <cellStyle name="Normal 20 9 3 4" xfId="23001"/>
    <cellStyle name="Normal 20 9 4" xfId="23002"/>
    <cellStyle name="Normal 20 9 4 2" xfId="23003"/>
    <cellStyle name="Normal 20 9 4 2 2" xfId="23004"/>
    <cellStyle name="Normal 20 9 4 3" xfId="23005"/>
    <cellStyle name="Normal 20 9 5" xfId="23006"/>
    <cellStyle name="Normal 20 9 5 2" xfId="23007"/>
    <cellStyle name="Normal 20 9 6" xfId="23008"/>
    <cellStyle name="Normal 21" xfId="23009"/>
    <cellStyle name="Normal 21 10" xfId="23010"/>
    <cellStyle name="Normal 21 10 2" xfId="23011"/>
    <cellStyle name="Normal 21 10 2 2" xfId="23012"/>
    <cellStyle name="Normal 21 10 2 2 2" xfId="23013"/>
    <cellStyle name="Normal 21 10 2 3" xfId="23014"/>
    <cellStyle name="Normal 21 10 3" xfId="23015"/>
    <cellStyle name="Normal 21 10 3 2" xfId="23016"/>
    <cellStyle name="Normal 21 10 4" xfId="23017"/>
    <cellStyle name="Normal 21 11" xfId="23018"/>
    <cellStyle name="Normal 21 11 2" xfId="23019"/>
    <cellStyle name="Normal 21 11 2 2" xfId="23020"/>
    <cellStyle name="Normal 21 11 3" xfId="23021"/>
    <cellStyle name="Normal 21 12" xfId="23022"/>
    <cellStyle name="Normal 21 12 2" xfId="23023"/>
    <cellStyle name="Normal 21 13" xfId="23024"/>
    <cellStyle name="Normal 21 2" xfId="23025"/>
    <cellStyle name="Normal 21 2 10" xfId="23026"/>
    <cellStyle name="Normal 21 2 10 2" xfId="23027"/>
    <cellStyle name="Normal 21 2 11" xfId="23028"/>
    <cellStyle name="Normal 21 2 2" xfId="23029"/>
    <cellStyle name="Normal 21 2 2 10" xfId="23030"/>
    <cellStyle name="Normal 21 2 2 2" xfId="23031"/>
    <cellStyle name="Normal 21 2 2 2 2" xfId="23032"/>
    <cellStyle name="Normal 21 2 2 2 2 2" xfId="23033"/>
    <cellStyle name="Normal 21 2 2 2 2 2 2" xfId="23034"/>
    <cellStyle name="Normal 21 2 2 2 2 2 2 2" xfId="23035"/>
    <cellStyle name="Normal 21 2 2 2 2 2 2 2 2" xfId="23036"/>
    <cellStyle name="Normal 21 2 2 2 2 2 2 2 2 2" xfId="23037"/>
    <cellStyle name="Normal 21 2 2 2 2 2 2 2 3" xfId="23038"/>
    <cellStyle name="Normal 21 2 2 2 2 2 2 3" xfId="23039"/>
    <cellStyle name="Normal 21 2 2 2 2 2 2 3 2" xfId="23040"/>
    <cellStyle name="Normal 21 2 2 2 2 2 2 4" xfId="23041"/>
    <cellStyle name="Normal 21 2 2 2 2 2 3" xfId="23042"/>
    <cellStyle name="Normal 21 2 2 2 2 2 3 2" xfId="23043"/>
    <cellStyle name="Normal 21 2 2 2 2 2 3 2 2" xfId="23044"/>
    <cellStyle name="Normal 21 2 2 2 2 2 3 2 2 2" xfId="23045"/>
    <cellStyle name="Normal 21 2 2 2 2 2 3 2 3" xfId="23046"/>
    <cellStyle name="Normal 21 2 2 2 2 2 3 3" xfId="23047"/>
    <cellStyle name="Normal 21 2 2 2 2 2 3 3 2" xfId="23048"/>
    <cellStyle name="Normal 21 2 2 2 2 2 3 4" xfId="23049"/>
    <cellStyle name="Normal 21 2 2 2 2 2 4" xfId="23050"/>
    <cellStyle name="Normal 21 2 2 2 2 2 4 2" xfId="23051"/>
    <cellStyle name="Normal 21 2 2 2 2 2 4 2 2" xfId="23052"/>
    <cellStyle name="Normal 21 2 2 2 2 2 4 3" xfId="23053"/>
    <cellStyle name="Normal 21 2 2 2 2 2 5" xfId="23054"/>
    <cellStyle name="Normal 21 2 2 2 2 2 5 2" xfId="23055"/>
    <cellStyle name="Normal 21 2 2 2 2 2 6" xfId="23056"/>
    <cellStyle name="Normal 21 2 2 2 2 3" xfId="23057"/>
    <cellStyle name="Normal 21 2 2 2 2 3 2" xfId="23058"/>
    <cellStyle name="Normal 21 2 2 2 2 3 2 2" xfId="23059"/>
    <cellStyle name="Normal 21 2 2 2 2 3 2 2 2" xfId="23060"/>
    <cellStyle name="Normal 21 2 2 2 2 3 2 3" xfId="23061"/>
    <cellStyle name="Normal 21 2 2 2 2 3 3" xfId="23062"/>
    <cellStyle name="Normal 21 2 2 2 2 3 3 2" xfId="23063"/>
    <cellStyle name="Normal 21 2 2 2 2 3 4" xfId="23064"/>
    <cellStyle name="Normal 21 2 2 2 2 4" xfId="23065"/>
    <cellStyle name="Normal 21 2 2 2 2 4 2" xfId="23066"/>
    <cellStyle name="Normal 21 2 2 2 2 4 2 2" xfId="23067"/>
    <cellStyle name="Normal 21 2 2 2 2 4 2 2 2" xfId="23068"/>
    <cellStyle name="Normal 21 2 2 2 2 4 2 3" xfId="23069"/>
    <cellStyle name="Normal 21 2 2 2 2 4 3" xfId="23070"/>
    <cellStyle name="Normal 21 2 2 2 2 4 3 2" xfId="23071"/>
    <cellStyle name="Normal 21 2 2 2 2 4 4" xfId="23072"/>
    <cellStyle name="Normal 21 2 2 2 2 5" xfId="23073"/>
    <cellStyle name="Normal 21 2 2 2 2 5 2" xfId="23074"/>
    <cellStyle name="Normal 21 2 2 2 2 5 2 2" xfId="23075"/>
    <cellStyle name="Normal 21 2 2 2 2 5 3" xfId="23076"/>
    <cellStyle name="Normal 21 2 2 2 2 6" xfId="23077"/>
    <cellStyle name="Normal 21 2 2 2 2 6 2" xfId="23078"/>
    <cellStyle name="Normal 21 2 2 2 2 7" xfId="23079"/>
    <cellStyle name="Normal 21 2 2 2 3" xfId="23080"/>
    <cellStyle name="Normal 21 2 2 2 3 2" xfId="23081"/>
    <cellStyle name="Normal 21 2 2 2 3 2 2" xfId="23082"/>
    <cellStyle name="Normal 21 2 2 2 3 2 2 2" xfId="23083"/>
    <cellStyle name="Normal 21 2 2 2 3 2 2 2 2" xfId="23084"/>
    <cellStyle name="Normal 21 2 2 2 3 2 2 3" xfId="23085"/>
    <cellStyle name="Normal 21 2 2 2 3 2 3" xfId="23086"/>
    <cellStyle name="Normal 21 2 2 2 3 2 3 2" xfId="23087"/>
    <cellStyle name="Normal 21 2 2 2 3 2 4" xfId="23088"/>
    <cellStyle name="Normal 21 2 2 2 3 3" xfId="23089"/>
    <cellStyle name="Normal 21 2 2 2 3 3 2" xfId="23090"/>
    <cellStyle name="Normal 21 2 2 2 3 3 2 2" xfId="23091"/>
    <cellStyle name="Normal 21 2 2 2 3 3 2 2 2" xfId="23092"/>
    <cellStyle name="Normal 21 2 2 2 3 3 2 3" xfId="23093"/>
    <cellStyle name="Normal 21 2 2 2 3 3 3" xfId="23094"/>
    <cellStyle name="Normal 21 2 2 2 3 3 3 2" xfId="23095"/>
    <cellStyle name="Normal 21 2 2 2 3 3 4" xfId="23096"/>
    <cellStyle name="Normal 21 2 2 2 3 4" xfId="23097"/>
    <cellStyle name="Normal 21 2 2 2 3 4 2" xfId="23098"/>
    <cellStyle name="Normal 21 2 2 2 3 4 2 2" xfId="23099"/>
    <cellStyle name="Normal 21 2 2 2 3 4 3" xfId="23100"/>
    <cellStyle name="Normal 21 2 2 2 3 5" xfId="23101"/>
    <cellStyle name="Normal 21 2 2 2 3 5 2" xfId="23102"/>
    <cellStyle name="Normal 21 2 2 2 3 6" xfId="23103"/>
    <cellStyle name="Normal 21 2 2 2 4" xfId="23104"/>
    <cellStyle name="Normal 21 2 2 2 4 2" xfId="23105"/>
    <cellStyle name="Normal 21 2 2 2 4 2 2" xfId="23106"/>
    <cellStyle name="Normal 21 2 2 2 4 2 2 2" xfId="23107"/>
    <cellStyle name="Normal 21 2 2 2 4 2 3" xfId="23108"/>
    <cellStyle name="Normal 21 2 2 2 4 3" xfId="23109"/>
    <cellStyle name="Normal 21 2 2 2 4 3 2" xfId="23110"/>
    <cellStyle name="Normal 21 2 2 2 4 4" xfId="23111"/>
    <cellStyle name="Normal 21 2 2 2 5" xfId="23112"/>
    <cellStyle name="Normal 21 2 2 2 5 2" xfId="23113"/>
    <cellStyle name="Normal 21 2 2 2 5 2 2" xfId="23114"/>
    <cellStyle name="Normal 21 2 2 2 5 2 2 2" xfId="23115"/>
    <cellStyle name="Normal 21 2 2 2 5 2 3" xfId="23116"/>
    <cellStyle name="Normal 21 2 2 2 5 3" xfId="23117"/>
    <cellStyle name="Normal 21 2 2 2 5 3 2" xfId="23118"/>
    <cellStyle name="Normal 21 2 2 2 5 4" xfId="23119"/>
    <cellStyle name="Normal 21 2 2 2 6" xfId="23120"/>
    <cellStyle name="Normal 21 2 2 2 6 2" xfId="23121"/>
    <cellStyle name="Normal 21 2 2 2 6 2 2" xfId="23122"/>
    <cellStyle name="Normal 21 2 2 2 6 2 2 2" xfId="23123"/>
    <cellStyle name="Normal 21 2 2 2 6 2 3" xfId="23124"/>
    <cellStyle name="Normal 21 2 2 2 6 3" xfId="23125"/>
    <cellStyle name="Normal 21 2 2 2 6 3 2" xfId="23126"/>
    <cellStyle name="Normal 21 2 2 2 6 4" xfId="23127"/>
    <cellStyle name="Normal 21 2 2 2 7" xfId="23128"/>
    <cellStyle name="Normal 21 2 2 2 7 2" xfId="23129"/>
    <cellStyle name="Normal 21 2 2 2 7 2 2" xfId="23130"/>
    <cellStyle name="Normal 21 2 2 2 7 3" xfId="23131"/>
    <cellStyle name="Normal 21 2 2 2 8" xfId="23132"/>
    <cellStyle name="Normal 21 2 2 2 8 2" xfId="23133"/>
    <cellStyle name="Normal 21 2 2 2 9" xfId="23134"/>
    <cellStyle name="Normal 21 2 2 3" xfId="23135"/>
    <cellStyle name="Normal 21 2 2 3 2" xfId="23136"/>
    <cellStyle name="Normal 21 2 2 3 2 2" xfId="23137"/>
    <cellStyle name="Normal 21 2 2 3 2 2 2" xfId="23138"/>
    <cellStyle name="Normal 21 2 2 3 2 2 2 2" xfId="23139"/>
    <cellStyle name="Normal 21 2 2 3 2 2 2 2 2" xfId="23140"/>
    <cellStyle name="Normal 21 2 2 3 2 2 2 3" xfId="23141"/>
    <cellStyle name="Normal 21 2 2 3 2 2 3" xfId="23142"/>
    <cellStyle name="Normal 21 2 2 3 2 2 3 2" xfId="23143"/>
    <cellStyle name="Normal 21 2 2 3 2 2 4" xfId="23144"/>
    <cellStyle name="Normal 21 2 2 3 2 3" xfId="23145"/>
    <cellStyle name="Normal 21 2 2 3 2 3 2" xfId="23146"/>
    <cellStyle name="Normal 21 2 2 3 2 3 2 2" xfId="23147"/>
    <cellStyle name="Normal 21 2 2 3 2 3 2 2 2" xfId="23148"/>
    <cellStyle name="Normal 21 2 2 3 2 3 2 3" xfId="23149"/>
    <cellStyle name="Normal 21 2 2 3 2 3 3" xfId="23150"/>
    <cellStyle name="Normal 21 2 2 3 2 3 3 2" xfId="23151"/>
    <cellStyle name="Normal 21 2 2 3 2 3 4" xfId="23152"/>
    <cellStyle name="Normal 21 2 2 3 2 4" xfId="23153"/>
    <cellStyle name="Normal 21 2 2 3 2 4 2" xfId="23154"/>
    <cellStyle name="Normal 21 2 2 3 2 4 2 2" xfId="23155"/>
    <cellStyle name="Normal 21 2 2 3 2 4 3" xfId="23156"/>
    <cellStyle name="Normal 21 2 2 3 2 5" xfId="23157"/>
    <cellStyle name="Normal 21 2 2 3 2 5 2" xfId="23158"/>
    <cellStyle name="Normal 21 2 2 3 2 6" xfId="23159"/>
    <cellStyle name="Normal 21 2 2 3 3" xfId="23160"/>
    <cellStyle name="Normal 21 2 2 3 3 2" xfId="23161"/>
    <cellStyle name="Normal 21 2 2 3 3 2 2" xfId="23162"/>
    <cellStyle name="Normal 21 2 2 3 3 2 2 2" xfId="23163"/>
    <cellStyle name="Normal 21 2 2 3 3 2 3" xfId="23164"/>
    <cellStyle name="Normal 21 2 2 3 3 3" xfId="23165"/>
    <cellStyle name="Normal 21 2 2 3 3 3 2" xfId="23166"/>
    <cellStyle name="Normal 21 2 2 3 3 4" xfId="23167"/>
    <cellStyle name="Normal 21 2 2 3 4" xfId="23168"/>
    <cellStyle name="Normal 21 2 2 3 4 2" xfId="23169"/>
    <cellStyle name="Normal 21 2 2 3 4 2 2" xfId="23170"/>
    <cellStyle name="Normal 21 2 2 3 4 2 2 2" xfId="23171"/>
    <cellStyle name="Normal 21 2 2 3 4 2 3" xfId="23172"/>
    <cellStyle name="Normal 21 2 2 3 4 3" xfId="23173"/>
    <cellStyle name="Normal 21 2 2 3 4 3 2" xfId="23174"/>
    <cellStyle name="Normal 21 2 2 3 4 4" xfId="23175"/>
    <cellStyle name="Normal 21 2 2 3 5" xfId="23176"/>
    <cellStyle name="Normal 21 2 2 3 5 2" xfId="23177"/>
    <cellStyle name="Normal 21 2 2 3 5 2 2" xfId="23178"/>
    <cellStyle name="Normal 21 2 2 3 5 3" xfId="23179"/>
    <cellStyle name="Normal 21 2 2 3 6" xfId="23180"/>
    <cellStyle name="Normal 21 2 2 3 6 2" xfId="23181"/>
    <cellStyle name="Normal 21 2 2 3 7" xfId="23182"/>
    <cellStyle name="Normal 21 2 2 4" xfId="23183"/>
    <cellStyle name="Normal 21 2 2 4 2" xfId="23184"/>
    <cellStyle name="Normal 21 2 2 4 2 2" xfId="23185"/>
    <cellStyle name="Normal 21 2 2 4 2 2 2" xfId="23186"/>
    <cellStyle name="Normal 21 2 2 4 2 2 2 2" xfId="23187"/>
    <cellStyle name="Normal 21 2 2 4 2 2 3" xfId="23188"/>
    <cellStyle name="Normal 21 2 2 4 2 3" xfId="23189"/>
    <cellStyle name="Normal 21 2 2 4 2 3 2" xfId="23190"/>
    <cellStyle name="Normal 21 2 2 4 2 4" xfId="23191"/>
    <cellStyle name="Normal 21 2 2 4 3" xfId="23192"/>
    <cellStyle name="Normal 21 2 2 4 3 2" xfId="23193"/>
    <cellStyle name="Normal 21 2 2 4 3 2 2" xfId="23194"/>
    <cellStyle name="Normal 21 2 2 4 3 2 2 2" xfId="23195"/>
    <cellStyle name="Normal 21 2 2 4 3 2 3" xfId="23196"/>
    <cellStyle name="Normal 21 2 2 4 3 3" xfId="23197"/>
    <cellStyle name="Normal 21 2 2 4 3 3 2" xfId="23198"/>
    <cellStyle name="Normal 21 2 2 4 3 4" xfId="23199"/>
    <cellStyle name="Normal 21 2 2 4 4" xfId="23200"/>
    <cellStyle name="Normal 21 2 2 4 4 2" xfId="23201"/>
    <cellStyle name="Normal 21 2 2 4 4 2 2" xfId="23202"/>
    <cellStyle name="Normal 21 2 2 4 4 3" xfId="23203"/>
    <cellStyle name="Normal 21 2 2 4 5" xfId="23204"/>
    <cellStyle name="Normal 21 2 2 4 5 2" xfId="23205"/>
    <cellStyle name="Normal 21 2 2 4 6" xfId="23206"/>
    <cellStyle name="Normal 21 2 2 5" xfId="23207"/>
    <cellStyle name="Normal 21 2 2 5 2" xfId="23208"/>
    <cellStyle name="Normal 21 2 2 5 2 2" xfId="23209"/>
    <cellStyle name="Normal 21 2 2 5 2 2 2" xfId="23210"/>
    <cellStyle name="Normal 21 2 2 5 2 3" xfId="23211"/>
    <cellStyle name="Normal 21 2 2 5 3" xfId="23212"/>
    <cellStyle name="Normal 21 2 2 5 3 2" xfId="23213"/>
    <cellStyle name="Normal 21 2 2 5 4" xfId="23214"/>
    <cellStyle name="Normal 21 2 2 6" xfId="23215"/>
    <cellStyle name="Normal 21 2 2 6 2" xfId="23216"/>
    <cellStyle name="Normal 21 2 2 6 2 2" xfId="23217"/>
    <cellStyle name="Normal 21 2 2 6 2 2 2" xfId="23218"/>
    <cellStyle name="Normal 21 2 2 6 2 3" xfId="23219"/>
    <cellStyle name="Normal 21 2 2 6 3" xfId="23220"/>
    <cellStyle name="Normal 21 2 2 6 3 2" xfId="23221"/>
    <cellStyle name="Normal 21 2 2 6 4" xfId="23222"/>
    <cellStyle name="Normal 21 2 2 7" xfId="23223"/>
    <cellStyle name="Normal 21 2 2 7 2" xfId="23224"/>
    <cellStyle name="Normal 21 2 2 7 2 2" xfId="23225"/>
    <cellStyle name="Normal 21 2 2 7 2 2 2" xfId="23226"/>
    <cellStyle name="Normal 21 2 2 7 2 3" xfId="23227"/>
    <cellStyle name="Normal 21 2 2 7 3" xfId="23228"/>
    <cellStyle name="Normal 21 2 2 7 3 2" xfId="23229"/>
    <cellStyle name="Normal 21 2 2 7 4" xfId="23230"/>
    <cellStyle name="Normal 21 2 2 8" xfId="23231"/>
    <cellStyle name="Normal 21 2 2 8 2" xfId="23232"/>
    <cellStyle name="Normal 21 2 2 8 2 2" xfId="23233"/>
    <cellStyle name="Normal 21 2 2 8 3" xfId="23234"/>
    <cellStyle name="Normal 21 2 2 9" xfId="23235"/>
    <cellStyle name="Normal 21 2 2 9 2" xfId="23236"/>
    <cellStyle name="Normal 21 2 3" xfId="23237"/>
    <cellStyle name="Normal 21 2 3 2" xfId="23238"/>
    <cellStyle name="Normal 21 2 3 2 2" xfId="23239"/>
    <cellStyle name="Normal 21 2 3 2 2 2" xfId="23240"/>
    <cellStyle name="Normal 21 2 3 2 2 2 2" xfId="23241"/>
    <cellStyle name="Normal 21 2 3 2 2 2 2 2" xfId="23242"/>
    <cellStyle name="Normal 21 2 3 2 2 2 2 2 2" xfId="23243"/>
    <cellStyle name="Normal 21 2 3 2 2 2 2 3" xfId="23244"/>
    <cellStyle name="Normal 21 2 3 2 2 2 3" xfId="23245"/>
    <cellStyle name="Normal 21 2 3 2 2 2 3 2" xfId="23246"/>
    <cellStyle name="Normal 21 2 3 2 2 2 4" xfId="23247"/>
    <cellStyle name="Normal 21 2 3 2 2 3" xfId="23248"/>
    <cellStyle name="Normal 21 2 3 2 2 3 2" xfId="23249"/>
    <cellStyle name="Normal 21 2 3 2 2 3 2 2" xfId="23250"/>
    <cellStyle name="Normal 21 2 3 2 2 3 2 2 2" xfId="23251"/>
    <cellStyle name="Normal 21 2 3 2 2 3 2 3" xfId="23252"/>
    <cellStyle name="Normal 21 2 3 2 2 3 3" xfId="23253"/>
    <cellStyle name="Normal 21 2 3 2 2 3 3 2" xfId="23254"/>
    <cellStyle name="Normal 21 2 3 2 2 3 4" xfId="23255"/>
    <cellStyle name="Normal 21 2 3 2 2 4" xfId="23256"/>
    <cellStyle name="Normal 21 2 3 2 2 4 2" xfId="23257"/>
    <cellStyle name="Normal 21 2 3 2 2 4 2 2" xfId="23258"/>
    <cellStyle name="Normal 21 2 3 2 2 4 3" xfId="23259"/>
    <cellStyle name="Normal 21 2 3 2 2 5" xfId="23260"/>
    <cellStyle name="Normal 21 2 3 2 2 5 2" xfId="23261"/>
    <cellStyle name="Normal 21 2 3 2 2 6" xfId="23262"/>
    <cellStyle name="Normal 21 2 3 2 3" xfId="23263"/>
    <cellStyle name="Normal 21 2 3 2 3 2" xfId="23264"/>
    <cellStyle name="Normal 21 2 3 2 3 2 2" xfId="23265"/>
    <cellStyle name="Normal 21 2 3 2 3 2 2 2" xfId="23266"/>
    <cellStyle name="Normal 21 2 3 2 3 2 3" xfId="23267"/>
    <cellStyle name="Normal 21 2 3 2 3 3" xfId="23268"/>
    <cellStyle name="Normal 21 2 3 2 3 3 2" xfId="23269"/>
    <cellStyle name="Normal 21 2 3 2 3 4" xfId="23270"/>
    <cellStyle name="Normal 21 2 3 2 4" xfId="23271"/>
    <cellStyle name="Normal 21 2 3 2 4 2" xfId="23272"/>
    <cellStyle name="Normal 21 2 3 2 4 2 2" xfId="23273"/>
    <cellStyle name="Normal 21 2 3 2 4 2 2 2" xfId="23274"/>
    <cellStyle name="Normal 21 2 3 2 4 2 3" xfId="23275"/>
    <cellStyle name="Normal 21 2 3 2 4 3" xfId="23276"/>
    <cellStyle name="Normal 21 2 3 2 4 3 2" xfId="23277"/>
    <cellStyle name="Normal 21 2 3 2 4 4" xfId="23278"/>
    <cellStyle name="Normal 21 2 3 2 5" xfId="23279"/>
    <cellStyle name="Normal 21 2 3 2 5 2" xfId="23280"/>
    <cellStyle name="Normal 21 2 3 2 5 2 2" xfId="23281"/>
    <cellStyle name="Normal 21 2 3 2 5 3" xfId="23282"/>
    <cellStyle name="Normal 21 2 3 2 6" xfId="23283"/>
    <cellStyle name="Normal 21 2 3 2 6 2" xfId="23284"/>
    <cellStyle name="Normal 21 2 3 2 7" xfId="23285"/>
    <cellStyle name="Normal 21 2 3 3" xfId="23286"/>
    <cellStyle name="Normal 21 2 3 3 2" xfId="23287"/>
    <cellStyle name="Normal 21 2 3 3 2 2" xfId="23288"/>
    <cellStyle name="Normal 21 2 3 3 2 2 2" xfId="23289"/>
    <cellStyle name="Normal 21 2 3 3 2 2 2 2" xfId="23290"/>
    <cellStyle name="Normal 21 2 3 3 2 2 3" xfId="23291"/>
    <cellStyle name="Normal 21 2 3 3 2 3" xfId="23292"/>
    <cellStyle name="Normal 21 2 3 3 2 3 2" xfId="23293"/>
    <cellStyle name="Normal 21 2 3 3 2 4" xfId="23294"/>
    <cellStyle name="Normal 21 2 3 3 3" xfId="23295"/>
    <cellStyle name="Normal 21 2 3 3 3 2" xfId="23296"/>
    <cellStyle name="Normal 21 2 3 3 3 2 2" xfId="23297"/>
    <cellStyle name="Normal 21 2 3 3 3 2 2 2" xfId="23298"/>
    <cellStyle name="Normal 21 2 3 3 3 2 3" xfId="23299"/>
    <cellStyle name="Normal 21 2 3 3 3 3" xfId="23300"/>
    <cellStyle name="Normal 21 2 3 3 3 3 2" xfId="23301"/>
    <cellStyle name="Normal 21 2 3 3 3 4" xfId="23302"/>
    <cellStyle name="Normal 21 2 3 3 4" xfId="23303"/>
    <cellStyle name="Normal 21 2 3 3 4 2" xfId="23304"/>
    <cellStyle name="Normal 21 2 3 3 4 2 2" xfId="23305"/>
    <cellStyle name="Normal 21 2 3 3 4 3" xfId="23306"/>
    <cellStyle name="Normal 21 2 3 3 5" xfId="23307"/>
    <cellStyle name="Normal 21 2 3 3 5 2" xfId="23308"/>
    <cellStyle name="Normal 21 2 3 3 6" xfId="23309"/>
    <cellStyle name="Normal 21 2 3 4" xfId="23310"/>
    <cellStyle name="Normal 21 2 3 4 2" xfId="23311"/>
    <cellStyle name="Normal 21 2 3 4 2 2" xfId="23312"/>
    <cellStyle name="Normal 21 2 3 4 2 2 2" xfId="23313"/>
    <cellStyle name="Normal 21 2 3 4 2 3" xfId="23314"/>
    <cellStyle name="Normal 21 2 3 4 3" xfId="23315"/>
    <cellStyle name="Normal 21 2 3 4 3 2" xfId="23316"/>
    <cellStyle name="Normal 21 2 3 4 4" xfId="23317"/>
    <cellStyle name="Normal 21 2 3 5" xfId="23318"/>
    <cellStyle name="Normal 21 2 3 5 2" xfId="23319"/>
    <cellStyle name="Normal 21 2 3 5 2 2" xfId="23320"/>
    <cellStyle name="Normal 21 2 3 5 2 2 2" xfId="23321"/>
    <cellStyle name="Normal 21 2 3 5 2 3" xfId="23322"/>
    <cellStyle name="Normal 21 2 3 5 3" xfId="23323"/>
    <cellStyle name="Normal 21 2 3 5 3 2" xfId="23324"/>
    <cellStyle name="Normal 21 2 3 5 4" xfId="23325"/>
    <cellStyle name="Normal 21 2 3 6" xfId="23326"/>
    <cellStyle name="Normal 21 2 3 6 2" xfId="23327"/>
    <cellStyle name="Normal 21 2 3 6 2 2" xfId="23328"/>
    <cellStyle name="Normal 21 2 3 6 2 2 2" xfId="23329"/>
    <cellStyle name="Normal 21 2 3 6 2 3" xfId="23330"/>
    <cellStyle name="Normal 21 2 3 6 3" xfId="23331"/>
    <cellStyle name="Normal 21 2 3 6 3 2" xfId="23332"/>
    <cellStyle name="Normal 21 2 3 6 4" xfId="23333"/>
    <cellStyle name="Normal 21 2 3 7" xfId="23334"/>
    <cellStyle name="Normal 21 2 3 7 2" xfId="23335"/>
    <cellStyle name="Normal 21 2 3 7 2 2" xfId="23336"/>
    <cellStyle name="Normal 21 2 3 7 3" xfId="23337"/>
    <cellStyle name="Normal 21 2 3 8" xfId="23338"/>
    <cellStyle name="Normal 21 2 3 8 2" xfId="23339"/>
    <cellStyle name="Normal 21 2 3 9" xfId="23340"/>
    <cellStyle name="Normal 21 2 4" xfId="23341"/>
    <cellStyle name="Normal 21 2 4 2" xfId="23342"/>
    <cellStyle name="Normal 21 2 4 2 2" xfId="23343"/>
    <cellStyle name="Normal 21 2 4 2 2 2" xfId="23344"/>
    <cellStyle name="Normal 21 2 4 2 2 2 2" xfId="23345"/>
    <cellStyle name="Normal 21 2 4 2 2 2 2 2" xfId="23346"/>
    <cellStyle name="Normal 21 2 4 2 2 2 3" xfId="23347"/>
    <cellStyle name="Normal 21 2 4 2 2 3" xfId="23348"/>
    <cellStyle name="Normal 21 2 4 2 2 3 2" xfId="23349"/>
    <cellStyle name="Normal 21 2 4 2 2 4" xfId="23350"/>
    <cellStyle name="Normal 21 2 4 2 3" xfId="23351"/>
    <cellStyle name="Normal 21 2 4 2 3 2" xfId="23352"/>
    <cellStyle name="Normal 21 2 4 2 3 2 2" xfId="23353"/>
    <cellStyle name="Normal 21 2 4 2 3 2 2 2" xfId="23354"/>
    <cellStyle name="Normal 21 2 4 2 3 2 3" xfId="23355"/>
    <cellStyle name="Normal 21 2 4 2 3 3" xfId="23356"/>
    <cellStyle name="Normal 21 2 4 2 3 3 2" xfId="23357"/>
    <cellStyle name="Normal 21 2 4 2 3 4" xfId="23358"/>
    <cellStyle name="Normal 21 2 4 2 4" xfId="23359"/>
    <cellStyle name="Normal 21 2 4 2 4 2" xfId="23360"/>
    <cellStyle name="Normal 21 2 4 2 4 2 2" xfId="23361"/>
    <cellStyle name="Normal 21 2 4 2 4 3" xfId="23362"/>
    <cellStyle name="Normal 21 2 4 2 5" xfId="23363"/>
    <cellStyle name="Normal 21 2 4 2 5 2" xfId="23364"/>
    <cellStyle name="Normal 21 2 4 2 6" xfId="23365"/>
    <cellStyle name="Normal 21 2 4 3" xfId="23366"/>
    <cellStyle name="Normal 21 2 4 3 2" xfId="23367"/>
    <cellStyle name="Normal 21 2 4 3 2 2" xfId="23368"/>
    <cellStyle name="Normal 21 2 4 3 2 2 2" xfId="23369"/>
    <cellStyle name="Normal 21 2 4 3 2 3" xfId="23370"/>
    <cellStyle name="Normal 21 2 4 3 3" xfId="23371"/>
    <cellStyle name="Normal 21 2 4 3 3 2" xfId="23372"/>
    <cellStyle name="Normal 21 2 4 3 4" xfId="23373"/>
    <cellStyle name="Normal 21 2 4 4" xfId="23374"/>
    <cellStyle name="Normal 21 2 4 4 2" xfId="23375"/>
    <cellStyle name="Normal 21 2 4 4 2 2" xfId="23376"/>
    <cellStyle name="Normal 21 2 4 4 2 2 2" xfId="23377"/>
    <cellStyle name="Normal 21 2 4 4 2 3" xfId="23378"/>
    <cellStyle name="Normal 21 2 4 4 3" xfId="23379"/>
    <cellStyle name="Normal 21 2 4 4 3 2" xfId="23380"/>
    <cellStyle name="Normal 21 2 4 4 4" xfId="23381"/>
    <cellStyle name="Normal 21 2 4 5" xfId="23382"/>
    <cellStyle name="Normal 21 2 4 5 2" xfId="23383"/>
    <cellStyle name="Normal 21 2 4 5 2 2" xfId="23384"/>
    <cellStyle name="Normal 21 2 4 5 3" xfId="23385"/>
    <cellStyle name="Normal 21 2 4 6" xfId="23386"/>
    <cellStyle name="Normal 21 2 4 6 2" xfId="23387"/>
    <cellStyle name="Normal 21 2 4 7" xfId="23388"/>
    <cellStyle name="Normal 21 2 5" xfId="23389"/>
    <cellStyle name="Normal 21 2 5 2" xfId="23390"/>
    <cellStyle name="Normal 21 2 5 2 2" xfId="23391"/>
    <cellStyle name="Normal 21 2 5 2 2 2" xfId="23392"/>
    <cellStyle name="Normal 21 2 5 2 2 2 2" xfId="23393"/>
    <cellStyle name="Normal 21 2 5 2 2 3" xfId="23394"/>
    <cellStyle name="Normal 21 2 5 2 3" xfId="23395"/>
    <cellStyle name="Normal 21 2 5 2 3 2" xfId="23396"/>
    <cellStyle name="Normal 21 2 5 2 4" xfId="23397"/>
    <cellStyle name="Normal 21 2 5 3" xfId="23398"/>
    <cellStyle name="Normal 21 2 5 3 2" xfId="23399"/>
    <cellStyle name="Normal 21 2 5 3 2 2" xfId="23400"/>
    <cellStyle name="Normal 21 2 5 3 2 2 2" xfId="23401"/>
    <cellStyle name="Normal 21 2 5 3 2 3" xfId="23402"/>
    <cellStyle name="Normal 21 2 5 3 3" xfId="23403"/>
    <cellStyle name="Normal 21 2 5 3 3 2" xfId="23404"/>
    <cellStyle name="Normal 21 2 5 3 4" xfId="23405"/>
    <cellStyle name="Normal 21 2 5 4" xfId="23406"/>
    <cellStyle name="Normal 21 2 5 4 2" xfId="23407"/>
    <cellStyle name="Normal 21 2 5 4 2 2" xfId="23408"/>
    <cellStyle name="Normal 21 2 5 4 3" xfId="23409"/>
    <cellStyle name="Normal 21 2 5 5" xfId="23410"/>
    <cellStyle name="Normal 21 2 5 5 2" xfId="23411"/>
    <cellStyle name="Normal 21 2 5 6" xfId="23412"/>
    <cellStyle name="Normal 21 2 6" xfId="23413"/>
    <cellStyle name="Normal 21 2 6 2" xfId="23414"/>
    <cellStyle name="Normal 21 2 6 2 2" xfId="23415"/>
    <cellStyle name="Normal 21 2 6 2 2 2" xfId="23416"/>
    <cellStyle name="Normal 21 2 6 2 3" xfId="23417"/>
    <cellStyle name="Normal 21 2 6 3" xfId="23418"/>
    <cellStyle name="Normal 21 2 6 3 2" xfId="23419"/>
    <cellStyle name="Normal 21 2 6 4" xfId="23420"/>
    <cellStyle name="Normal 21 2 7" xfId="23421"/>
    <cellStyle name="Normal 21 2 7 2" xfId="23422"/>
    <cellStyle name="Normal 21 2 7 2 2" xfId="23423"/>
    <cellStyle name="Normal 21 2 7 2 2 2" xfId="23424"/>
    <cellStyle name="Normal 21 2 7 2 3" xfId="23425"/>
    <cellStyle name="Normal 21 2 7 3" xfId="23426"/>
    <cellStyle name="Normal 21 2 7 3 2" xfId="23427"/>
    <cellStyle name="Normal 21 2 7 4" xfId="23428"/>
    <cellStyle name="Normal 21 2 8" xfId="23429"/>
    <cellStyle name="Normal 21 2 8 2" xfId="23430"/>
    <cellStyle name="Normal 21 2 8 2 2" xfId="23431"/>
    <cellStyle name="Normal 21 2 8 2 2 2" xfId="23432"/>
    <cellStyle name="Normal 21 2 8 2 3" xfId="23433"/>
    <cellStyle name="Normal 21 2 8 3" xfId="23434"/>
    <cellStyle name="Normal 21 2 8 3 2" xfId="23435"/>
    <cellStyle name="Normal 21 2 8 4" xfId="23436"/>
    <cellStyle name="Normal 21 2 9" xfId="23437"/>
    <cellStyle name="Normal 21 2 9 2" xfId="23438"/>
    <cellStyle name="Normal 21 2 9 2 2" xfId="23439"/>
    <cellStyle name="Normal 21 2 9 3" xfId="23440"/>
    <cellStyle name="Normal 21 3" xfId="23441"/>
    <cellStyle name="Normal 21 3 10" xfId="23442"/>
    <cellStyle name="Normal 21 3 2" xfId="23443"/>
    <cellStyle name="Normal 21 3 2 2" xfId="23444"/>
    <cellStyle name="Normal 21 3 2 2 2" xfId="23445"/>
    <cellStyle name="Normal 21 3 2 2 2 2" xfId="23446"/>
    <cellStyle name="Normal 21 3 2 2 2 2 2" xfId="23447"/>
    <cellStyle name="Normal 21 3 2 2 2 2 2 2" xfId="23448"/>
    <cellStyle name="Normal 21 3 2 2 2 2 2 2 2" xfId="23449"/>
    <cellStyle name="Normal 21 3 2 2 2 2 2 3" xfId="23450"/>
    <cellStyle name="Normal 21 3 2 2 2 2 3" xfId="23451"/>
    <cellStyle name="Normal 21 3 2 2 2 2 3 2" xfId="23452"/>
    <cellStyle name="Normal 21 3 2 2 2 2 4" xfId="23453"/>
    <cellStyle name="Normal 21 3 2 2 2 3" xfId="23454"/>
    <cellStyle name="Normal 21 3 2 2 2 3 2" xfId="23455"/>
    <cellStyle name="Normal 21 3 2 2 2 3 2 2" xfId="23456"/>
    <cellStyle name="Normal 21 3 2 2 2 3 2 2 2" xfId="23457"/>
    <cellStyle name="Normal 21 3 2 2 2 3 2 3" xfId="23458"/>
    <cellStyle name="Normal 21 3 2 2 2 3 3" xfId="23459"/>
    <cellStyle name="Normal 21 3 2 2 2 3 3 2" xfId="23460"/>
    <cellStyle name="Normal 21 3 2 2 2 3 4" xfId="23461"/>
    <cellStyle name="Normal 21 3 2 2 2 4" xfId="23462"/>
    <cellStyle name="Normal 21 3 2 2 2 4 2" xfId="23463"/>
    <cellStyle name="Normal 21 3 2 2 2 4 2 2" xfId="23464"/>
    <cellStyle name="Normal 21 3 2 2 2 4 3" xfId="23465"/>
    <cellStyle name="Normal 21 3 2 2 2 5" xfId="23466"/>
    <cellStyle name="Normal 21 3 2 2 2 5 2" xfId="23467"/>
    <cellStyle name="Normal 21 3 2 2 2 6" xfId="23468"/>
    <cellStyle name="Normal 21 3 2 2 3" xfId="23469"/>
    <cellStyle name="Normal 21 3 2 2 3 2" xfId="23470"/>
    <cellStyle name="Normal 21 3 2 2 3 2 2" xfId="23471"/>
    <cellStyle name="Normal 21 3 2 2 3 2 2 2" xfId="23472"/>
    <cellStyle name="Normal 21 3 2 2 3 2 3" xfId="23473"/>
    <cellStyle name="Normal 21 3 2 2 3 3" xfId="23474"/>
    <cellStyle name="Normal 21 3 2 2 3 3 2" xfId="23475"/>
    <cellStyle name="Normal 21 3 2 2 3 4" xfId="23476"/>
    <cellStyle name="Normal 21 3 2 2 4" xfId="23477"/>
    <cellStyle name="Normal 21 3 2 2 4 2" xfId="23478"/>
    <cellStyle name="Normal 21 3 2 2 4 2 2" xfId="23479"/>
    <cellStyle name="Normal 21 3 2 2 4 2 2 2" xfId="23480"/>
    <cellStyle name="Normal 21 3 2 2 4 2 3" xfId="23481"/>
    <cellStyle name="Normal 21 3 2 2 4 3" xfId="23482"/>
    <cellStyle name="Normal 21 3 2 2 4 3 2" xfId="23483"/>
    <cellStyle name="Normal 21 3 2 2 4 4" xfId="23484"/>
    <cellStyle name="Normal 21 3 2 2 5" xfId="23485"/>
    <cellStyle name="Normal 21 3 2 2 5 2" xfId="23486"/>
    <cellStyle name="Normal 21 3 2 2 5 2 2" xfId="23487"/>
    <cellStyle name="Normal 21 3 2 2 5 3" xfId="23488"/>
    <cellStyle name="Normal 21 3 2 2 6" xfId="23489"/>
    <cellStyle name="Normal 21 3 2 2 6 2" xfId="23490"/>
    <cellStyle name="Normal 21 3 2 2 7" xfId="23491"/>
    <cellStyle name="Normal 21 3 2 3" xfId="23492"/>
    <cellStyle name="Normal 21 3 2 3 2" xfId="23493"/>
    <cellStyle name="Normal 21 3 2 3 2 2" xfId="23494"/>
    <cellStyle name="Normal 21 3 2 3 2 2 2" xfId="23495"/>
    <cellStyle name="Normal 21 3 2 3 2 2 2 2" xfId="23496"/>
    <cellStyle name="Normal 21 3 2 3 2 2 3" xfId="23497"/>
    <cellStyle name="Normal 21 3 2 3 2 3" xfId="23498"/>
    <cellStyle name="Normal 21 3 2 3 2 3 2" xfId="23499"/>
    <cellStyle name="Normal 21 3 2 3 2 4" xfId="23500"/>
    <cellStyle name="Normal 21 3 2 3 3" xfId="23501"/>
    <cellStyle name="Normal 21 3 2 3 3 2" xfId="23502"/>
    <cellStyle name="Normal 21 3 2 3 3 2 2" xfId="23503"/>
    <cellStyle name="Normal 21 3 2 3 3 2 2 2" xfId="23504"/>
    <cellStyle name="Normal 21 3 2 3 3 2 3" xfId="23505"/>
    <cellStyle name="Normal 21 3 2 3 3 3" xfId="23506"/>
    <cellStyle name="Normal 21 3 2 3 3 3 2" xfId="23507"/>
    <cellStyle name="Normal 21 3 2 3 3 4" xfId="23508"/>
    <cellStyle name="Normal 21 3 2 3 4" xfId="23509"/>
    <cellStyle name="Normal 21 3 2 3 4 2" xfId="23510"/>
    <cellStyle name="Normal 21 3 2 3 4 2 2" xfId="23511"/>
    <cellStyle name="Normal 21 3 2 3 4 3" xfId="23512"/>
    <cellStyle name="Normal 21 3 2 3 5" xfId="23513"/>
    <cellStyle name="Normal 21 3 2 3 5 2" xfId="23514"/>
    <cellStyle name="Normal 21 3 2 3 6" xfId="23515"/>
    <cellStyle name="Normal 21 3 2 4" xfId="23516"/>
    <cellStyle name="Normal 21 3 2 4 2" xfId="23517"/>
    <cellStyle name="Normal 21 3 2 4 2 2" xfId="23518"/>
    <cellStyle name="Normal 21 3 2 4 2 2 2" xfId="23519"/>
    <cellStyle name="Normal 21 3 2 4 2 3" xfId="23520"/>
    <cellStyle name="Normal 21 3 2 4 3" xfId="23521"/>
    <cellStyle name="Normal 21 3 2 4 3 2" xfId="23522"/>
    <cellStyle name="Normal 21 3 2 4 4" xfId="23523"/>
    <cellStyle name="Normal 21 3 2 5" xfId="23524"/>
    <cellStyle name="Normal 21 3 2 5 2" xfId="23525"/>
    <cellStyle name="Normal 21 3 2 5 2 2" xfId="23526"/>
    <cellStyle name="Normal 21 3 2 5 2 2 2" xfId="23527"/>
    <cellStyle name="Normal 21 3 2 5 2 3" xfId="23528"/>
    <cellStyle name="Normal 21 3 2 5 3" xfId="23529"/>
    <cellStyle name="Normal 21 3 2 5 3 2" xfId="23530"/>
    <cellStyle name="Normal 21 3 2 5 4" xfId="23531"/>
    <cellStyle name="Normal 21 3 2 6" xfId="23532"/>
    <cellStyle name="Normal 21 3 2 6 2" xfId="23533"/>
    <cellStyle name="Normal 21 3 2 6 2 2" xfId="23534"/>
    <cellStyle name="Normal 21 3 2 6 2 2 2" xfId="23535"/>
    <cellStyle name="Normal 21 3 2 6 2 3" xfId="23536"/>
    <cellStyle name="Normal 21 3 2 6 3" xfId="23537"/>
    <cellStyle name="Normal 21 3 2 6 3 2" xfId="23538"/>
    <cellStyle name="Normal 21 3 2 6 4" xfId="23539"/>
    <cellStyle name="Normal 21 3 2 7" xfId="23540"/>
    <cellStyle name="Normal 21 3 2 7 2" xfId="23541"/>
    <cellStyle name="Normal 21 3 2 7 2 2" xfId="23542"/>
    <cellStyle name="Normal 21 3 2 7 3" xfId="23543"/>
    <cellStyle name="Normal 21 3 2 8" xfId="23544"/>
    <cellStyle name="Normal 21 3 2 8 2" xfId="23545"/>
    <cellStyle name="Normal 21 3 2 9" xfId="23546"/>
    <cellStyle name="Normal 21 3 3" xfId="23547"/>
    <cellStyle name="Normal 21 3 3 2" xfId="23548"/>
    <cellStyle name="Normal 21 3 3 2 2" xfId="23549"/>
    <cellStyle name="Normal 21 3 3 2 2 2" xfId="23550"/>
    <cellStyle name="Normal 21 3 3 2 2 2 2" xfId="23551"/>
    <cellStyle name="Normal 21 3 3 2 2 2 2 2" xfId="23552"/>
    <cellStyle name="Normal 21 3 3 2 2 2 3" xfId="23553"/>
    <cellStyle name="Normal 21 3 3 2 2 3" xfId="23554"/>
    <cellStyle name="Normal 21 3 3 2 2 3 2" xfId="23555"/>
    <cellStyle name="Normal 21 3 3 2 2 4" xfId="23556"/>
    <cellStyle name="Normal 21 3 3 2 3" xfId="23557"/>
    <cellStyle name="Normal 21 3 3 2 3 2" xfId="23558"/>
    <cellStyle name="Normal 21 3 3 2 3 2 2" xfId="23559"/>
    <cellStyle name="Normal 21 3 3 2 3 2 2 2" xfId="23560"/>
    <cellStyle name="Normal 21 3 3 2 3 2 3" xfId="23561"/>
    <cellStyle name="Normal 21 3 3 2 3 3" xfId="23562"/>
    <cellStyle name="Normal 21 3 3 2 3 3 2" xfId="23563"/>
    <cellStyle name="Normal 21 3 3 2 3 4" xfId="23564"/>
    <cellStyle name="Normal 21 3 3 2 4" xfId="23565"/>
    <cellStyle name="Normal 21 3 3 2 4 2" xfId="23566"/>
    <cellStyle name="Normal 21 3 3 2 4 2 2" xfId="23567"/>
    <cellStyle name="Normal 21 3 3 2 4 3" xfId="23568"/>
    <cellStyle name="Normal 21 3 3 2 5" xfId="23569"/>
    <cellStyle name="Normal 21 3 3 2 5 2" xfId="23570"/>
    <cellStyle name="Normal 21 3 3 2 6" xfId="23571"/>
    <cellStyle name="Normal 21 3 3 3" xfId="23572"/>
    <cellStyle name="Normal 21 3 3 3 2" xfId="23573"/>
    <cellStyle name="Normal 21 3 3 3 2 2" xfId="23574"/>
    <cellStyle name="Normal 21 3 3 3 2 2 2" xfId="23575"/>
    <cellStyle name="Normal 21 3 3 3 2 3" xfId="23576"/>
    <cellStyle name="Normal 21 3 3 3 3" xfId="23577"/>
    <cellStyle name="Normal 21 3 3 3 3 2" xfId="23578"/>
    <cellStyle name="Normal 21 3 3 3 4" xfId="23579"/>
    <cellStyle name="Normal 21 3 3 4" xfId="23580"/>
    <cellStyle name="Normal 21 3 3 4 2" xfId="23581"/>
    <cellStyle name="Normal 21 3 3 4 2 2" xfId="23582"/>
    <cellStyle name="Normal 21 3 3 4 2 2 2" xfId="23583"/>
    <cellStyle name="Normal 21 3 3 4 2 3" xfId="23584"/>
    <cellStyle name="Normal 21 3 3 4 3" xfId="23585"/>
    <cellStyle name="Normal 21 3 3 4 3 2" xfId="23586"/>
    <cellStyle name="Normal 21 3 3 4 4" xfId="23587"/>
    <cellStyle name="Normal 21 3 3 5" xfId="23588"/>
    <cellStyle name="Normal 21 3 3 5 2" xfId="23589"/>
    <cellStyle name="Normal 21 3 3 5 2 2" xfId="23590"/>
    <cellStyle name="Normal 21 3 3 5 3" xfId="23591"/>
    <cellStyle name="Normal 21 3 3 6" xfId="23592"/>
    <cellStyle name="Normal 21 3 3 6 2" xfId="23593"/>
    <cellStyle name="Normal 21 3 3 7" xfId="23594"/>
    <cellStyle name="Normal 21 3 4" xfId="23595"/>
    <cellStyle name="Normal 21 3 4 2" xfId="23596"/>
    <cellStyle name="Normal 21 3 4 2 2" xfId="23597"/>
    <cellStyle name="Normal 21 3 4 2 2 2" xfId="23598"/>
    <cellStyle name="Normal 21 3 4 2 2 2 2" xfId="23599"/>
    <cellStyle name="Normal 21 3 4 2 2 3" xfId="23600"/>
    <cellStyle name="Normal 21 3 4 2 3" xfId="23601"/>
    <cellStyle name="Normal 21 3 4 2 3 2" xfId="23602"/>
    <cellStyle name="Normal 21 3 4 2 4" xfId="23603"/>
    <cellStyle name="Normal 21 3 4 3" xfId="23604"/>
    <cellStyle name="Normal 21 3 4 3 2" xfId="23605"/>
    <cellStyle name="Normal 21 3 4 3 2 2" xfId="23606"/>
    <cellStyle name="Normal 21 3 4 3 2 2 2" xfId="23607"/>
    <cellStyle name="Normal 21 3 4 3 2 3" xfId="23608"/>
    <cellStyle name="Normal 21 3 4 3 3" xfId="23609"/>
    <cellStyle name="Normal 21 3 4 3 3 2" xfId="23610"/>
    <cellStyle name="Normal 21 3 4 3 4" xfId="23611"/>
    <cellStyle name="Normal 21 3 4 4" xfId="23612"/>
    <cellStyle name="Normal 21 3 4 4 2" xfId="23613"/>
    <cellStyle name="Normal 21 3 4 4 2 2" xfId="23614"/>
    <cellStyle name="Normal 21 3 4 4 3" xfId="23615"/>
    <cellStyle name="Normal 21 3 4 5" xfId="23616"/>
    <cellStyle name="Normal 21 3 4 5 2" xfId="23617"/>
    <cellStyle name="Normal 21 3 4 6" xfId="23618"/>
    <cellStyle name="Normal 21 3 5" xfId="23619"/>
    <cellStyle name="Normal 21 3 5 2" xfId="23620"/>
    <cellStyle name="Normal 21 3 5 2 2" xfId="23621"/>
    <cellStyle name="Normal 21 3 5 2 2 2" xfId="23622"/>
    <cellStyle name="Normal 21 3 5 2 3" xfId="23623"/>
    <cellStyle name="Normal 21 3 5 3" xfId="23624"/>
    <cellStyle name="Normal 21 3 5 3 2" xfId="23625"/>
    <cellStyle name="Normal 21 3 5 4" xfId="23626"/>
    <cellStyle name="Normal 21 3 6" xfId="23627"/>
    <cellStyle name="Normal 21 3 6 2" xfId="23628"/>
    <cellStyle name="Normal 21 3 6 2 2" xfId="23629"/>
    <cellStyle name="Normal 21 3 6 2 2 2" xfId="23630"/>
    <cellStyle name="Normal 21 3 6 2 3" xfId="23631"/>
    <cellStyle name="Normal 21 3 6 3" xfId="23632"/>
    <cellStyle name="Normal 21 3 6 3 2" xfId="23633"/>
    <cellStyle name="Normal 21 3 6 4" xfId="23634"/>
    <cellStyle name="Normal 21 3 7" xfId="23635"/>
    <cellStyle name="Normal 21 3 7 2" xfId="23636"/>
    <cellStyle name="Normal 21 3 7 2 2" xfId="23637"/>
    <cellStyle name="Normal 21 3 7 2 2 2" xfId="23638"/>
    <cellStyle name="Normal 21 3 7 2 3" xfId="23639"/>
    <cellStyle name="Normal 21 3 7 3" xfId="23640"/>
    <cellStyle name="Normal 21 3 7 3 2" xfId="23641"/>
    <cellStyle name="Normal 21 3 7 4" xfId="23642"/>
    <cellStyle name="Normal 21 3 8" xfId="23643"/>
    <cellStyle name="Normal 21 3 8 2" xfId="23644"/>
    <cellStyle name="Normal 21 3 8 2 2" xfId="23645"/>
    <cellStyle name="Normal 21 3 8 3" xfId="23646"/>
    <cellStyle name="Normal 21 3 9" xfId="23647"/>
    <cellStyle name="Normal 21 3 9 2" xfId="23648"/>
    <cellStyle name="Normal 21 4" xfId="23649"/>
    <cellStyle name="Normal 21 4 10" xfId="23650"/>
    <cellStyle name="Normal 21 4 2" xfId="23651"/>
    <cellStyle name="Normal 21 4 2 2" xfId="23652"/>
    <cellStyle name="Normal 21 4 2 2 2" xfId="23653"/>
    <cellStyle name="Normal 21 4 2 2 2 2" xfId="23654"/>
    <cellStyle name="Normal 21 4 2 2 2 2 2" xfId="23655"/>
    <cellStyle name="Normal 21 4 2 2 2 2 2 2" xfId="23656"/>
    <cellStyle name="Normal 21 4 2 2 2 2 2 2 2" xfId="23657"/>
    <cellStyle name="Normal 21 4 2 2 2 2 2 3" xfId="23658"/>
    <cellStyle name="Normal 21 4 2 2 2 2 3" xfId="23659"/>
    <cellStyle name="Normal 21 4 2 2 2 2 3 2" xfId="23660"/>
    <cellStyle name="Normal 21 4 2 2 2 2 4" xfId="23661"/>
    <cellStyle name="Normal 21 4 2 2 2 3" xfId="23662"/>
    <cellStyle name="Normal 21 4 2 2 2 3 2" xfId="23663"/>
    <cellStyle name="Normal 21 4 2 2 2 3 2 2" xfId="23664"/>
    <cellStyle name="Normal 21 4 2 2 2 3 2 2 2" xfId="23665"/>
    <cellStyle name="Normal 21 4 2 2 2 3 2 3" xfId="23666"/>
    <cellStyle name="Normal 21 4 2 2 2 3 3" xfId="23667"/>
    <cellStyle name="Normal 21 4 2 2 2 3 3 2" xfId="23668"/>
    <cellStyle name="Normal 21 4 2 2 2 3 4" xfId="23669"/>
    <cellStyle name="Normal 21 4 2 2 2 4" xfId="23670"/>
    <cellStyle name="Normal 21 4 2 2 2 4 2" xfId="23671"/>
    <cellStyle name="Normal 21 4 2 2 2 4 2 2" xfId="23672"/>
    <cellStyle name="Normal 21 4 2 2 2 4 3" xfId="23673"/>
    <cellStyle name="Normal 21 4 2 2 2 5" xfId="23674"/>
    <cellStyle name="Normal 21 4 2 2 2 5 2" xfId="23675"/>
    <cellStyle name="Normal 21 4 2 2 2 6" xfId="23676"/>
    <cellStyle name="Normal 21 4 2 2 3" xfId="23677"/>
    <cellStyle name="Normal 21 4 2 2 3 2" xfId="23678"/>
    <cellStyle name="Normal 21 4 2 2 3 2 2" xfId="23679"/>
    <cellStyle name="Normal 21 4 2 2 3 2 2 2" xfId="23680"/>
    <cellStyle name="Normal 21 4 2 2 3 2 3" xfId="23681"/>
    <cellStyle name="Normal 21 4 2 2 3 3" xfId="23682"/>
    <cellStyle name="Normal 21 4 2 2 3 3 2" xfId="23683"/>
    <cellStyle name="Normal 21 4 2 2 3 4" xfId="23684"/>
    <cellStyle name="Normal 21 4 2 2 4" xfId="23685"/>
    <cellStyle name="Normal 21 4 2 2 4 2" xfId="23686"/>
    <cellStyle name="Normal 21 4 2 2 4 2 2" xfId="23687"/>
    <cellStyle name="Normal 21 4 2 2 4 2 2 2" xfId="23688"/>
    <cellStyle name="Normal 21 4 2 2 4 2 3" xfId="23689"/>
    <cellStyle name="Normal 21 4 2 2 4 3" xfId="23690"/>
    <cellStyle name="Normal 21 4 2 2 4 3 2" xfId="23691"/>
    <cellStyle name="Normal 21 4 2 2 4 4" xfId="23692"/>
    <cellStyle name="Normal 21 4 2 2 5" xfId="23693"/>
    <cellStyle name="Normal 21 4 2 2 5 2" xfId="23694"/>
    <cellStyle name="Normal 21 4 2 2 5 2 2" xfId="23695"/>
    <cellStyle name="Normal 21 4 2 2 5 3" xfId="23696"/>
    <cellStyle name="Normal 21 4 2 2 6" xfId="23697"/>
    <cellStyle name="Normal 21 4 2 2 6 2" xfId="23698"/>
    <cellStyle name="Normal 21 4 2 2 7" xfId="23699"/>
    <cellStyle name="Normal 21 4 2 3" xfId="23700"/>
    <cellStyle name="Normal 21 4 2 3 2" xfId="23701"/>
    <cellStyle name="Normal 21 4 2 3 2 2" xfId="23702"/>
    <cellStyle name="Normal 21 4 2 3 2 2 2" xfId="23703"/>
    <cellStyle name="Normal 21 4 2 3 2 2 2 2" xfId="23704"/>
    <cellStyle name="Normal 21 4 2 3 2 2 3" xfId="23705"/>
    <cellStyle name="Normal 21 4 2 3 2 3" xfId="23706"/>
    <cellStyle name="Normal 21 4 2 3 2 3 2" xfId="23707"/>
    <cellStyle name="Normal 21 4 2 3 2 4" xfId="23708"/>
    <cellStyle name="Normal 21 4 2 3 3" xfId="23709"/>
    <cellStyle name="Normal 21 4 2 3 3 2" xfId="23710"/>
    <cellStyle name="Normal 21 4 2 3 3 2 2" xfId="23711"/>
    <cellStyle name="Normal 21 4 2 3 3 2 2 2" xfId="23712"/>
    <cellStyle name="Normal 21 4 2 3 3 2 3" xfId="23713"/>
    <cellStyle name="Normal 21 4 2 3 3 3" xfId="23714"/>
    <cellStyle name="Normal 21 4 2 3 3 3 2" xfId="23715"/>
    <cellStyle name="Normal 21 4 2 3 3 4" xfId="23716"/>
    <cellStyle name="Normal 21 4 2 3 4" xfId="23717"/>
    <cellStyle name="Normal 21 4 2 3 4 2" xfId="23718"/>
    <cellStyle name="Normal 21 4 2 3 4 2 2" xfId="23719"/>
    <cellStyle name="Normal 21 4 2 3 4 3" xfId="23720"/>
    <cellStyle name="Normal 21 4 2 3 5" xfId="23721"/>
    <cellStyle name="Normal 21 4 2 3 5 2" xfId="23722"/>
    <cellStyle name="Normal 21 4 2 3 6" xfId="23723"/>
    <cellStyle name="Normal 21 4 2 4" xfId="23724"/>
    <cellStyle name="Normal 21 4 2 4 2" xfId="23725"/>
    <cellStyle name="Normal 21 4 2 4 2 2" xfId="23726"/>
    <cellStyle name="Normal 21 4 2 4 2 2 2" xfId="23727"/>
    <cellStyle name="Normal 21 4 2 4 2 3" xfId="23728"/>
    <cellStyle name="Normal 21 4 2 4 3" xfId="23729"/>
    <cellStyle name="Normal 21 4 2 4 3 2" xfId="23730"/>
    <cellStyle name="Normal 21 4 2 4 4" xfId="23731"/>
    <cellStyle name="Normal 21 4 2 5" xfId="23732"/>
    <cellStyle name="Normal 21 4 2 5 2" xfId="23733"/>
    <cellStyle name="Normal 21 4 2 5 2 2" xfId="23734"/>
    <cellStyle name="Normal 21 4 2 5 2 2 2" xfId="23735"/>
    <cellStyle name="Normal 21 4 2 5 2 3" xfId="23736"/>
    <cellStyle name="Normal 21 4 2 5 3" xfId="23737"/>
    <cellStyle name="Normal 21 4 2 5 3 2" xfId="23738"/>
    <cellStyle name="Normal 21 4 2 5 4" xfId="23739"/>
    <cellStyle name="Normal 21 4 2 6" xfId="23740"/>
    <cellStyle name="Normal 21 4 2 6 2" xfId="23741"/>
    <cellStyle name="Normal 21 4 2 6 2 2" xfId="23742"/>
    <cellStyle name="Normal 21 4 2 6 2 2 2" xfId="23743"/>
    <cellStyle name="Normal 21 4 2 6 2 3" xfId="23744"/>
    <cellStyle name="Normal 21 4 2 6 3" xfId="23745"/>
    <cellStyle name="Normal 21 4 2 6 3 2" xfId="23746"/>
    <cellStyle name="Normal 21 4 2 6 4" xfId="23747"/>
    <cellStyle name="Normal 21 4 2 7" xfId="23748"/>
    <cellStyle name="Normal 21 4 2 7 2" xfId="23749"/>
    <cellStyle name="Normal 21 4 2 7 2 2" xfId="23750"/>
    <cellStyle name="Normal 21 4 2 7 3" xfId="23751"/>
    <cellStyle name="Normal 21 4 2 8" xfId="23752"/>
    <cellStyle name="Normal 21 4 2 8 2" xfId="23753"/>
    <cellStyle name="Normal 21 4 2 9" xfId="23754"/>
    <cellStyle name="Normal 21 4 3" xfId="23755"/>
    <cellStyle name="Normal 21 4 3 2" xfId="23756"/>
    <cellStyle name="Normal 21 4 3 2 2" xfId="23757"/>
    <cellStyle name="Normal 21 4 3 2 2 2" xfId="23758"/>
    <cellStyle name="Normal 21 4 3 2 2 2 2" xfId="23759"/>
    <cellStyle name="Normal 21 4 3 2 2 2 2 2" xfId="23760"/>
    <cellStyle name="Normal 21 4 3 2 2 2 3" xfId="23761"/>
    <cellStyle name="Normal 21 4 3 2 2 3" xfId="23762"/>
    <cellStyle name="Normal 21 4 3 2 2 3 2" xfId="23763"/>
    <cellStyle name="Normal 21 4 3 2 2 4" xfId="23764"/>
    <cellStyle name="Normal 21 4 3 2 3" xfId="23765"/>
    <cellStyle name="Normal 21 4 3 2 3 2" xfId="23766"/>
    <cellStyle name="Normal 21 4 3 2 3 2 2" xfId="23767"/>
    <cellStyle name="Normal 21 4 3 2 3 2 2 2" xfId="23768"/>
    <cellStyle name="Normal 21 4 3 2 3 2 3" xfId="23769"/>
    <cellStyle name="Normal 21 4 3 2 3 3" xfId="23770"/>
    <cellStyle name="Normal 21 4 3 2 3 3 2" xfId="23771"/>
    <cellStyle name="Normal 21 4 3 2 3 4" xfId="23772"/>
    <cellStyle name="Normal 21 4 3 2 4" xfId="23773"/>
    <cellStyle name="Normal 21 4 3 2 4 2" xfId="23774"/>
    <cellStyle name="Normal 21 4 3 2 4 2 2" xfId="23775"/>
    <cellStyle name="Normal 21 4 3 2 4 3" xfId="23776"/>
    <cellStyle name="Normal 21 4 3 2 5" xfId="23777"/>
    <cellStyle name="Normal 21 4 3 2 5 2" xfId="23778"/>
    <cellStyle name="Normal 21 4 3 2 6" xfId="23779"/>
    <cellStyle name="Normal 21 4 3 3" xfId="23780"/>
    <cellStyle name="Normal 21 4 3 3 2" xfId="23781"/>
    <cellStyle name="Normal 21 4 3 3 2 2" xfId="23782"/>
    <cellStyle name="Normal 21 4 3 3 2 2 2" xfId="23783"/>
    <cellStyle name="Normal 21 4 3 3 2 3" xfId="23784"/>
    <cellStyle name="Normal 21 4 3 3 3" xfId="23785"/>
    <cellStyle name="Normal 21 4 3 3 3 2" xfId="23786"/>
    <cellStyle name="Normal 21 4 3 3 4" xfId="23787"/>
    <cellStyle name="Normal 21 4 3 4" xfId="23788"/>
    <cellStyle name="Normal 21 4 3 4 2" xfId="23789"/>
    <cellStyle name="Normal 21 4 3 4 2 2" xfId="23790"/>
    <cellStyle name="Normal 21 4 3 4 2 2 2" xfId="23791"/>
    <cellStyle name="Normal 21 4 3 4 2 3" xfId="23792"/>
    <cellStyle name="Normal 21 4 3 4 3" xfId="23793"/>
    <cellStyle name="Normal 21 4 3 4 3 2" xfId="23794"/>
    <cellStyle name="Normal 21 4 3 4 4" xfId="23795"/>
    <cellStyle name="Normal 21 4 3 5" xfId="23796"/>
    <cellStyle name="Normal 21 4 3 5 2" xfId="23797"/>
    <cellStyle name="Normal 21 4 3 5 2 2" xfId="23798"/>
    <cellStyle name="Normal 21 4 3 5 3" xfId="23799"/>
    <cellStyle name="Normal 21 4 3 6" xfId="23800"/>
    <cellStyle name="Normal 21 4 3 6 2" xfId="23801"/>
    <cellStyle name="Normal 21 4 3 7" xfId="23802"/>
    <cellStyle name="Normal 21 4 4" xfId="23803"/>
    <cellStyle name="Normal 21 4 4 2" xfId="23804"/>
    <cellStyle name="Normal 21 4 4 2 2" xfId="23805"/>
    <cellStyle name="Normal 21 4 4 2 2 2" xfId="23806"/>
    <cellStyle name="Normal 21 4 4 2 2 2 2" xfId="23807"/>
    <cellStyle name="Normal 21 4 4 2 2 3" xfId="23808"/>
    <cellStyle name="Normal 21 4 4 2 3" xfId="23809"/>
    <cellStyle name="Normal 21 4 4 2 3 2" xfId="23810"/>
    <cellStyle name="Normal 21 4 4 2 4" xfId="23811"/>
    <cellStyle name="Normal 21 4 4 3" xfId="23812"/>
    <cellStyle name="Normal 21 4 4 3 2" xfId="23813"/>
    <cellStyle name="Normal 21 4 4 3 2 2" xfId="23814"/>
    <cellStyle name="Normal 21 4 4 3 2 2 2" xfId="23815"/>
    <cellStyle name="Normal 21 4 4 3 2 3" xfId="23816"/>
    <cellStyle name="Normal 21 4 4 3 3" xfId="23817"/>
    <cellStyle name="Normal 21 4 4 3 3 2" xfId="23818"/>
    <cellStyle name="Normal 21 4 4 3 4" xfId="23819"/>
    <cellStyle name="Normal 21 4 4 4" xfId="23820"/>
    <cellStyle name="Normal 21 4 4 4 2" xfId="23821"/>
    <cellStyle name="Normal 21 4 4 4 2 2" xfId="23822"/>
    <cellStyle name="Normal 21 4 4 4 3" xfId="23823"/>
    <cellStyle name="Normal 21 4 4 5" xfId="23824"/>
    <cellStyle name="Normal 21 4 4 5 2" xfId="23825"/>
    <cellStyle name="Normal 21 4 4 6" xfId="23826"/>
    <cellStyle name="Normal 21 4 5" xfId="23827"/>
    <cellStyle name="Normal 21 4 5 2" xfId="23828"/>
    <cellStyle name="Normal 21 4 5 2 2" xfId="23829"/>
    <cellStyle name="Normal 21 4 5 2 2 2" xfId="23830"/>
    <cellStyle name="Normal 21 4 5 2 3" xfId="23831"/>
    <cellStyle name="Normal 21 4 5 3" xfId="23832"/>
    <cellStyle name="Normal 21 4 5 3 2" xfId="23833"/>
    <cellStyle name="Normal 21 4 5 4" xfId="23834"/>
    <cellStyle name="Normal 21 4 6" xfId="23835"/>
    <cellStyle name="Normal 21 4 6 2" xfId="23836"/>
    <cellStyle name="Normal 21 4 6 2 2" xfId="23837"/>
    <cellStyle name="Normal 21 4 6 2 2 2" xfId="23838"/>
    <cellStyle name="Normal 21 4 6 2 3" xfId="23839"/>
    <cellStyle name="Normal 21 4 6 3" xfId="23840"/>
    <cellStyle name="Normal 21 4 6 3 2" xfId="23841"/>
    <cellStyle name="Normal 21 4 6 4" xfId="23842"/>
    <cellStyle name="Normal 21 4 7" xfId="23843"/>
    <cellStyle name="Normal 21 4 7 2" xfId="23844"/>
    <cellStyle name="Normal 21 4 7 2 2" xfId="23845"/>
    <cellStyle name="Normal 21 4 7 2 2 2" xfId="23846"/>
    <cellStyle name="Normal 21 4 7 2 3" xfId="23847"/>
    <cellStyle name="Normal 21 4 7 3" xfId="23848"/>
    <cellStyle name="Normal 21 4 7 3 2" xfId="23849"/>
    <cellStyle name="Normal 21 4 7 4" xfId="23850"/>
    <cellStyle name="Normal 21 4 8" xfId="23851"/>
    <cellStyle name="Normal 21 4 8 2" xfId="23852"/>
    <cellStyle name="Normal 21 4 8 2 2" xfId="23853"/>
    <cellStyle name="Normal 21 4 8 3" xfId="23854"/>
    <cellStyle name="Normal 21 4 9" xfId="23855"/>
    <cellStyle name="Normal 21 4 9 2" xfId="23856"/>
    <cellStyle name="Normal 21 5" xfId="23857"/>
    <cellStyle name="Normal 21 5 2" xfId="23858"/>
    <cellStyle name="Normal 21 5 2 2" xfId="23859"/>
    <cellStyle name="Normal 21 5 2 2 2" xfId="23860"/>
    <cellStyle name="Normal 21 5 2 2 2 2" xfId="23861"/>
    <cellStyle name="Normal 21 5 2 2 2 2 2" xfId="23862"/>
    <cellStyle name="Normal 21 5 2 2 2 2 2 2" xfId="23863"/>
    <cellStyle name="Normal 21 5 2 2 2 2 3" xfId="23864"/>
    <cellStyle name="Normal 21 5 2 2 2 3" xfId="23865"/>
    <cellStyle name="Normal 21 5 2 2 2 3 2" xfId="23866"/>
    <cellStyle name="Normal 21 5 2 2 2 4" xfId="23867"/>
    <cellStyle name="Normal 21 5 2 2 3" xfId="23868"/>
    <cellStyle name="Normal 21 5 2 2 3 2" xfId="23869"/>
    <cellStyle name="Normal 21 5 2 2 3 2 2" xfId="23870"/>
    <cellStyle name="Normal 21 5 2 2 3 2 2 2" xfId="23871"/>
    <cellStyle name="Normal 21 5 2 2 3 2 3" xfId="23872"/>
    <cellStyle name="Normal 21 5 2 2 3 3" xfId="23873"/>
    <cellStyle name="Normal 21 5 2 2 3 3 2" xfId="23874"/>
    <cellStyle name="Normal 21 5 2 2 3 4" xfId="23875"/>
    <cellStyle name="Normal 21 5 2 2 4" xfId="23876"/>
    <cellStyle name="Normal 21 5 2 2 4 2" xfId="23877"/>
    <cellStyle name="Normal 21 5 2 2 4 2 2" xfId="23878"/>
    <cellStyle name="Normal 21 5 2 2 4 3" xfId="23879"/>
    <cellStyle name="Normal 21 5 2 2 5" xfId="23880"/>
    <cellStyle name="Normal 21 5 2 2 5 2" xfId="23881"/>
    <cellStyle name="Normal 21 5 2 2 6" xfId="23882"/>
    <cellStyle name="Normal 21 5 2 3" xfId="23883"/>
    <cellStyle name="Normal 21 5 2 3 2" xfId="23884"/>
    <cellStyle name="Normal 21 5 2 3 2 2" xfId="23885"/>
    <cellStyle name="Normal 21 5 2 3 2 2 2" xfId="23886"/>
    <cellStyle name="Normal 21 5 2 3 2 3" xfId="23887"/>
    <cellStyle name="Normal 21 5 2 3 3" xfId="23888"/>
    <cellStyle name="Normal 21 5 2 3 3 2" xfId="23889"/>
    <cellStyle name="Normal 21 5 2 3 4" xfId="23890"/>
    <cellStyle name="Normal 21 5 2 4" xfId="23891"/>
    <cellStyle name="Normal 21 5 2 4 2" xfId="23892"/>
    <cellStyle name="Normal 21 5 2 4 2 2" xfId="23893"/>
    <cellStyle name="Normal 21 5 2 4 2 2 2" xfId="23894"/>
    <cellStyle name="Normal 21 5 2 4 2 3" xfId="23895"/>
    <cellStyle name="Normal 21 5 2 4 3" xfId="23896"/>
    <cellStyle name="Normal 21 5 2 4 3 2" xfId="23897"/>
    <cellStyle name="Normal 21 5 2 4 4" xfId="23898"/>
    <cellStyle name="Normal 21 5 2 5" xfId="23899"/>
    <cellStyle name="Normal 21 5 2 5 2" xfId="23900"/>
    <cellStyle name="Normal 21 5 2 5 2 2" xfId="23901"/>
    <cellStyle name="Normal 21 5 2 5 3" xfId="23902"/>
    <cellStyle name="Normal 21 5 2 6" xfId="23903"/>
    <cellStyle name="Normal 21 5 2 6 2" xfId="23904"/>
    <cellStyle name="Normal 21 5 2 7" xfId="23905"/>
    <cellStyle name="Normal 21 5 3" xfId="23906"/>
    <cellStyle name="Normal 21 5 3 2" xfId="23907"/>
    <cellStyle name="Normal 21 5 3 2 2" xfId="23908"/>
    <cellStyle name="Normal 21 5 3 2 2 2" xfId="23909"/>
    <cellStyle name="Normal 21 5 3 2 2 2 2" xfId="23910"/>
    <cellStyle name="Normal 21 5 3 2 2 3" xfId="23911"/>
    <cellStyle name="Normal 21 5 3 2 3" xfId="23912"/>
    <cellStyle name="Normal 21 5 3 2 3 2" xfId="23913"/>
    <cellStyle name="Normal 21 5 3 2 4" xfId="23914"/>
    <cellStyle name="Normal 21 5 3 3" xfId="23915"/>
    <cellStyle name="Normal 21 5 3 3 2" xfId="23916"/>
    <cellStyle name="Normal 21 5 3 3 2 2" xfId="23917"/>
    <cellStyle name="Normal 21 5 3 3 2 2 2" xfId="23918"/>
    <cellStyle name="Normal 21 5 3 3 2 3" xfId="23919"/>
    <cellStyle name="Normal 21 5 3 3 3" xfId="23920"/>
    <cellStyle name="Normal 21 5 3 3 3 2" xfId="23921"/>
    <cellStyle name="Normal 21 5 3 3 4" xfId="23922"/>
    <cellStyle name="Normal 21 5 3 4" xfId="23923"/>
    <cellStyle name="Normal 21 5 3 4 2" xfId="23924"/>
    <cellStyle name="Normal 21 5 3 4 2 2" xfId="23925"/>
    <cellStyle name="Normal 21 5 3 4 3" xfId="23926"/>
    <cellStyle name="Normal 21 5 3 5" xfId="23927"/>
    <cellStyle name="Normal 21 5 3 5 2" xfId="23928"/>
    <cellStyle name="Normal 21 5 3 6" xfId="23929"/>
    <cellStyle name="Normal 21 5 4" xfId="23930"/>
    <cellStyle name="Normal 21 5 4 2" xfId="23931"/>
    <cellStyle name="Normal 21 5 4 2 2" xfId="23932"/>
    <cellStyle name="Normal 21 5 4 2 2 2" xfId="23933"/>
    <cellStyle name="Normal 21 5 4 2 3" xfId="23934"/>
    <cellStyle name="Normal 21 5 4 3" xfId="23935"/>
    <cellStyle name="Normal 21 5 4 3 2" xfId="23936"/>
    <cellStyle name="Normal 21 5 4 4" xfId="23937"/>
    <cellStyle name="Normal 21 5 5" xfId="23938"/>
    <cellStyle name="Normal 21 5 5 2" xfId="23939"/>
    <cellStyle name="Normal 21 5 5 2 2" xfId="23940"/>
    <cellStyle name="Normal 21 5 5 2 2 2" xfId="23941"/>
    <cellStyle name="Normal 21 5 5 2 3" xfId="23942"/>
    <cellStyle name="Normal 21 5 5 3" xfId="23943"/>
    <cellStyle name="Normal 21 5 5 3 2" xfId="23944"/>
    <cellStyle name="Normal 21 5 5 4" xfId="23945"/>
    <cellStyle name="Normal 21 5 6" xfId="23946"/>
    <cellStyle name="Normal 21 5 6 2" xfId="23947"/>
    <cellStyle name="Normal 21 5 6 2 2" xfId="23948"/>
    <cellStyle name="Normal 21 5 6 2 2 2" xfId="23949"/>
    <cellStyle name="Normal 21 5 6 2 3" xfId="23950"/>
    <cellStyle name="Normal 21 5 6 3" xfId="23951"/>
    <cellStyle name="Normal 21 5 6 3 2" xfId="23952"/>
    <cellStyle name="Normal 21 5 6 4" xfId="23953"/>
    <cellStyle name="Normal 21 5 7" xfId="23954"/>
    <cellStyle name="Normal 21 5 7 2" xfId="23955"/>
    <cellStyle name="Normal 21 5 7 2 2" xfId="23956"/>
    <cellStyle name="Normal 21 5 7 3" xfId="23957"/>
    <cellStyle name="Normal 21 5 8" xfId="23958"/>
    <cellStyle name="Normal 21 5 8 2" xfId="23959"/>
    <cellStyle name="Normal 21 5 9" xfId="23960"/>
    <cellStyle name="Normal 21 6" xfId="23961"/>
    <cellStyle name="Normal 21 6 2" xfId="23962"/>
    <cellStyle name="Normal 21 6 2 2" xfId="23963"/>
    <cellStyle name="Normal 21 6 2 2 2" xfId="23964"/>
    <cellStyle name="Normal 21 6 2 2 2 2" xfId="23965"/>
    <cellStyle name="Normal 21 6 2 2 2 2 2" xfId="23966"/>
    <cellStyle name="Normal 21 6 2 2 2 3" xfId="23967"/>
    <cellStyle name="Normal 21 6 2 2 3" xfId="23968"/>
    <cellStyle name="Normal 21 6 2 2 3 2" xfId="23969"/>
    <cellStyle name="Normal 21 6 2 2 4" xfId="23970"/>
    <cellStyle name="Normal 21 6 2 3" xfId="23971"/>
    <cellStyle name="Normal 21 6 2 3 2" xfId="23972"/>
    <cellStyle name="Normal 21 6 2 3 2 2" xfId="23973"/>
    <cellStyle name="Normal 21 6 2 3 2 2 2" xfId="23974"/>
    <cellStyle name="Normal 21 6 2 3 2 3" xfId="23975"/>
    <cellStyle name="Normal 21 6 2 3 3" xfId="23976"/>
    <cellStyle name="Normal 21 6 2 3 3 2" xfId="23977"/>
    <cellStyle name="Normal 21 6 2 3 4" xfId="23978"/>
    <cellStyle name="Normal 21 6 2 4" xfId="23979"/>
    <cellStyle name="Normal 21 6 2 4 2" xfId="23980"/>
    <cellStyle name="Normal 21 6 2 4 2 2" xfId="23981"/>
    <cellStyle name="Normal 21 6 2 4 3" xfId="23982"/>
    <cellStyle name="Normal 21 6 2 5" xfId="23983"/>
    <cellStyle name="Normal 21 6 2 5 2" xfId="23984"/>
    <cellStyle name="Normal 21 6 2 6" xfId="23985"/>
    <cellStyle name="Normal 21 6 3" xfId="23986"/>
    <cellStyle name="Normal 21 6 3 2" xfId="23987"/>
    <cellStyle name="Normal 21 6 3 2 2" xfId="23988"/>
    <cellStyle name="Normal 21 6 3 2 2 2" xfId="23989"/>
    <cellStyle name="Normal 21 6 3 2 3" xfId="23990"/>
    <cellStyle name="Normal 21 6 3 3" xfId="23991"/>
    <cellStyle name="Normal 21 6 3 3 2" xfId="23992"/>
    <cellStyle name="Normal 21 6 3 4" xfId="23993"/>
    <cellStyle name="Normal 21 6 4" xfId="23994"/>
    <cellStyle name="Normal 21 6 4 2" xfId="23995"/>
    <cellStyle name="Normal 21 6 4 2 2" xfId="23996"/>
    <cellStyle name="Normal 21 6 4 2 2 2" xfId="23997"/>
    <cellStyle name="Normal 21 6 4 2 3" xfId="23998"/>
    <cellStyle name="Normal 21 6 4 3" xfId="23999"/>
    <cellStyle name="Normal 21 6 4 3 2" xfId="24000"/>
    <cellStyle name="Normal 21 6 4 4" xfId="24001"/>
    <cellStyle name="Normal 21 6 5" xfId="24002"/>
    <cellStyle name="Normal 21 6 5 2" xfId="24003"/>
    <cellStyle name="Normal 21 6 5 2 2" xfId="24004"/>
    <cellStyle name="Normal 21 6 5 3" xfId="24005"/>
    <cellStyle name="Normal 21 6 6" xfId="24006"/>
    <cellStyle name="Normal 21 6 6 2" xfId="24007"/>
    <cellStyle name="Normal 21 6 7" xfId="24008"/>
    <cellStyle name="Normal 21 7" xfId="24009"/>
    <cellStyle name="Normal 21 7 2" xfId="24010"/>
    <cellStyle name="Normal 21 7 2 2" xfId="24011"/>
    <cellStyle name="Normal 21 7 2 2 2" xfId="24012"/>
    <cellStyle name="Normal 21 7 2 2 2 2" xfId="24013"/>
    <cellStyle name="Normal 21 7 2 2 3" xfId="24014"/>
    <cellStyle name="Normal 21 7 2 3" xfId="24015"/>
    <cellStyle name="Normal 21 7 2 3 2" xfId="24016"/>
    <cellStyle name="Normal 21 7 2 4" xfId="24017"/>
    <cellStyle name="Normal 21 7 3" xfId="24018"/>
    <cellStyle name="Normal 21 7 3 2" xfId="24019"/>
    <cellStyle name="Normal 21 7 3 2 2" xfId="24020"/>
    <cellStyle name="Normal 21 7 3 2 2 2" xfId="24021"/>
    <cellStyle name="Normal 21 7 3 2 3" xfId="24022"/>
    <cellStyle name="Normal 21 7 3 3" xfId="24023"/>
    <cellStyle name="Normal 21 7 3 3 2" xfId="24024"/>
    <cellStyle name="Normal 21 7 3 4" xfId="24025"/>
    <cellStyle name="Normal 21 7 4" xfId="24026"/>
    <cellStyle name="Normal 21 7 4 2" xfId="24027"/>
    <cellStyle name="Normal 21 7 4 2 2" xfId="24028"/>
    <cellStyle name="Normal 21 7 4 3" xfId="24029"/>
    <cellStyle name="Normal 21 7 5" xfId="24030"/>
    <cellStyle name="Normal 21 7 5 2" xfId="24031"/>
    <cellStyle name="Normal 21 7 6" xfId="24032"/>
    <cellStyle name="Normal 21 8" xfId="24033"/>
    <cellStyle name="Normal 21 8 2" xfId="24034"/>
    <cellStyle name="Normal 21 8 2 2" xfId="24035"/>
    <cellStyle name="Normal 21 8 2 2 2" xfId="24036"/>
    <cellStyle name="Normal 21 8 2 3" xfId="24037"/>
    <cellStyle name="Normal 21 8 3" xfId="24038"/>
    <cellStyle name="Normal 21 8 3 2" xfId="24039"/>
    <cellStyle name="Normal 21 8 4" xfId="24040"/>
    <cellStyle name="Normal 21 9" xfId="24041"/>
    <cellStyle name="Normal 21 9 2" xfId="24042"/>
    <cellStyle name="Normal 21 9 2 2" xfId="24043"/>
    <cellStyle name="Normal 21 9 2 2 2" xfId="24044"/>
    <cellStyle name="Normal 21 9 2 3" xfId="24045"/>
    <cellStyle name="Normal 21 9 3" xfId="24046"/>
    <cellStyle name="Normal 21 9 3 2" xfId="24047"/>
    <cellStyle name="Normal 21 9 4" xfId="24048"/>
    <cellStyle name="Normal 22" xfId="24049"/>
    <cellStyle name="Normal 22 10" xfId="24050"/>
    <cellStyle name="Normal 22 10 2" xfId="24051"/>
    <cellStyle name="Normal 22 11" xfId="24052"/>
    <cellStyle name="Normal 22 2" xfId="24053"/>
    <cellStyle name="Normal 22 2 10" xfId="24054"/>
    <cellStyle name="Normal 22 2 2" xfId="24055"/>
    <cellStyle name="Normal 22 2 2 2" xfId="24056"/>
    <cellStyle name="Normal 22 2 2 2 2" xfId="24057"/>
    <cellStyle name="Normal 22 2 2 2 2 2" xfId="24058"/>
    <cellStyle name="Normal 22 2 2 2 2 2 2" xfId="24059"/>
    <cellStyle name="Normal 22 2 2 2 2 2 2 2" xfId="24060"/>
    <cellStyle name="Normal 22 2 2 2 2 2 2 2 2" xfId="24061"/>
    <cellStyle name="Normal 22 2 2 2 2 2 2 3" xfId="24062"/>
    <cellStyle name="Normal 22 2 2 2 2 2 3" xfId="24063"/>
    <cellStyle name="Normal 22 2 2 2 2 2 3 2" xfId="24064"/>
    <cellStyle name="Normal 22 2 2 2 2 2 4" xfId="24065"/>
    <cellStyle name="Normal 22 2 2 2 2 3" xfId="24066"/>
    <cellStyle name="Normal 22 2 2 2 2 3 2" xfId="24067"/>
    <cellStyle name="Normal 22 2 2 2 2 3 2 2" xfId="24068"/>
    <cellStyle name="Normal 22 2 2 2 2 3 2 2 2" xfId="24069"/>
    <cellStyle name="Normal 22 2 2 2 2 3 2 3" xfId="24070"/>
    <cellStyle name="Normal 22 2 2 2 2 3 3" xfId="24071"/>
    <cellStyle name="Normal 22 2 2 2 2 3 3 2" xfId="24072"/>
    <cellStyle name="Normal 22 2 2 2 2 3 4" xfId="24073"/>
    <cellStyle name="Normal 22 2 2 2 2 4" xfId="24074"/>
    <cellStyle name="Normal 22 2 2 2 2 4 2" xfId="24075"/>
    <cellStyle name="Normal 22 2 2 2 2 4 2 2" xfId="24076"/>
    <cellStyle name="Normal 22 2 2 2 2 4 3" xfId="24077"/>
    <cellStyle name="Normal 22 2 2 2 2 5" xfId="24078"/>
    <cellStyle name="Normal 22 2 2 2 2 5 2" xfId="24079"/>
    <cellStyle name="Normal 22 2 2 2 2 6" xfId="24080"/>
    <cellStyle name="Normal 22 2 2 2 3" xfId="24081"/>
    <cellStyle name="Normal 22 2 2 2 3 2" xfId="24082"/>
    <cellStyle name="Normal 22 2 2 2 3 2 2" xfId="24083"/>
    <cellStyle name="Normal 22 2 2 2 3 2 2 2" xfId="24084"/>
    <cellStyle name="Normal 22 2 2 2 3 2 3" xfId="24085"/>
    <cellStyle name="Normal 22 2 2 2 3 3" xfId="24086"/>
    <cellStyle name="Normal 22 2 2 2 3 3 2" xfId="24087"/>
    <cellStyle name="Normal 22 2 2 2 3 4" xfId="24088"/>
    <cellStyle name="Normal 22 2 2 2 4" xfId="24089"/>
    <cellStyle name="Normal 22 2 2 2 4 2" xfId="24090"/>
    <cellStyle name="Normal 22 2 2 2 4 2 2" xfId="24091"/>
    <cellStyle name="Normal 22 2 2 2 4 2 2 2" xfId="24092"/>
    <cellStyle name="Normal 22 2 2 2 4 2 3" xfId="24093"/>
    <cellStyle name="Normal 22 2 2 2 4 3" xfId="24094"/>
    <cellStyle name="Normal 22 2 2 2 4 3 2" xfId="24095"/>
    <cellStyle name="Normal 22 2 2 2 4 4" xfId="24096"/>
    <cellStyle name="Normal 22 2 2 2 5" xfId="24097"/>
    <cellStyle name="Normal 22 2 2 2 5 2" xfId="24098"/>
    <cellStyle name="Normal 22 2 2 2 5 2 2" xfId="24099"/>
    <cellStyle name="Normal 22 2 2 2 5 3" xfId="24100"/>
    <cellStyle name="Normal 22 2 2 2 6" xfId="24101"/>
    <cellStyle name="Normal 22 2 2 2 6 2" xfId="24102"/>
    <cellStyle name="Normal 22 2 2 2 7" xfId="24103"/>
    <cellStyle name="Normal 22 2 2 3" xfId="24104"/>
    <cellStyle name="Normal 22 2 2 3 2" xfId="24105"/>
    <cellStyle name="Normal 22 2 2 3 2 2" xfId="24106"/>
    <cellStyle name="Normal 22 2 2 3 2 2 2" xfId="24107"/>
    <cellStyle name="Normal 22 2 2 3 2 2 2 2" xfId="24108"/>
    <cellStyle name="Normal 22 2 2 3 2 2 3" xfId="24109"/>
    <cellStyle name="Normal 22 2 2 3 2 3" xfId="24110"/>
    <cellStyle name="Normal 22 2 2 3 2 3 2" xfId="24111"/>
    <cellStyle name="Normal 22 2 2 3 2 4" xfId="24112"/>
    <cellStyle name="Normal 22 2 2 3 3" xfId="24113"/>
    <cellStyle name="Normal 22 2 2 3 3 2" xfId="24114"/>
    <cellStyle name="Normal 22 2 2 3 3 2 2" xfId="24115"/>
    <cellStyle name="Normal 22 2 2 3 3 2 2 2" xfId="24116"/>
    <cellStyle name="Normal 22 2 2 3 3 2 3" xfId="24117"/>
    <cellStyle name="Normal 22 2 2 3 3 3" xfId="24118"/>
    <cellStyle name="Normal 22 2 2 3 3 3 2" xfId="24119"/>
    <cellStyle name="Normal 22 2 2 3 3 4" xfId="24120"/>
    <cellStyle name="Normal 22 2 2 3 4" xfId="24121"/>
    <cellStyle name="Normal 22 2 2 3 4 2" xfId="24122"/>
    <cellStyle name="Normal 22 2 2 3 4 2 2" xfId="24123"/>
    <cellStyle name="Normal 22 2 2 3 4 3" xfId="24124"/>
    <cellStyle name="Normal 22 2 2 3 5" xfId="24125"/>
    <cellStyle name="Normal 22 2 2 3 5 2" xfId="24126"/>
    <cellStyle name="Normal 22 2 2 3 6" xfId="24127"/>
    <cellStyle name="Normal 22 2 2 4" xfId="24128"/>
    <cellStyle name="Normal 22 2 2 4 2" xfId="24129"/>
    <cellStyle name="Normal 22 2 2 4 2 2" xfId="24130"/>
    <cellStyle name="Normal 22 2 2 4 2 2 2" xfId="24131"/>
    <cellStyle name="Normal 22 2 2 4 2 3" xfId="24132"/>
    <cellStyle name="Normal 22 2 2 4 3" xfId="24133"/>
    <cellStyle name="Normal 22 2 2 4 3 2" xfId="24134"/>
    <cellStyle name="Normal 22 2 2 4 4" xfId="24135"/>
    <cellStyle name="Normal 22 2 2 5" xfId="24136"/>
    <cellStyle name="Normal 22 2 2 5 2" xfId="24137"/>
    <cellStyle name="Normal 22 2 2 5 2 2" xfId="24138"/>
    <cellStyle name="Normal 22 2 2 5 2 2 2" xfId="24139"/>
    <cellStyle name="Normal 22 2 2 5 2 3" xfId="24140"/>
    <cellStyle name="Normal 22 2 2 5 3" xfId="24141"/>
    <cellStyle name="Normal 22 2 2 5 3 2" xfId="24142"/>
    <cellStyle name="Normal 22 2 2 5 4" xfId="24143"/>
    <cellStyle name="Normal 22 2 2 6" xfId="24144"/>
    <cellStyle name="Normal 22 2 2 6 2" xfId="24145"/>
    <cellStyle name="Normal 22 2 2 6 2 2" xfId="24146"/>
    <cellStyle name="Normal 22 2 2 6 2 2 2" xfId="24147"/>
    <cellStyle name="Normal 22 2 2 6 2 3" xfId="24148"/>
    <cellStyle name="Normal 22 2 2 6 3" xfId="24149"/>
    <cellStyle name="Normal 22 2 2 6 3 2" xfId="24150"/>
    <cellStyle name="Normal 22 2 2 6 4" xfId="24151"/>
    <cellStyle name="Normal 22 2 2 7" xfId="24152"/>
    <cellStyle name="Normal 22 2 2 7 2" xfId="24153"/>
    <cellStyle name="Normal 22 2 2 7 2 2" xfId="24154"/>
    <cellStyle name="Normal 22 2 2 7 3" xfId="24155"/>
    <cellStyle name="Normal 22 2 2 8" xfId="24156"/>
    <cellStyle name="Normal 22 2 2 8 2" xfId="24157"/>
    <cellStyle name="Normal 22 2 2 9" xfId="24158"/>
    <cellStyle name="Normal 22 2 3" xfId="24159"/>
    <cellStyle name="Normal 22 2 3 2" xfId="24160"/>
    <cellStyle name="Normal 22 2 3 2 2" xfId="24161"/>
    <cellStyle name="Normal 22 2 3 2 2 2" xfId="24162"/>
    <cellStyle name="Normal 22 2 3 2 2 2 2" xfId="24163"/>
    <cellStyle name="Normal 22 2 3 2 2 2 2 2" xfId="24164"/>
    <cellStyle name="Normal 22 2 3 2 2 2 3" xfId="24165"/>
    <cellStyle name="Normal 22 2 3 2 2 3" xfId="24166"/>
    <cellStyle name="Normal 22 2 3 2 2 3 2" xfId="24167"/>
    <cellStyle name="Normal 22 2 3 2 2 4" xfId="24168"/>
    <cellStyle name="Normal 22 2 3 2 3" xfId="24169"/>
    <cellStyle name="Normal 22 2 3 2 3 2" xfId="24170"/>
    <cellStyle name="Normal 22 2 3 2 3 2 2" xfId="24171"/>
    <cellStyle name="Normal 22 2 3 2 3 2 2 2" xfId="24172"/>
    <cellStyle name="Normal 22 2 3 2 3 2 3" xfId="24173"/>
    <cellStyle name="Normal 22 2 3 2 3 3" xfId="24174"/>
    <cellStyle name="Normal 22 2 3 2 3 3 2" xfId="24175"/>
    <cellStyle name="Normal 22 2 3 2 3 4" xfId="24176"/>
    <cellStyle name="Normal 22 2 3 2 4" xfId="24177"/>
    <cellStyle name="Normal 22 2 3 2 4 2" xfId="24178"/>
    <cellStyle name="Normal 22 2 3 2 4 2 2" xfId="24179"/>
    <cellStyle name="Normal 22 2 3 2 4 3" xfId="24180"/>
    <cellStyle name="Normal 22 2 3 2 5" xfId="24181"/>
    <cellStyle name="Normal 22 2 3 2 5 2" xfId="24182"/>
    <cellStyle name="Normal 22 2 3 2 6" xfId="24183"/>
    <cellStyle name="Normal 22 2 3 3" xfId="24184"/>
    <cellStyle name="Normal 22 2 3 3 2" xfId="24185"/>
    <cellStyle name="Normal 22 2 3 3 2 2" xfId="24186"/>
    <cellStyle name="Normal 22 2 3 3 2 2 2" xfId="24187"/>
    <cellStyle name="Normal 22 2 3 3 2 3" xfId="24188"/>
    <cellStyle name="Normal 22 2 3 3 3" xfId="24189"/>
    <cellStyle name="Normal 22 2 3 3 3 2" xfId="24190"/>
    <cellStyle name="Normal 22 2 3 3 4" xfId="24191"/>
    <cellStyle name="Normal 22 2 3 4" xfId="24192"/>
    <cellStyle name="Normal 22 2 3 4 2" xfId="24193"/>
    <cellStyle name="Normal 22 2 3 4 2 2" xfId="24194"/>
    <cellStyle name="Normal 22 2 3 4 2 2 2" xfId="24195"/>
    <cellStyle name="Normal 22 2 3 4 2 3" xfId="24196"/>
    <cellStyle name="Normal 22 2 3 4 3" xfId="24197"/>
    <cellStyle name="Normal 22 2 3 4 3 2" xfId="24198"/>
    <cellStyle name="Normal 22 2 3 4 4" xfId="24199"/>
    <cellStyle name="Normal 22 2 3 5" xfId="24200"/>
    <cellStyle name="Normal 22 2 3 5 2" xfId="24201"/>
    <cellStyle name="Normal 22 2 3 5 2 2" xfId="24202"/>
    <cellStyle name="Normal 22 2 3 5 3" xfId="24203"/>
    <cellStyle name="Normal 22 2 3 6" xfId="24204"/>
    <cellStyle name="Normal 22 2 3 6 2" xfId="24205"/>
    <cellStyle name="Normal 22 2 3 7" xfId="24206"/>
    <cellStyle name="Normal 22 2 4" xfId="24207"/>
    <cellStyle name="Normal 22 2 4 2" xfId="24208"/>
    <cellStyle name="Normal 22 2 4 2 2" xfId="24209"/>
    <cellStyle name="Normal 22 2 4 2 2 2" xfId="24210"/>
    <cellStyle name="Normal 22 2 4 2 2 2 2" xfId="24211"/>
    <cellStyle name="Normal 22 2 4 2 2 3" xfId="24212"/>
    <cellStyle name="Normal 22 2 4 2 3" xfId="24213"/>
    <cellStyle name="Normal 22 2 4 2 3 2" xfId="24214"/>
    <cellStyle name="Normal 22 2 4 2 4" xfId="24215"/>
    <cellStyle name="Normal 22 2 4 3" xfId="24216"/>
    <cellStyle name="Normal 22 2 4 3 2" xfId="24217"/>
    <cellStyle name="Normal 22 2 4 3 2 2" xfId="24218"/>
    <cellStyle name="Normal 22 2 4 3 2 2 2" xfId="24219"/>
    <cellStyle name="Normal 22 2 4 3 2 3" xfId="24220"/>
    <cellStyle name="Normal 22 2 4 3 3" xfId="24221"/>
    <cellStyle name="Normal 22 2 4 3 3 2" xfId="24222"/>
    <cellStyle name="Normal 22 2 4 3 4" xfId="24223"/>
    <cellStyle name="Normal 22 2 4 4" xfId="24224"/>
    <cellStyle name="Normal 22 2 4 4 2" xfId="24225"/>
    <cellStyle name="Normal 22 2 4 4 2 2" xfId="24226"/>
    <cellStyle name="Normal 22 2 4 4 3" xfId="24227"/>
    <cellStyle name="Normal 22 2 4 5" xfId="24228"/>
    <cellStyle name="Normal 22 2 4 5 2" xfId="24229"/>
    <cellStyle name="Normal 22 2 4 6" xfId="24230"/>
    <cellStyle name="Normal 22 2 5" xfId="24231"/>
    <cellStyle name="Normal 22 2 5 2" xfId="24232"/>
    <cellStyle name="Normal 22 2 5 2 2" xfId="24233"/>
    <cellStyle name="Normal 22 2 5 2 2 2" xfId="24234"/>
    <cellStyle name="Normal 22 2 5 2 3" xfId="24235"/>
    <cellStyle name="Normal 22 2 5 3" xfId="24236"/>
    <cellStyle name="Normal 22 2 5 3 2" xfId="24237"/>
    <cellStyle name="Normal 22 2 5 4" xfId="24238"/>
    <cellStyle name="Normal 22 2 6" xfId="24239"/>
    <cellStyle name="Normal 22 2 6 2" xfId="24240"/>
    <cellStyle name="Normal 22 2 6 2 2" xfId="24241"/>
    <cellStyle name="Normal 22 2 6 2 2 2" xfId="24242"/>
    <cellStyle name="Normal 22 2 6 2 3" xfId="24243"/>
    <cellStyle name="Normal 22 2 6 3" xfId="24244"/>
    <cellStyle name="Normal 22 2 6 3 2" xfId="24245"/>
    <cellStyle name="Normal 22 2 6 4" xfId="24246"/>
    <cellStyle name="Normal 22 2 7" xfId="24247"/>
    <cellStyle name="Normal 22 2 7 2" xfId="24248"/>
    <cellStyle name="Normal 22 2 7 2 2" xfId="24249"/>
    <cellStyle name="Normal 22 2 7 2 2 2" xfId="24250"/>
    <cellStyle name="Normal 22 2 7 2 3" xfId="24251"/>
    <cellStyle name="Normal 22 2 7 3" xfId="24252"/>
    <cellStyle name="Normal 22 2 7 3 2" xfId="24253"/>
    <cellStyle name="Normal 22 2 7 4" xfId="24254"/>
    <cellStyle name="Normal 22 2 8" xfId="24255"/>
    <cellStyle name="Normal 22 2 8 2" xfId="24256"/>
    <cellStyle name="Normal 22 2 8 2 2" xfId="24257"/>
    <cellStyle name="Normal 22 2 8 3" xfId="24258"/>
    <cellStyle name="Normal 22 2 9" xfId="24259"/>
    <cellStyle name="Normal 22 2 9 2" xfId="24260"/>
    <cellStyle name="Normal 22 3" xfId="24261"/>
    <cellStyle name="Normal 22 3 2" xfId="24262"/>
    <cellStyle name="Normal 22 3 2 2" xfId="24263"/>
    <cellStyle name="Normal 22 3 2 2 2" xfId="24264"/>
    <cellStyle name="Normal 22 3 2 2 2 2" xfId="24265"/>
    <cellStyle name="Normal 22 3 2 2 2 2 2" xfId="24266"/>
    <cellStyle name="Normal 22 3 2 2 2 2 2 2" xfId="24267"/>
    <cellStyle name="Normal 22 3 2 2 2 2 3" xfId="24268"/>
    <cellStyle name="Normal 22 3 2 2 2 3" xfId="24269"/>
    <cellStyle name="Normal 22 3 2 2 2 3 2" xfId="24270"/>
    <cellStyle name="Normal 22 3 2 2 2 4" xfId="24271"/>
    <cellStyle name="Normal 22 3 2 2 3" xfId="24272"/>
    <cellStyle name="Normal 22 3 2 2 3 2" xfId="24273"/>
    <cellStyle name="Normal 22 3 2 2 3 2 2" xfId="24274"/>
    <cellStyle name="Normal 22 3 2 2 3 2 2 2" xfId="24275"/>
    <cellStyle name="Normal 22 3 2 2 3 2 3" xfId="24276"/>
    <cellStyle name="Normal 22 3 2 2 3 3" xfId="24277"/>
    <cellStyle name="Normal 22 3 2 2 3 3 2" xfId="24278"/>
    <cellStyle name="Normal 22 3 2 2 3 4" xfId="24279"/>
    <cellStyle name="Normal 22 3 2 2 4" xfId="24280"/>
    <cellStyle name="Normal 22 3 2 2 4 2" xfId="24281"/>
    <cellStyle name="Normal 22 3 2 2 4 2 2" xfId="24282"/>
    <cellStyle name="Normal 22 3 2 2 4 3" xfId="24283"/>
    <cellStyle name="Normal 22 3 2 2 5" xfId="24284"/>
    <cellStyle name="Normal 22 3 2 2 5 2" xfId="24285"/>
    <cellStyle name="Normal 22 3 2 2 6" xfId="24286"/>
    <cellStyle name="Normal 22 3 2 3" xfId="24287"/>
    <cellStyle name="Normal 22 3 2 3 2" xfId="24288"/>
    <cellStyle name="Normal 22 3 2 3 2 2" xfId="24289"/>
    <cellStyle name="Normal 22 3 2 3 2 2 2" xfId="24290"/>
    <cellStyle name="Normal 22 3 2 3 2 3" xfId="24291"/>
    <cellStyle name="Normal 22 3 2 3 3" xfId="24292"/>
    <cellStyle name="Normal 22 3 2 3 3 2" xfId="24293"/>
    <cellStyle name="Normal 22 3 2 3 4" xfId="24294"/>
    <cellStyle name="Normal 22 3 2 4" xfId="24295"/>
    <cellStyle name="Normal 22 3 2 4 2" xfId="24296"/>
    <cellStyle name="Normal 22 3 2 4 2 2" xfId="24297"/>
    <cellStyle name="Normal 22 3 2 4 2 2 2" xfId="24298"/>
    <cellStyle name="Normal 22 3 2 4 2 3" xfId="24299"/>
    <cellStyle name="Normal 22 3 2 4 3" xfId="24300"/>
    <cellStyle name="Normal 22 3 2 4 3 2" xfId="24301"/>
    <cellStyle name="Normal 22 3 2 4 4" xfId="24302"/>
    <cellStyle name="Normal 22 3 2 5" xfId="24303"/>
    <cellStyle name="Normal 22 3 2 5 2" xfId="24304"/>
    <cellStyle name="Normal 22 3 2 5 2 2" xfId="24305"/>
    <cellStyle name="Normal 22 3 2 5 3" xfId="24306"/>
    <cellStyle name="Normal 22 3 2 6" xfId="24307"/>
    <cellStyle name="Normal 22 3 2 6 2" xfId="24308"/>
    <cellStyle name="Normal 22 3 2 7" xfId="24309"/>
    <cellStyle name="Normal 22 3 3" xfId="24310"/>
    <cellStyle name="Normal 22 3 3 2" xfId="24311"/>
    <cellStyle name="Normal 22 3 3 2 2" xfId="24312"/>
    <cellStyle name="Normal 22 3 3 2 2 2" xfId="24313"/>
    <cellStyle name="Normal 22 3 3 2 2 2 2" xfId="24314"/>
    <cellStyle name="Normal 22 3 3 2 2 3" xfId="24315"/>
    <cellStyle name="Normal 22 3 3 2 3" xfId="24316"/>
    <cellStyle name="Normal 22 3 3 2 3 2" xfId="24317"/>
    <cellStyle name="Normal 22 3 3 2 4" xfId="24318"/>
    <cellStyle name="Normal 22 3 3 3" xfId="24319"/>
    <cellStyle name="Normal 22 3 3 3 2" xfId="24320"/>
    <cellStyle name="Normal 22 3 3 3 2 2" xfId="24321"/>
    <cellStyle name="Normal 22 3 3 3 2 2 2" xfId="24322"/>
    <cellStyle name="Normal 22 3 3 3 2 3" xfId="24323"/>
    <cellStyle name="Normal 22 3 3 3 3" xfId="24324"/>
    <cellStyle name="Normal 22 3 3 3 3 2" xfId="24325"/>
    <cellStyle name="Normal 22 3 3 3 4" xfId="24326"/>
    <cellStyle name="Normal 22 3 3 4" xfId="24327"/>
    <cellStyle name="Normal 22 3 3 4 2" xfId="24328"/>
    <cellStyle name="Normal 22 3 3 4 2 2" xfId="24329"/>
    <cellStyle name="Normal 22 3 3 4 3" xfId="24330"/>
    <cellStyle name="Normal 22 3 3 5" xfId="24331"/>
    <cellStyle name="Normal 22 3 3 5 2" xfId="24332"/>
    <cellStyle name="Normal 22 3 3 6" xfId="24333"/>
    <cellStyle name="Normal 22 3 4" xfId="24334"/>
    <cellStyle name="Normal 22 3 4 2" xfId="24335"/>
    <cellStyle name="Normal 22 3 4 2 2" xfId="24336"/>
    <cellStyle name="Normal 22 3 4 2 2 2" xfId="24337"/>
    <cellStyle name="Normal 22 3 4 2 3" xfId="24338"/>
    <cellStyle name="Normal 22 3 4 3" xfId="24339"/>
    <cellStyle name="Normal 22 3 4 3 2" xfId="24340"/>
    <cellStyle name="Normal 22 3 4 4" xfId="24341"/>
    <cellStyle name="Normal 22 3 5" xfId="24342"/>
    <cellStyle name="Normal 22 3 5 2" xfId="24343"/>
    <cellStyle name="Normal 22 3 5 2 2" xfId="24344"/>
    <cellStyle name="Normal 22 3 5 2 2 2" xfId="24345"/>
    <cellStyle name="Normal 22 3 5 2 3" xfId="24346"/>
    <cellStyle name="Normal 22 3 5 3" xfId="24347"/>
    <cellStyle name="Normal 22 3 5 3 2" xfId="24348"/>
    <cellStyle name="Normal 22 3 5 4" xfId="24349"/>
    <cellStyle name="Normal 22 3 6" xfId="24350"/>
    <cellStyle name="Normal 22 3 6 2" xfId="24351"/>
    <cellStyle name="Normal 22 3 6 2 2" xfId="24352"/>
    <cellStyle name="Normal 22 3 6 2 2 2" xfId="24353"/>
    <cellStyle name="Normal 22 3 6 2 3" xfId="24354"/>
    <cellStyle name="Normal 22 3 6 3" xfId="24355"/>
    <cellStyle name="Normal 22 3 6 3 2" xfId="24356"/>
    <cellStyle name="Normal 22 3 6 4" xfId="24357"/>
    <cellStyle name="Normal 22 3 7" xfId="24358"/>
    <cellStyle name="Normal 22 3 7 2" xfId="24359"/>
    <cellStyle name="Normal 22 3 7 2 2" xfId="24360"/>
    <cellStyle name="Normal 22 3 7 3" xfId="24361"/>
    <cellStyle name="Normal 22 3 8" xfId="24362"/>
    <cellStyle name="Normal 22 3 8 2" xfId="24363"/>
    <cellStyle name="Normal 22 3 9" xfId="24364"/>
    <cellStyle name="Normal 22 4" xfId="24365"/>
    <cellStyle name="Normal 22 4 2" xfId="24366"/>
    <cellStyle name="Normal 22 4 2 2" xfId="24367"/>
    <cellStyle name="Normal 22 4 2 2 2" xfId="24368"/>
    <cellStyle name="Normal 22 4 2 2 2 2" xfId="24369"/>
    <cellStyle name="Normal 22 4 2 2 2 2 2" xfId="24370"/>
    <cellStyle name="Normal 22 4 2 2 2 3" xfId="24371"/>
    <cellStyle name="Normal 22 4 2 2 3" xfId="24372"/>
    <cellStyle name="Normal 22 4 2 2 3 2" xfId="24373"/>
    <cellStyle name="Normal 22 4 2 2 4" xfId="24374"/>
    <cellStyle name="Normal 22 4 2 3" xfId="24375"/>
    <cellStyle name="Normal 22 4 2 3 2" xfId="24376"/>
    <cellStyle name="Normal 22 4 2 3 2 2" xfId="24377"/>
    <cellStyle name="Normal 22 4 2 3 2 2 2" xfId="24378"/>
    <cellStyle name="Normal 22 4 2 3 2 3" xfId="24379"/>
    <cellStyle name="Normal 22 4 2 3 3" xfId="24380"/>
    <cellStyle name="Normal 22 4 2 3 3 2" xfId="24381"/>
    <cellStyle name="Normal 22 4 2 3 4" xfId="24382"/>
    <cellStyle name="Normal 22 4 2 4" xfId="24383"/>
    <cellStyle name="Normal 22 4 2 4 2" xfId="24384"/>
    <cellStyle name="Normal 22 4 2 4 2 2" xfId="24385"/>
    <cellStyle name="Normal 22 4 2 4 3" xfId="24386"/>
    <cellStyle name="Normal 22 4 2 5" xfId="24387"/>
    <cellStyle name="Normal 22 4 2 5 2" xfId="24388"/>
    <cellStyle name="Normal 22 4 2 6" xfId="24389"/>
    <cellStyle name="Normal 22 4 3" xfId="24390"/>
    <cellStyle name="Normal 22 4 3 2" xfId="24391"/>
    <cellStyle name="Normal 22 4 3 2 2" xfId="24392"/>
    <cellStyle name="Normal 22 4 3 2 2 2" xfId="24393"/>
    <cellStyle name="Normal 22 4 3 2 3" xfId="24394"/>
    <cellStyle name="Normal 22 4 3 3" xfId="24395"/>
    <cellStyle name="Normal 22 4 3 3 2" xfId="24396"/>
    <cellStyle name="Normal 22 4 3 4" xfId="24397"/>
    <cellStyle name="Normal 22 4 4" xfId="24398"/>
    <cellStyle name="Normal 22 4 4 2" xfId="24399"/>
    <cellStyle name="Normal 22 4 4 2 2" xfId="24400"/>
    <cellStyle name="Normal 22 4 4 2 2 2" xfId="24401"/>
    <cellStyle name="Normal 22 4 4 2 3" xfId="24402"/>
    <cellStyle name="Normal 22 4 4 3" xfId="24403"/>
    <cellStyle name="Normal 22 4 4 3 2" xfId="24404"/>
    <cellStyle name="Normal 22 4 4 4" xfId="24405"/>
    <cellStyle name="Normal 22 4 5" xfId="24406"/>
    <cellStyle name="Normal 22 4 5 2" xfId="24407"/>
    <cellStyle name="Normal 22 4 5 2 2" xfId="24408"/>
    <cellStyle name="Normal 22 4 5 3" xfId="24409"/>
    <cellStyle name="Normal 22 4 6" xfId="24410"/>
    <cellStyle name="Normal 22 4 6 2" xfId="24411"/>
    <cellStyle name="Normal 22 4 7" xfId="24412"/>
    <cellStyle name="Normal 22 5" xfId="24413"/>
    <cellStyle name="Normal 22 5 2" xfId="24414"/>
    <cellStyle name="Normal 22 5 2 2" xfId="24415"/>
    <cellStyle name="Normal 22 5 2 2 2" xfId="24416"/>
    <cellStyle name="Normal 22 5 2 2 2 2" xfId="24417"/>
    <cellStyle name="Normal 22 5 2 2 3" xfId="24418"/>
    <cellStyle name="Normal 22 5 2 3" xfId="24419"/>
    <cellStyle name="Normal 22 5 2 3 2" xfId="24420"/>
    <cellStyle name="Normal 22 5 2 4" xfId="24421"/>
    <cellStyle name="Normal 22 5 3" xfId="24422"/>
    <cellStyle name="Normal 22 5 3 2" xfId="24423"/>
    <cellStyle name="Normal 22 5 3 2 2" xfId="24424"/>
    <cellStyle name="Normal 22 5 3 2 2 2" xfId="24425"/>
    <cellStyle name="Normal 22 5 3 2 3" xfId="24426"/>
    <cellStyle name="Normal 22 5 3 3" xfId="24427"/>
    <cellStyle name="Normal 22 5 3 3 2" xfId="24428"/>
    <cellStyle name="Normal 22 5 3 4" xfId="24429"/>
    <cellStyle name="Normal 22 5 4" xfId="24430"/>
    <cellStyle name="Normal 22 5 4 2" xfId="24431"/>
    <cellStyle name="Normal 22 5 4 2 2" xfId="24432"/>
    <cellStyle name="Normal 22 5 4 3" xfId="24433"/>
    <cellStyle name="Normal 22 5 5" xfId="24434"/>
    <cellStyle name="Normal 22 5 5 2" xfId="24435"/>
    <cellStyle name="Normal 22 5 6" xfId="24436"/>
    <cellStyle name="Normal 22 6" xfId="24437"/>
    <cellStyle name="Normal 22 6 2" xfId="24438"/>
    <cellStyle name="Normal 22 6 2 2" xfId="24439"/>
    <cellStyle name="Normal 22 6 2 2 2" xfId="24440"/>
    <cellStyle name="Normal 22 6 2 3" xfId="24441"/>
    <cellStyle name="Normal 22 6 3" xfId="24442"/>
    <cellStyle name="Normal 22 6 3 2" xfId="24443"/>
    <cellStyle name="Normal 22 6 4" xfId="24444"/>
    <cellStyle name="Normal 22 7" xfId="24445"/>
    <cellStyle name="Normal 22 7 2" xfId="24446"/>
    <cellStyle name="Normal 22 7 2 2" xfId="24447"/>
    <cellStyle name="Normal 22 7 2 2 2" xfId="24448"/>
    <cellStyle name="Normal 22 7 2 3" xfId="24449"/>
    <cellStyle name="Normal 22 7 3" xfId="24450"/>
    <cellStyle name="Normal 22 7 3 2" xfId="24451"/>
    <cellStyle name="Normal 22 7 4" xfId="24452"/>
    <cellStyle name="Normal 22 8" xfId="24453"/>
    <cellStyle name="Normal 22 8 2" xfId="24454"/>
    <cellStyle name="Normal 22 8 2 2" xfId="24455"/>
    <cellStyle name="Normal 22 8 2 2 2" xfId="24456"/>
    <cellStyle name="Normal 22 8 2 3" xfId="24457"/>
    <cellStyle name="Normal 22 8 3" xfId="24458"/>
    <cellStyle name="Normal 22 8 3 2" xfId="24459"/>
    <cellStyle name="Normal 22 8 4" xfId="24460"/>
    <cellStyle name="Normal 22 9" xfId="24461"/>
    <cellStyle name="Normal 22 9 2" xfId="24462"/>
    <cellStyle name="Normal 22 9 2 2" xfId="24463"/>
    <cellStyle name="Normal 22 9 3" xfId="24464"/>
    <cellStyle name="Normal 23" xfId="24465"/>
    <cellStyle name="Normal 23 3" xfId="24466"/>
    <cellStyle name="Normal 23 3 2" xfId="24467"/>
    <cellStyle name="Normal 23 3 2 2" xfId="24468"/>
    <cellStyle name="Normal 23 3 2 2 2" xfId="24469"/>
    <cellStyle name="Normal 23 3 2 2 2 2" xfId="24470"/>
    <cellStyle name="Normal 23 3 2 2 2 2 2" xfId="24471"/>
    <cellStyle name="Normal 23 3 2 2 2 2 2 2" xfId="24472"/>
    <cellStyle name="Normal 23 3 2 2 2 2 3" xfId="24473"/>
    <cellStyle name="Normal 23 3 2 2 2 3" xfId="24474"/>
    <cellStyle name="Normal 23 3 2 2 2 3 2" xfId="24475"/>
    <cellStyle name="Normal 23 3 2 2 2 4" xfId="24476"/>
    <cellStyle name="Normal 23 3 2 2 3" xfId="24477"/>
    <cellStyle name="Normal 23 3 2 2 3 2" xfId="24478"/>
    <cellStyle name="Normal 23 3 2 2 3 2 2" xfId="24479"/>
    <cellStyle name="Normal 23 3 2 2 3 2 2 2" xfId="24480"/>
    <cellStyle name="Normal 23 3 2 2 3 2 3" xfId="24481"/>
    <cellStyle name="Normal 23 3 2 2 3 3" xfId="24482"/>
    <cellStyle name="Normal 23 3 2 2 3 3 2" xfId="24483"/>
    <cellStyle name="Normal 23 3 2 2 3 4" xfId="24484"/>
    <cellStyle name="Normal 23 3 2 2 4" xfId="24485"/>
    <cellStyle name="Normal 23 3 2 2 4 2" xfId="24486"/>
    <cellStyle name="Normal 23 3 2 2 4 2 2" xfId="24487"/>
    <cellStyle name="Normal 23 3 2 2 4 3" xfId="24488"/>
    <cellStyle name="Normal 23 3 2 2 5" xfId="24489"/>
    <cellStyle name="Normal 23 3 2 2 5 2" xfId="24490"/>
    <cellStyle name="Normal 23 3 2 2 6" xfId="24491"/>
    <cellStyle name="Normal 23 3 2 3" xfId="24492"/>
    <cellStyle name="Normal 23 3 2 3 2" xfId="24493"/>
    <cellStyle name="Normal 23 3 2 3 2 2" xfId="24494"/>
    <cellStyle name="Normal 23 3 2 3 2 2 2" xfId="24495"/>
    <cellStyle name="Normal 23 3 2 3 2 3" xfId="24496"/>
    <cellStyle name="Normal 23 3 2 3 3" xfId="24497"/>
    <cellStyle name="Normal 23 3 2 3 3 2" xfId="24498"/>
    <cellStyle name="Normal 23 3 2 3 4" xfId="24499"/>
    <cellStyle name="Normal 23 3 2 4" xfId="24500"/>
    <cellStyle name="Normal 23 3 2 4 2" xfId="24501"/>
    <cellStyle name="Normal 23 3 2 4 2 2" xfId="24502"/>
    <cellStyle name="Normal 23 3 2 4 2 2 2" xfId="24503"/>
    <cellStyle name="Normal 23 3 2 4 2 3" xfId="24504"/>
    <cellStyle name="Normal 23 3 2 4 3" xfId="24505"/>
    <cellStyle name="Normal 23 3 2 4 3 2" xfId="24506"/>
    <cellStyle name="Normal 23 3 2 4 4" xfId="24507"/>
    <cellStyle name="Normal 23 3 2 5" xfId="24508"/>
    <cellStyle name="Normal 23 3 2 5 2" xfId="24509"/>
    <cellStyle name="Normal 23 3 2 5 2 2" xfId="24510"/>
    <cellStyle name="Normal 23 3 2 5 3" xfId="24511"/>
    <cellStyle name="Normal 23 3 2 6" xfId="24512"/>
    <cellStyle name="Normal 23 3 2 6 2" xfId="24513"/>
    <cellStyle name="Normal 23 3 2 7" xfId="24514"/>
    <cellStyle name="Normal 23 3 3" xfId="24515"/>
    <cellStyle name="Normal 23 3 3 2" xfId="24516"/>
    <cellStyle name="Normal 23 3 3 2 2" xfId="24517"/>
    <cellStyle name="Normal 23 3 3 2 2 2" xfId="24518"/>
    <cellStyle name="Normal 23 3 3 2 2 2 2" xfId="24519"/>
    <cellStyle name="Normal 23 3 3 2 2 3" xfId="24520"/>
    <cellStyle name="Normal 23 3 3 2 3" xfId="24521"/>
    <cellStyle name="Normal 23 3 3 2 3 2" xfId="24522"/>
    <cellStyle name="Normal 23 3 3 2 4" xfId="24523"/>
    <cellStyle name="Normal 23 3 3 3" xfId="24524"/>
    <cellStyle name="Normal 23 3 3 3 2" xfId="24525"/>
    <cellStyle name="Normal 23 3 3 3 2 2" xfId="24526"/>
    <cellStyle name="Normal 23 3 3 3 2 2 2" xfId="24527"/>
    <cellStyle name="Normal 23 3 3 3 2 3" xfId="24528"/>
    <cellStyle name="Normal 23 3 3 3 3" xfId="24529"/>
    <cellStyle name="Normal 23 3 3 3 3 2" xfId="24530"/>
    <cellStyle name="Normal 23 3 3 3 4" xfId="24531"/>
    <cellStyle name="Normal 23 3 3 4" xfId="24532"/>
    <cellStyle name="Normal 23 3 3 4 2" xfId="24533"/>
    <cellStyle name="Normal 23 3 3 4 2 2" xfId="24534"/>
    <cellStyle name="Normal 23 3 3 4 3" xfId="24535"/>
    <cellStyle name="Normal 23 3 3 5" xfId="24536"/>
    <cellStyle name="Normal 23 3 3 5 2" xfId="24537"/>
    <cellStyle name="Normal 23 3 3 6" xfId="24538"/>
    <cellStyle name="Normal 23 3 4" xfId="24539"/>
    <cellStyle name="Normal 23 3 4 2" xfId="24540"/>
    <cellStyle name="Normal 23 3 4 2 2" xfId="24541"/>
    <cellStyle name="Normal 23 3 4 2 2 2" xfId="24542"/>
    <cellStyle name="Normal 23 3 4 2 3" xfId="24543"/>
    <cellStyle name="Normal 23 3 4 3" xfId="24544"/>
    <cellStyle name="Normal 23 3 4 3 2" xfId="24545"/>
    <cellStyle name="Normal 23 3 4 4" xfId="24546"/>
    <cellStyle name="Normal 23 3 5" xfId="24547"/>
    <cellStyle name="Normal 23 3 5 2" xfId="24548"/>
    <cellStyle name="Normal 23 3 5 2 2" xfId="24549"/>
    <cellStyle name="Normal 23 3 5 2 2 2" xfId="24550"/>
    <cellStyle name="Normal 23 3 5 2 3" xfId="24551"/>
    <cellStyle name="Normal 23 3 5 3" xfId="24552"/>
    <cellStyle name="Normal 23 3 5 3 2" xfId="24553"/>
    <cellStyle name="Normal 23 3 5 4" xfId="24554"/>
    <cellStyle name="Normal 23 3 6" xfId="24555"/>
    <cellStyle name="Normal 23 3 6 2" xfId="24556"/>
    <cellStyle name="Normal 23 3 6 2 2" xfId="24557"/>
    <cellStyle name="Normal 23 3 6 2 2 2" xfId="24558"/>
    <cellStyle name="Normal 23 3 6 2 3" xfId="24559"/>
    <cellStyle name="Normal 23 3 6 3" xfId="24560"/>
    <cellStyle name="Normal 23 3 6 3 2" xfId="24561"/>
    <cellStyle name="Normal 23 3 6 4" xfId="24562"/>
    <cellStyle name="Normal 23 3 7" xfId="24563"/>
    <cellStyle name="Normal 23 3 7 2" xfId="24564"/>
    <cellStyle name="Normal 23 3 7 2 2" xfId="24565"/>
    <cellStyle name="Normal 23 3 7 3" xfId="24566"/>
    <cellStyle name="Normal 23 3 8" xfId="24567"/>
    <cellStyle name="Normal 23 3 8 2" xfId="24568"/>
    <cellStyle name="Normal 23 3 9" xfId="24569"/>
    <cellStyle name="Normal 3" xfId="24570"/>
    <cellStyle name="Normal 33" xfId="24571"/>
    <cellStyle name="Normal 4" xfId="24572"/>
    <cellStyle name="Normal 4 10" xfId="24573"/>
    <cellStyle name="Normal 4 10 2" xfId="24574"/>
    <cellStyle name="Normal 4 10 2 2" xfId="24575"/>
    <cellStyle name="Normal 4 10 2 2 2" xfId="24576"/>
    <cellStyle name="Normal 4 10 2 3" xfId="24577"/>
    <cellStyle name="Normal 4 10 3" xfId="24578"/>
    <cellStyle name="Normal 4 10 3 2" xfId="24579"/>
    <cellStyle name="Normal 4 10 4" xfId="24580"/>
    <cellStyle name="Normal 4 11" xfId="24581"/>
    <cellStyle name="Normal 4 11 2" xfId="24582"/>
    <cellStyle name="Normal 4 11 2 2" xfId="24583"/>
    <cellStyle name="Normal 4 11 2 2 2" xfId="24584"/>
    <cellStyle name="Normal 4 11 2 3" xfId="24585"/>
    <cellStyle name="Normal 4 11 3" xfId="24586"/>
    <cellStyle name="Normal 4 11 3 2" xfId="24587"/>
    <cellStyle name="Normal 4 11 4" xfId="24588"/>
    <cellStyle name="Normal 4 12" xfId="24589"/>
    <cellStyle name="Normal 4 12 2" xfId="24590"/>
    <cellStyle name="Normal 4 12 2 2" xfId="24591"/>
    <cellStyle name="Normal 4 12 3" xfId="24592"/>
    <cellStyle name="Normal 4 13" xfId="24593"/>
    <cellStyle name="Normal 4 13 2" xfId="24594"/>
    <cellStyle name="Normal 4 14" xfId="24595"/>
    <cellStyle name="Normal 4 2" xfId="24596"/>
    <cellStyle name="Normal 4 2 10" xfId="24597"/>
    <cellStyle name="Normal 4 2 10 2" xfId="24598"/>
    <cellStyle name="Normal 4 2 10 2 2" xfId="24599"/>
    <cellStyle name="Normal 4 2 10 2 2 2" xfId="24600"/>
    <cellStyle name="Normal 4 2 10 2 3" xfId="24601"/>
    <cellStyle name="Normal 4 2 10 3" xfId="24602"/>
    <cellStyle name="Normal 4 2 10 3 2" xfId="24603"/>
    <cellStyle name="Normal 4 2 10 4" xfId="24604"/>
    <cellStyle name="Normal 4 2 11" xfId="24605"/>
    <cellStyle name="Normal 4 2 11 2" xfId="24606"/>
    <cellStyle name="Normal 4 2 11 2 2" xfId="24607"/>
    <cellStyle name="Normal 4 2 11 3" xfId="24608"/>
    <cellStyle name="Normal 4 2 12" xfId="24609"/>
    <cellStyle name="Normal 4 2 12 2" xfId="24610"/>
    <cellStyle name="Normal 4 2 13" xfId="24611"/>
    <cellStyle name="Normal 4 2 2" xfId="24612"/>
    <cellStyle name="Normal 4 2 2 10" xfId="24613"/>
    <cellStyle name="Normal 4 2 2 10 2" xfId="24614"/>
    <cellStyle name="Normal 4 2 2 11" xfId="24615"/>
    <cellStyle name="Normal 4 2 2 2" xfId="24616"/>
    <cellStyle name="Normal 4 2 2 2 10" xfId="24617"/>
    <cellStyle name="Normal 4 2 2 2 2" xfId="24618"/>
    <cellStyle name="Normal 4 2 2 2 2 2" xfId="24619"/>
    <cellStyle name="Normal 4 2 2 2 2 2 2" xfId="24620"/>
    <cellStyle name="Normal 4 2 2 2 2 2 2 2" xfId="24621"/>
    <cellStyle name="Normal 4 2 2 2 2 2 2 2 2" xfId="24622"/>
    <cellStyle name="Normal 4 2 2 2 2 2 2 2 2 2" xfId="24623"/>
    <cellStyle name="Normal 4 2 2 2 2 2 2 2 2 2 2" xfId="24624"/>
    <cellStyle name="Normal 4 2 2 2 2 2 2 2 2 3" xfId="24625"/>
    <cellStyle name="Normal 4 2 2 2 2 2 2 2 3" xfId="24626"/>
    <cellStyle name="Normal 4 2 2 2 2 2 2 2 3 2" xfId="24627"/>
    <cellStyle name="Normal 4 2 2 2 2 2 2 2 4" xfId="24628"/>
    <cellStyle name="Normal 4 2 2 2 2 2 2 3" xfId="24629"/>
    <cellStyle name="Normal 4 2 2 2 2 2 2 3 2" xfId="24630"/>
    <cellStyle name="Normal 4 2 2 2 2 2 2 3 2 2" xfId="24631"/>
    <cellStyle name="Normal 4 2 2 2 2 2 2 3 2 2 2" xfId="24632"/>
    <cellStyle name="Normal 4 2 2 2 2 2 2 3 2 3" xfId="24633"/>
    <cellStyle name="Normal 4 2 2 2 2 2 2 3 3" xfId="24634"/>
    <cellStyle name="Normal 4 2 2 2 2 2 2 3 3 2" xfId="24635"/>
    <cellStyle name="Normal 4 2 2 2 2 2 2 3 4" xfId="24636"/>
    <cellStyle name="Normal 4 2 2 2 2 2 2 4" xfId="24637"/>
    <cellStyle name="Normal 4 2 2 2 2 2 2 4 2" xfId="24638"/>
    <cellStyle name="Normal 4 2 2 2 2 2 2 4 2 2" xfId="24639"/>
    <cellStyle name="Normal 4 2 2 2 2 2 2 4 3" xfId="24640"/>
    <cellStyle name="Normal 4 2 2 2 2 2 2 5" xfId="24641"/>
    <cellStyle name="Normal 4 2 2 2 2 2 2 5 2" xfId="24642"/>
    <cellStyle name="Normal 4 2 2 2 2 2 2 6" xfId="24643"/>
    <cellStyle name="Normal 4 2 2 2 2 2 3" xfId="24644"/>
    <cellStyle name="Normal 4 2 2 2 2 2 3 2" xfId="24645"/>
    <cellStyle name="Normal 4 2 2 2 2 2 3 2 2" xfId="24646"/>
    <cellStyle name="Normal 4 2 2 2 2 2 3 2 2 2" xfId="24647"/>
    <cellStyle name="Normal 4 2 2 2 2 2 3 2 3" xfId="24648"/>
    <cellStyle name="Normal 4 2 2 2 2 2 3 3" xfId="24649"/>
    <cellStyle name="Normal 4 2 2 2 2 2 3 3 2" xfId="24650"/>
    <cellStyle name="Normal 4 2 2 2 2 2 3 4" xfId="24651"/>
    <cellStyle name="Normal 4 2 2 2 2 2 4" xfId="24652"/>
    <cellStyle name="Normal 4 2 2 2 2 2 4 2" xfId="24653"/>
    <cellStyle name="Normal 4 2 2 2 2 2 4 2 2" xfId="24654"/>
    <cellStyle name="Normal 4 2 2 2 2 2 4 2 2 2" xfId="24655"/>
    <cellStyle name="Normal 4 2 2 2 2 2 4 2 3" xfId="24656"/>
    <cellStyle name="Normal 4 2 2 2 2 2 4 3" xfId="24657"/>
    <cellStyle name="Normal 4 2 2 2 2 2 4 3 2" xfId="24658"/>
    <cellStyle name="Normal 4 2 2 2 2 2 4 4" xfId="24659"/>
    <cellStyle name="Normal 4 2 2 2 2 2 5" xfId="24660"/>
    <cellStyle name="Normal 4 2 2 2 2 2 5 2" xfId="24661"/>
    <cellStyle name="Normal 4 2 2 2 2 2 5 2 2" xfId="24662"/>
    <cellStyle name="Normal 4 2 2 2 2 2 5 3" xfId="24663"/>
    <cellStyle name="Normal 4 2 2 2 2 2 6" xfId="24664"/>
    <cellStyle name="Normal 4 2 2 2 2 2 6 2" xfId="24665"/>
    <cellStyle name="Normal 4 2 2 2 2 2 7" xfId="24666"/>
    <cellStyle name="Normal 4 2 2 2 2 3" xfId="24667"/>
    <cellStyle name="Normal 4 2 2 2 2 3 2" xfId="24668"/>
    <cellStyle name="Normal 4 2 2 2 2 3 2 2" xfId="24669"/>
    <cellStyle name="Normal 4 2 2 2 2 3 2 2 2" xfId="24670"/>
    <cellStyle name="Normal 4 2 2 2 2 3 2 2 2 2" xfId="24671"/>
    <cellStyle name="Normal 4 2 2 2 2 3 2 2 3" xfId="24672"/>
    <cellStyle name="Normal 4 2 2 2 2 3 2 3" xfId="24673"/>
    <cellStyle name="Normal 4 2 2 2 2 3 2 3 2" xfId="24674"/>
    <cellStyle name="Normal 4 2 2 2 2 3 2 4" xfId="24675"/>
    <cellStyle name="Normal 4 2 2 2 2 3 3" xfId="24676"/>
    <cellStyle name="Normal 4 2 2 2 2 3 3 2" xfId="24677"/>
    <cellStyle name="Normal 4 2 2 2 2 3 3 2 2" xfId="24678"/>
    <cellStyle name="Normal 4 2 2 2 2 3 3 2 2 2" xfId="24679"/>
    <cellStyle name="Normal 4 2 2 2 2 3 3 2 3" xfId="24680"/>
    <cellStyle name="Normal 4 2 2 2 2 3 3 3" xfId="24681"/>
    <cellStyle name="Normal 4 2 2 2 2 3 3 3 2" xfId="24682"/>
    <cellStyle name="Normal 4 2 2 2 2 3 3 4" xfId="24683"/>
    <cellStyle name="Normal 4 2 2 2 2 3 4" xfId="24684"/>
    <cellStyle name="Normal 4 2 2 2 2 3 4 2" xfId="24685"/>
    <cellStyle name="Normal 4 2 2 2 2 3 4 2 2" xfId="24686"/>
    <cellStyle name="Normal 4 2 2 2 2 3 4 3" xfId="24687"/>
    <cellStyle name="Normal 4 2 2 2 2 3 5" xfId="24688"/>
    <cellStyle name="Normal 4 2 2 2 2 3 5 2" xfId="24689"/>
    <cellStyle name="Normal 4 2 2 2 2 3 6" xfId="24690"/>
    <cellStyle name="Normal 4 2 2 2 2 4" xfId="24691"/>
    <cellStyle name="Normal 4 2 2 2 2 4 2" xfId="24692"/>
    <cellStyle name="Normal 4 2 2 2 2 4 2 2" xfId="24693"/>
    <cellStyle name="Normal 4 2 2 2 2 4 2 2 2" xfId="24694"/>
    <cellStyle name="Normal 4 2 2 2 2 4 2 3" xfId="24695"/>
    <cellStyle name="Normal 4 2 2 2 2 4 3" xfId="24696"/>
    <cellStyle name="Normal 4 2 2 2 2 4 3 2" xfId="24697"/>
    <cellStyle name="Normal 4 2 2 2 2 4 4" xfId="24698"/>
    <cellStyle name="Normal 4 2 2 2 2 5" xfId="24699"/>
    <cellStyle name="Normal 4 2 2 2 2 5 2" xfId="24700"/>
    <cellStyle name="Normal 4 2 2 2 2 5 2 2" xfId="24701"/>
    <cellStyle name="Normal 4 2 2 2 2 5 2 2 2" xfId="24702"/>
    <cellStyle name="Normal 4 2 2 2 2 5 2 3" xfId="24703"/>
    <cellStyle name="Normal 4 2 2 2 2 5 3" xfId="24704"/>
    <cellStyle name="Normal 4 2 2 2 2 5 3 2" xfId="24705"/>
    <cellStyle name="Normal 4 2 2 2 2 5 4" xfId="24706"/>
    <cellStyle name="Normal 4 2 2 2 2 6" xfId="24707"/>
    <cellStyle name="Normal 4 2 2 2 2 6 2" xfId="24708"/>
    <cellStyle name="Normal 4 2 2 2 2 6 2 2" xfId="24709"/>
    <cellStyle name="Normal 4 2 2 2 2 6 2 2 2" xfId="24710"/>
    <cellStyle name="Normal 4 2 2 2 2 6 2 3" xfId="24711"/>
    <cellStyle name="Normal 4 2 2 2 2 6 3" xfId="24712"/>
    <cellStyle name="Normal 4 2 2 2 2 6 3 2" xfId="24713"/>
    <cellStyle name="Normal 4 2 2 2 2 6 4" xfId="24714"/>
    <cellStyle name="Normal 4 2 2 2 2 7" xfId="24715"/>
    <cellStyle name="Normal 4 2 2 2 2 7 2" xfId="24716"/>
    <cellStyle name="Normal 4 2 2 2 2 7 2 2" xfId="24717"/>
    <cellStyle name="Normal 4 2 2 2 2 7 3" xfId="24718"/>
    <cellStyle name="Normal 4 2 2 2 2 8" xfId="24719"/>
    <cellStyle name="Normal 4 2 2 2 2 8 2" xfId="24720"/>
    <cellStyle name="Normal 4 2 2 2 2 9" xfId="24721"/>
    <cellStyle name="Normal 4 2 2 2 3" xfId="24722"/>
    <cellStyle name="Normal 4 2 2 2 3 2" xfId="24723"/>
    <cellStyle name="Normal 4 2 2 2 3 2 2" xfId="24724"/>
    <cellStyle name="Normal 4 2 2 2 3 2 2 2" xfId="24725"/>
    <cellStyle name="Normal 4 2 2 2 3 2 2 2 2" xfId="24726"/>
    <cellStyle name="Normal 4 2 2 2 3 2 2 2 2 2" xfId="24727"/>
    <cellStyle name="Normal 4 2 2 2 3 2 2 2 3" xfId="24728"/>
    <cellStyle name="Normal 4 2 2 2 3 2 2 3" xfId="24729"/>
    <cellStyle name="Normal 4 2 2 2 3 2 2 3 2" xfId="24730"/>
    <cellStyle name="Normal 4 2 2 2 3 2 2 4" xfId="24731"/>
    <cellStyle name="Normal 4 2 2 2 3 2 3" xfId="24732"/>
    <cellStyle name="Normal 4 2 2 2 3 2 3 2" xfId="24733"/>
    <cellStyle name="Normal 4 2 2 2 3 2 3 2 2" xfId="24734"/>
    <cellStyle name="Normal 4 2 2 2 3 2 3 2 2 2" xfId="24735"/>
    <cellStyle name="Normal 4 2 2 2 3 2 3 2 3" xfId="24736"/>
    <cellStyle name="Normal 4 2 2 2 3 2 3 3" xfId="24737"/>
    <cellStyle name="Normal 4 2 2 2 3 2 3 3 2" xfId="24738"/>
    <cellStyle name="Normal 4 2 2 2 3 2 3 4" xfId="24739"/>
    <cellStyle name="Normal 4 2 2 2 3 2 4" xfId="24740"/>
    <cellStyle name="Normal 4 2 2 2 3 2 4 2" xfId="24741"/>
    <cellStyle name="Normal 4 2 2 2 3 2 4 2 2" xfId="24742"/>
    <cellStyle name="Normal 4 2 2 2 3 2 4 3" xfId="24743"/>
    <cellStyle name="Normal 4 2 2 2 3 2 5" xfId="24744"/>
    <cellStyle name="Normal 4 2 2 2 3 2 5 2" xfId="24745"/>
    <cellStyle name="Normal 4 2 2 2 3 2 6" xfId="24746"/>
    <cellStyle name="Normal 4 2 2 2 3 3" xfId="24747"/>
    <cellStyle name="Normal 4 2 2 2 3 3 2" xfId="24748"/>
    <cellStyle name="Normal 4 2 2 2 3 3 2 2" xfId="24749"/>
    <cellStyle name="Normal 4 2 2 2 3 3 2 2 2" xfId="24750"/>
    <cellStyle name="Normal 4 2 2 2 3 3 2 3" xfId="24751"/>
    <cellStyle name="Normal 4 2 2 2 3 3 3" xfId="24752"/>
    <cellStyle name="Normal 4 2 2 2 3 3 3 2" xfId="24753"/>
    <cellStyle name="Normal 4 2 2 2 3 3 4" xfId="24754"/>
    <cellStyle name="Normal 4 2 2 2 3 4" xfId="24755"/>
    <cellStyle name="Normal 4 2 2 2 3 4 2" xfId="24756"/>
    <cellStyle name="Normal 4 2 2 2 3 4 2 2" xfId="24757"/>
    <cellStyle name="Normal 4 2 2 2 3 4 2 2 2" xfId="24758"/>
    <cellStyle name="Normal 4 2 2 2 3 4 2 3" xfId="24759"/>
    <cellStyle name="Normal 4 2 2 2 3 4 3" xfId="24760"/>
    <cellStyle name="Normal 4 2 2 2 3 4 3 2" xfId="24761"/>
    <cellStyle name="Normal 4 2 2 2 3 4 4" xfId="24762"/>
    <cellStyle name="Normal 4 2 2 2 3 5" xfId="24763"/>
    <cellStyle name="Normal 4 2 2 2 3 5 2" xfId="24764"/>
    <cellStyle name="Normal 4 2 2 2 3 5 2 2" xfId="24765"/>
    <cellStyle name="Normal 4 2 2 2 3 5 3" xfId="24766"/>
    <cellStyle name="Normal 4 2 2 2 3 6" xfId="24767"/>
    <cellStyle name="Normal 4 2 2 2 3 6 2" xfId="24768"/>
    <cellStyle name="Normal 4 2 2 2 3 7" xfId="24769"/>
    <cellStyle name="Normal 4 2 2 2 4" xfId="24770"/>
    <cellStyle name="Normal 4 2 2 2 4 2" xfId="24771"/>
    <cellStyle name="Normal 4 2 2 2 4 2 2" xfId="24772"/>
    <cellStyle name="Normal 4 2 2 2 4 2 2 2" xfId="24773"/>
    <cellStyle name="Normal 4 2 2 2 4 2 2 2 2" xfId="24774"/>
    <cellStyle name="Normal 4 2 2 2 4 2 2 3" xfId="24775"/>
    <cellStyle name="Normal 4 2 2 2 4 2 3" xfId="24776"/>
    <cellStyle name="Normal 4 2 2 2 4 2 3 2" xfId="24777"/>
    <cellStyle name="Normal 4 2 2 2 4 2 4" xfId="24778"/>
    <cellStyle name="Normal 4 2 2 2 4 3" xfId="24779"/>
    <cellStyle name="Normal 4 2 2 2 4 3 2" xfId="24780"/>
    <cellStyle name="Normal 4 2 2 2 4 3 2 2" xfId="24781"/>
    <cellStyle name="Normal 4 2 2 2 4 3 2 2 2" xfId="24782"/>
    <cellStyle name="Normal 4 2 2 2 4 3 2 3" xfId="24783"/>
    <cellStyle name="Normal 4 2 2 2 4 3 3" xfId="24784"/>
    <cellStyle name="Normal 4 2 2 2 4 3 3 2" xfId="24785"/>
    <cellStyle name="Normal 4 2 2 2 4 3 4" xfId="24786"/>
    <cellStyle name="Normal 4 2 2 2 4 4" xfId="24787"/>
    <cellStyle name="Normal 4 2 2 2 4 4 2" xfId="24788"/>
    <cellStyle name="Normal 4 2 2 2 4 4 2 2" xfId="24789"/>
    <cellStyle name="Normal 4 2 2 2 4 4 3" xfId="24790"/>
    <cellStyle name="Normal 4 2 2 2 4 5" xfId="24791"/>
    <cellStyle name="Normal 4 2 2 2 4 5 2" xfId="24792"/>
    <cellStyle name="Normal 4 2 2 2 4 6" xfId="24793"/>
    <cellStyle name="Normal 4 2 2 2 5" xfId="24794"/>
    <cellStyle name="Normal 4 2 2 2 5 2" xfId="24795"/>
    <cellStyle name="Normal 4 2 2 2 5 2 2" xfId="24796"/>
    <cellStyle name="Normal 4 2 2 2 5 2 2 2" xfId="24797"/>
    <cellStyle name="Normal 4 2 2 2 5 2 3" xfId="24798"/>
    <cellStyle name="Normal 4 2 2 2 5 3" xfId="24799"/>
    <cellStyle name="Normal 4 2 2 2 5 3 2" xfId="24800"/>
    <cellStyle name="Normal 4 2 2 2 5 4" xfId="24801"/>
    <cellStyle name="Normal 4 2 2 2 6" xfId="24802"/>
    <cellStyle name="Normal 4 2 2 2 6 2" xfId="24803"/>
    <cellStyle name="Normal 4 2 2 2 6 2 2" xfId="24804"/>
    <cellStyle name="Normal 4 2 2 2 6 2 2 2" xfId="24805"/>
    <cellStyle name="Normal 4 2 2 2 6 2 3" xfId="24806"/>
    <cellStyle name="Normal 4 2 2 2 6 3" xfId="24807"/>
    <cellStyle name="Normal 4 2 2 2 6 3 2" xfId="24808"/>
    <cellStyle name="Normal 4 2 2 2 6 4" xfId="24809"/>
    <cellStyle name="Normal 4 2 2 2 7" xfId="24810"/>
    <cellStyle name="Normal 4 2 2 2 7 2" xfId="24811"/>
    <cellStyle name="Normal 4 2 2 2 7 2 2" xfId="24812"/>
    <cellStyle name="Normal 4 2 2 2 7 2 2 2" xfId="24813"/>
    <cellStyle name="Normal 4 2 2 2 7 2 3" xfId="24814"/>
    <cellStyle name="Normal 4 2 2 2 7 3" xfId="24815"/>
    <cellStyle name="Normal 4 2 2 2 7 3 2" xfId="24816"/>
    <cellStyle name="Normal 4 2 2 2 7 4" xfId="24817"/>
    <cellStyle name="Normal 4 2 2 2 8" xfId="24818"/>
    <cellStyle name="Normal 4 2 2 2 8 2" xfId="24819"/>
    <cellStyle name="Normal 4 2 2 2 8 2 2" xfId="24820"/>
    <cellStyle name="Normal 4 2 2 2 8 3" xfId="24821"/>
    <cellStyle name="Normal 4 2 2 2 9" xfId="24822"/>
    <cellStyle name="Normal 4 2 2 2 9 2" xfId="24823"/>
    <cellStyle name="Normal 4 2 2 3" xfId="24824"/>
    <cellStyle name="Normal 4 2 2 3 2" xfId="24825"/>
    <cellStyle name="Normal 4 2 2 3 2 2" xfId="24826"/>
    <cellStyle name="Normal 4 2 2 3 2 2 2" xfId="24827"/>
    <cellStyle name="Normal 4 2 2 3 2 2 2 2" xfId="24828"/>
    <cellStyle name="Normal 4 2 2 3 2 2 2 2 2" xfId="24829"/>
    <cellStyle name="Normal 4 2 2 3 2 2 2 2 2 2" xfId="24830"/>
    <cellStyle name="Normal 4 2 2 3 2 2 2 2 3" xfId="24831"/>
    <cellStyle name="Normal 4 2 2 3 2 2 2 3" xfId="24832"/>
    <cellStyle name="Normal 4 2 2 3 2 2 2 3 2" xfId="24833"/>
    <cellStyle name="Normal 4 2 2 3 2 2 2 4" xfId="24834"/>
    <cellStyle name="Normal 4 2 2 3 2 2 3" xfId="24835"/>
    <cellStyle name="Normal 4 2 2 3 2 2 3 2" xfId="24836"/>
    <cellStyle name="Normal 4 2 2 3 2 2 3 2 2" xfId="24837"/>
    <cellStyle name="Normal 4 2 2 3 2 2 3 2 2 2" xfId="24838"/>
    <cellStyle name="Normal 4 2 2 3 2 2 3 2 3" xfId="24839"/>
    <cellStyle name="Normal 4 2 2 3 2 2 3 3" xfId="24840"/>
    <cellStyle name="Normal 4 2 2 3 2 2 3 3 2" xfId="24841"/>
    <cellStyle name="Normal 4 2 2 3 2 2 3 4" xfId="24842"/>
    <cellStyle name="Normal 4 2 2 3 2 2 4" xfId="24843"/>
    <cellStyle name="Normal 4 2 2 3 2 2 4 2" xfId="24844"/>
    <cellStyle name="Normal 4 2 2 3 2 2 4 2 2" xfId="24845"/>
    <cellStyle name="Normal 4 2 2 3 2 2 4 3" xfId="24846"/>
    <cellStyle name="Normal 4 2 2 3 2 2 5" xfId="24847"/>
    <cellStyle name="Normal 4 2 2 3 2 2 5 2" xfId="24848"/>
    <cellStyle name="Normal 4 2 2 3 2 2 6" xfId="24849"/>
    <cellStyle name="Normal 4 2 2 3 2 3" xfId="24850"/>
    <cellStyle name="Normal 4 2 2 3 2 3 2" xfId="24851"/>
    <cellStyle name="Normal 4 2 2 3 2 3 2 2" xfId="24852"/>
    <cellStyle name="Normal 4 2 2 3 2 3 2 2 2" xfId="24853"/>
    <cellStyle name="Normal 4 2 2 3 2 3 2 3" xfId="24854"/>
    <cellStyle name="Normal 4 2 2 3 2 3 3" xfId="24855"/>
    <cellStyle name="Normal 4 2 2 3 2 3 3 2" xfId="24856"/>
    <cellStyle name="Normal 4 2 2 3 2 3 4" xfId="24857"/>
    <cellStyle name="Normal 4 2 2 3 2 4" xfId="24858"/>
    <cellStyle name="Normal 4 2 2 3 2 4 2" xfId="24859"/>
    <cellStyle name="Normal 4 2 2 3 2 4 2 2" xfId="24860"/>
    <cellStyle name="Normal 4 2 2 3 2 4 2 2 2" xfId="24861"/>
    <cellStyle name="Normal 4 2 2 3 2 4 2 3" xfId="24862"/>
    <cellStyle name="Normal 4 2 2 3 2 4 3" xfId="24863"/>
    <cellStyle name="Normal 4 2 2 3 2 4 3 2" xfId="24864"/>
    <cellStyle name="Normal 4 2 2 3 2 4 4" xfId="24865"/>
    <cellStyle name="Normal 4 2 2 3 2 5" xfId="24866"/>
    <cellStyle name="Normal 4 2 2 3 2 5 2" xfId="24867"/>
    <cellStyle name="Normal 4 2 2 3 2 5 2 2" xfId="24868"/>
    <cellStyle name="Normal 4 2 2 3 2 5 3" xfId="24869"/>
    <cellStyle name="Normal 4 2 2 3 2 6" xfId="24870"/>
    <cellStyle name="Normal 4 2 2 3 2 6 2" xfId="24871"/>
    <cellStyle name="Normal 4 2 2 3 2 7" xfId="24872"/>
    <cellStyle name="Normal 4 2 2 3 3" xfId="24873"/>
    <cellStyle name="Normal 4 2 2 3 3 2" xfId="24874"/>
    <cellStyle name="Normal 4 2 2 3 3 2 2" xfId="24875"/>
    <cellStyle name="Normal 4 2 2 3 3 2 2 2" xfId="24876"/>
    <cellStyle name="Normal 4 2 2 3 3 2 2 2 2" xfId="24877"/>
    <cellStyle name="Normal 4 2 2 3 3 2 2 3" xfId="24878"/>
    <cellStyle name="Normal 4 2 2 3 3 2 3" xfId="24879"/>
    <cellStyle name="Normal 4 2 2 3 3 2 3 2" xfId="24880"/>
    <cellStyle name="Normal 4 2 2 3 3 2 4" xfId="24881"/>
    <cellStyle name="Normal 4 2 2 3 3 3" xfId="24882"/>
    <cellStyle name="Normal 4 2 2 3 3 3 2" xfId="24883"/>
    <cellStyle name="Normal 4 2 2 3 3 3 2 2" xfId="24884"/>
    <cellStyle name="Normal 4 2 2 3 3 3 2 2 2" xfId="24885"/>
    <cellStyle name="Normal 4 2 2 3 3 3 2 3" xfId="24886"/>
    <cellStyle name="Normal 4 2 2 3 3 3 3" xfId="24887"/>
    <cellStyle name="Normal 4 2 2 3 3 3 3 2" xfId="24888"/>
    <cellStyle name="Normal 4 2 2 3 3 3 4" xfId="24889"/>
    <cellStyle name="Normal 4 2 2 3 3 4" xfId="24890"/>
    <cellStyle name="Normal 4 2 2 3 3 4 2" xfId="24891"/>
    <cellStyle name="Normal 4 2 2 3 3 4 2 2" xfId="24892"/>
    <cellStyle name="Normal 4 2 2 3 3 4 3" xfId="24893"/>
    <cellStyle name="Normal 4 2 2 3 3 5" xfId="24894"/>
    <cellStyle name="Normal 4 2 2 3 3 5 2" xfId="24895"/>
    <cellStyle name="Normal 4 2 2 3 3 6" xfId="24896"/>
    <cellStyle name="Normal 4 2 2 3 4" xfId="24897"/>
    <cellStyle name="Normal 4 2 2 3 4 2" xfId="24898"/>
    <cellStyle name="Normal 4 2 2 3 4 2 2" xfId="24899"/>
    <cellStyle name="Normal 4 2 2 3 4 2 2 2" xfId="24900"/>
    <cellStyle name="Normal 4 2 2 3 4 2 3" xfId="24901"/>
    <cellStyle name="Normal 4 2 2 3 4 3" xfId="24902"/>
    <cellStyle name="Normal 4 2 2 3 4 3 2" xfId="24903"/>
    <cellStyle name="Normal 4 2 2 3 4 4" xfId="24904"/>
    <cellStyle name="Normal 4 2 2 3 5" xfId="24905"/>
    <cellStyle name="Normal 4 2 2 3 5 2" xfId="24906"/>
    <cellStyle name="Normal 4 2 2 3 5 2 2" xfId="24907"/>
    <cellStyle name="Normal 4 2 2 3 5 2 2 2" xfId="24908"/>
    <cellStyle name="Normal 4 2 2 3 5 2 3" xfId="24909"/>
    <cellStyle name="Normal 4 2 2 3 5 3" xfId="24910"/>
    <cellStyle name="Normal 4 2 2 3 5 3 2" xfId="24911"/>
    <cellStyle name="Normal 4 2 2 3 5 4" xfId="24912"/>
    <cellStyle name="Normal 4 2 2 3 6" xfId="24913"/>
    <cellStyle name="Normal 4 2 2 3 6 2" xfId="24914"/>
    <cellStyle name="Normal 4 2 2 3 6 2 2" xfId="24915"/>
    <cellStyle name="Normal 4 2 2 3 6 2 2 2" xfId="24916"/>
    <cellStyle name="Normal 4 2 2 3 6 2 3" xfId="24917"/>
    <cellStyle name="Normal 4 2 2 3 6 3" xfId="24918"/>
    <cellStyle name="Normal 4 2 2 3 6 3 2" xfId="24919"/>
    <cellStyle name="Normal 4 2 2 3 6 4" xfId="24920"/>
    <cellStyle name="Normal 4 2 2 3 7" xfId="24921"/>
    <cellStyle name="Normal 4 2 2 3 7 2" xfId="24922"/>
    <cellStyle name="Normal 4 2 2 3 7 2 2" xfId="24923"/>
    <cellStyle name="Normal 4 2 2 3 7 3" xfId="24924"/>
    <cellStyle name="Normal 4 2 2 3 8" xfId="24925"/>
    <cellStyle name="Normal 4 2 2 3 8 2" xfId="24926"/>
    <cellStyle name="Normal 4 2 2 3 9" xfId="24927"/>
    <cellStyle name="Normal 4 2 2 4" xfId="24928"/>
    <cellStyle name="Normal 4 2 2 4 2" xfId="24929"/>
    <cellStyle name="Normal 4 2 2 4 2 2" xfId="24930"/>
    <cellStyle name="Normal 4 2 2 4 2 2 2" xfId="24931"/>
    <cellStyle name="Normal 4 2 2 4 2 2 2 2" xfId="24932"/>
    <cellStyle name="Normal 4 2 2 4 2 2 2 2 2" xfId="24933"/>
    <cellStyle name="Normal 4 2 2 4 2 2 2 3" xfId="24934"/>
    <cellStyle name="Normal 4 2 2 4 2 2 3" xfId="24935"/>
    <cellStyle name="Normal 4 2 2 4 2 2 3 2" xfId="24936"/>
    <cellStyle name="Normal 4 2 2 4 2 2 4" xfId="24937"/>
    <cellStyle name="Normal 4 2 2 4 2 3" xfId="24938"/>
    <cellStyle name="Normal 4 2 2 4 2 3 2" xfId="24939"/>
    <cellStyle name="Normal 4 2 2 4 2 3 2 2" xfId="24940"/>
    <cellStyle name="Normal 4 2 2 4 2 3 2 2 2" xfId="24941"/>
    <cellStyle name="Normal 4 2 2 4 2 3 2 3" xfId="24942"/>
    <cellStyle name="Normal 4 2 2 4 2 3 3" xfId="24943"/>
    <cellStyle name="Normal 4 2 2 4 2 3 3 2" xfId="24944"/>
    <cellStyle name="Normal 4 2 2 4 2 3 4" xfId="24945"/>
    <cellStyle name="Normal 4 2 2 4 2 4" xfId="24946"/>
    <cellStyle name="Normal 4 2 2 4 2 4 2" xfId="24947"/>
    <cellStyle name="Normal 4 2 2 4 2 4 2 2" xfId="24948"/>
    <cellStyle name="Normal 4 2 2 4 2 4 3" xfId="24949"/>
    <cellStyle name="Normal 4 2 2 4 2 5" xfId="24950"/>
    <cellStyle name="Normal 4 2 2 4 2 5 2" xfId="24951"/>
    <cellStyle name="Normal 4 2 2 4 2 6" xfId="24952"/>
    <cellStyle name="Normal 4 2 2 4 3" xfId="24953"/>
    <cellStyle name="Normal 4 2 2 4 3 2" xfId="24954"/>
    <cellStyle name="Normal 4 2 2 4 3 2 2" xfId="24955"/>
    <cellStyle name="Normal 4 2 2 4 3 2 2 2" xfId="24956"/>
    <cellStyle name="Normal 4 2 2 4 3 2 3" xfId="24957"/>
    <cellStyle name="Normal 4 2 2 4 3 3" xfId="24958"/>
    <cellStyle name="Normal 4 2 2 4 3 3 2" xfId="24959"/>
    <cellStyle name="Normal 4 2 2 4 3 4" xfId="24960"/>
    <cellStyle name="Normal 4 2 2 4 4" xfId="24961"/>
    <cellStyle name="Normal 4 2 2 4 4 2" xfId="24962"/>
    <cellStyle name="Normal 4 2 2 4 4 2 2" xfId="24963"/>
    <cellStyle name="Normal 4 2 2 4 4 2 2 2" xfId="24964"/>
    <cellStyle name="Normal 4 2 2 4 4 2 3" xfId="24965"/>
    <cellStyle name="Normal 4 2 2 4 4 3" xfId="24966"/>
    <cellStyle name="Normal 4 2 2 4 4 3 2" xfId="24967"/>
    <cellStyle name="Normal 4 2 2 4 4 4" xfId="24968"/>
    <cellStyle name="Normal 4 2 2 4 5" xfId="24969"/>
    <cellStyle name="Normal 4 2 2 4 5 2" xfId="24970"/>
    <cellStyle name="Normal 4 2 2 4 5 2 2" xfId="24971"/>
    <cellStyle name="Normal 4 2 2 4 5 3" xfId="24972"/>
    <cellStyle name="Normal 4 2 2 4 6" xfId="24973"/>
    <cellStyle name="Normal 4 2 2 4 6 2" xfId="24974"/>
    <cellStyle name="Normal 4 2 2 4 7" xfId="24975"/>
    <cellStyle name="Normal 4 2 2 5" xfId="24976"/>
    <cellStyle name="Normal 4 2 2 5 2" xfId="24977"/>
    <cellStyle name="Normal 4 2 2 5 2 2" xfId="24978"/>
    <cellStyle name="Normal 4 2 2 5 2 2 2" xfId="24979"/>
    <cellStyle name="Normal 4 2 2 5 2 2 2 2" xfId="24980"/>
    <cellStyle name="Normal 4 2 2 5 2 2 3" xfId="24981"/>
    <cellStyle name="Normal 4 2 2 5 2 3" xfId="24982"/>
    <cellStyle name="Normal 4 2 2 5 2 3 2" xfId="24983"/>
    <cellStyle name="Normal 4 2 2 5 2 4" xfId="24984"/>
    <cellStyle name="Normal 4 2 2 5 3" xfId="24985"/>
    <cellStyle name="Normal 4 2 2 5 3 2" xfId="24986"/>
    <cellStyle name="Normal 4 2 2 5 3 2 2" xfId="24987"/>
    <cellStyle name="Normal 4 2 2 5 3 2 2 2" xfId="24988"/>
    <cellStyle name="Normal 4 2 2 5 3 2 3" xfId="24989"/>
    <cellStyle name="Normal 4 2 2 5 3 3" xfId="24990"/>
    <cellStyle name="Normal 4 2 2 5 3 3 2" xfId="24991"/>
    <cellStyle name="Normal 4 2 2 5 3 4" xfId="24992"/>
    <cellStyle name="Normal 4 2 2 5 4" xfId="24993"/>
    <cellStyle name="Normal 4 2 2 5 4 2" xfId="24994"/>
    <cellStyle name="Normal 4 2 2 5 4 2 2" xfId="24995"/>
    <cellStyle name="Normal 4 2 2 5 4 3" xfId="24996"/>
    <cellStyle name="Normal 4 2 2 5 5" xfId="24997"/>
    <cellStyle name="Normal 4 2 2 5 5 2" xfId="24998"/>
    <cellStyle name="Normal 4 2 2 5 6" xfId="24999"/>
    <cellStyle name="Normal 4 2 2 6" xfId="25000"/>
    <cellStyle name="Normal 4 2 2 6 2" xfId="25001"/>
    <cellStyle name="Normal 4 2 2 6 2 2" xfId="25002"/>
    <cellStyle name="Normal 4 2 2 6 2 2 2" xfId="25003"/>
    <cellStyle name="Normal 4 2 2 6 2 3" xfId="25004"/>
    <cellStyle name="Normal 4 2 2 6 3" xfId="25005"/>
    <cellStyle name="Normal 4 2 2 6 3 2" xfId="25006"/>
    <cellStyle name="Normal 4 2 2 6 4" xfId="25007"/>
    <cellStyle name="Normal 4 2 2 7" xfId="25008"/>
    <cellStyle name="Normal 4 2 2 7 2" xfId="25009"/>
    <cellStyle name="Normal 4 2 2 7 2 2" xfId="25010"/>
    <cellStyle name="Normal 4 2 2 7 2 2 2" xfId="25011"/>
    <cellStyle name="Normal 4 2 2 7 2 3" xfId="25012"/>
    <cellStyle name="Normal 4 2 2 7 3" xfId="25013"/>
    <cellStyle name="Normal 4 2 2 7 3 2" xfId="25014"/>
    <cellStyle name="Normal 4 2 2 7 4" xfId="25015"/>
    <cellStyle name="Normal 4 2 2 8" xfId="25016"/>
    <cellStyle name="Normal 4 2 2 8 2" xfId="25017"/>
    <cellStyle name="Normal 4 2 2 8 2 2" xfId="25018"/>
    <cellStyle name="Normal 4 2 2 8 2 2 2" xfId="25019"/>
    <cellStyle name="Normal 4 2 2 8 2 3" xfId="25020"/>
    <cellStyle name="Normal 4 2 2 8 3" xfId="25021"/>
    <cellStyle name="Normal 4 2 2 8 3 2" xfId="25022"/>
    <cellStyle name="Normal 4 2 2 8 4" xfId="25023"/>
    <cellStyle name="Normal 4 2 2 9" xfId="25024"/>
    <cellStyle name="Normal 4 2 2 9 2" xfId="25025"/>
    <cellStyle name="Normal 4 2 2 9 2 2" xfId="25026"/>
    <cellStyle name="Normal 4 2 2 9 3" xfId="25027"/>
    <cellStyle name="Normal 4 2 3" xfId="25028"/>
    <cellStyle name="Normal 4 2 3 10" xfId="25029"/>
    <cellStyle name="Normal 4 2 3 2" xfId="25030"/>
    <cellStyle name="Normal 4 2 3 2 2" xfId="25031"/>
    <cellStyle name="Normal 4 2 3 2 2 2" xfId="25032"/>
    <cellStyle name="Normal 4 2 3 2 2 2 2" xfId="25033"/>
    <cellStyle name="Normal 4 2 3 2 2 2 2 2" xfId="25034"/>
    <cellStyle name="Normal 4 2 3 2 2 2 2 2 2" xfId="25035"/>
    <cellStyle name="Normal 4 2 3 2 2 2 2 2 2 2" xfId="25036"/>
    <cellStyle name="Normal 4 2 3 2 2 2 2 2 3" xfId="25037"/>
    <cellStyle name="Normal 4 2 3 2 2 2 2 3" xfId="25038"/>
    <cellStyle name="Normal 4 2 3 2 2 2 2 3 2" xfId="25039"/>
    <cellStyle name="Normal 4 2 3 2 2 2 2 4" xfId="25040"/>
    <cellStyle name="Normal 4 2 3 2 2 2 3" xfId="25041"/>
    <cellStyle name="Normal 4 2 3 2 2 2 3 2" xfId="25042"/>
    <cellStyle name="Normal 4 2 3 2 2 2 3 2 2" xfId="25043"/>
    <cellStyle name="Normal 4 2 3 2 2 2 3 2 2 2" xfId="25044"/>
    <cellStyle name="Normal 4 2 3 2 2 2 3 2 3" xfId="25045"/>
    <cellStyle name="Normal 4 2 3 2 2 2 3 3" xfId="25046"/>
    <cellStyle name="Normal 4 2 3 2 2 2 3 3 2" xfId="25047"/>
    <cellStyle name="Normal 4 2 3 2 2 2 3 4" xfId="25048"/>
    <cellStyle name="Normal 4 2 3 2 2 2 4" xfId="25049"/>
    <cellStyle name="Normal 4 2 3 2 2 2 4 2" xfId="25050"/>
    <cellStyle name="Normal 4 2 3 2 2 2 4 2 2" xfId="25051"/>
    <cellStyle name="Normal 4 2 3 2 2 2 4 3" xfId="25052"/>
    <cellStyle name="Normal 4 2 3 2 2 2 5" xfId="25053"/>
    <cellStyle name="Normal 4 2 3 2 2 2 5 2" xfId="25054"/>
    <cellStyle name="Normal 4 2 3 2 2 2 6" xfId="25055"/>
    <cellStyle name="Normal 4 2 3 2 2 3" xfId="25056"/>
    <cellStyle name="Normal 4 2 3 2 2 3 2" xfId="25057"/>
    <cellStyle name="Normal 4 2 3 2 2 3 2 2" xfId="25058"/>
    <cellStyle name="Normal 4 2 3 2 2 3 2 2 2" xfId="25059"/>
    <cellStyle name="Normal 4 2 3 2 2 3 2 3" xfId="25060"/>
    <cellStyle name="Normal 4 2 3 2 2 3 3" xfId="25061"/>
    <cellStyle name="Normal 4 2 3 2 2 3 3 2" xfId="25062"/>
    <cellStyle name="Normal 4 2 3 2 2 3 4" xfId="25063"/>
    <cellStyle name="Normal 4 2 3 2 2 4" xfId="25064"/>
    <cellStyle name="Normal 4 2 3 2 2 4 2" xfId="25065"/>
    <cellStyle name="Normal 4 2 3 2 2 4 2 2" xfId="25066"/>
    <cellStyle name="Normal 4 2 3 2 2 4 2 2 2" xfId="25067"/>
    <cellStyle name="Normal 4 2 3 2 2 4 2 3" xfId="25068"/>
    <cellStyle name="Normal 4 2 3 2 2 4 3" xfId="25069"/>
    <cellStyle name="Normal 4 2 3 2 2 4 3 2" xfId="25070"/>
    <cellStyle name="Normal 4 2 3 2 2 4 4" xfId="25071"/>
    <cellStyle name="Normal 4 2 3 2 2 5" xfId="25072"/>
    <cellStyle name="Normal 4 2 3 2 2 5 2" xfId="25073"/>
    <cellStyle name="Normal 4 2 3 2 2 5 2 2" xfId="25074"/>
    <cellStyle name="Normal 4 2 3 2 2 5 3" xfId="25075"/>
    <cellStyle name="Normal 4 2 3 2 2 6" xfId="25076"/>
    <cellStyle name="Normal 4 2 3 2 2 6 2" xfId="25077"/>
    <cellStyle name="Normal 4 2 3 2 2 7" xfId="25078"/>
    <cellStyle name="Normal 4 2 3 2 3" xfId="25079"/>
    <cellStyle name="Normal 4 2 3 2 3 2" xfId="25080"/>
    <cellStyle name="Normal 4 2 3 2 3 2 2" xfId="25081"/>
    <cellStyle name="Normal 4 2 3 2 3 2 2 2" xfId="25082"/>
    <cellStyle name="Normal 4 2 3 2 3 2 2 2 2" xfId="25083"/>
    <cellStyle name="Normal 4 2 3 2 3 2 2 3" xfId="25084"/>
    <cellStyle name="Normal 4 2 3 2 3 2 3" xfId="25085"/>
    <cellStyle name="Normal 4 2 3 2 3 2 3 2" xfId="25086"/>
    <cellStyle name="Normal 4 2 3 2 3 2 4" xfId="25087"/>
    <cellStyle name="Normal 4 2 3 2 3 3" xfId="25088"/>
    <cellStyle name="Normal 4 2 3 2 3 3 2" xfId="25089"/>
    <cellStyle name="Normal 4 2 3 2 3 3 2 2" xfId="25090"/>
    <cellStyle name="Normal 4 2 3 2 3 3 2 2 2" xfId="25091"/>
    <cellStyle name="Normal 4 2 3 2 3 3 2 3" xfId="25092"/>
    <cellStyle name="Normal 4 2 3 2 3 3 3" xfId="25093"/>
    <cellStyle name="Normal 4 2 3 2 3 3 3 2" xfId="25094"/>
    <cellStyle name="Normal 4 2 3 2 3 3 4" xfId="25095"/>
    <cellStyle name="Normal 4 2 3 2 3 4" xfId="25096"/>
    <cellStyle name="Normal 4 2 3 2 3 4 2" xfId="25097"/>
    <cellStyle name="Normal 4 2 3 2 3 4 2 2" xfId="25098"/>
    <cellStyle name="Normal 4 2 3 2 3 4 3" xfId="25099"/>
    <cellStyle name="Normal 4 2 3 2 3 5" xfId="25100"/>
    <cellStyle name="Normal 4 2 3 2 3 5 2" xfId="25101"/>
    <cellStyle name="Normal 4 2 3 2 3 6" xfId="25102"/>
    <cellStyle name="Normal 4 2 3 2 4" xfId="25103"/>
    <cellStyle name="Normal 4 2 3 2 4 2" xfId="25104"/>
    <cellStyle name="Normal 4 2 3 2 4 2 2" xfId="25105"/>
    <cellStyle name="Normal 4 2 3 2 4 2 2 2" xfId="25106"/>
    <cellStyle name="Normal 4 2 3 2 4 2 3" xfId="25107"/>
    <cellStyle name="Normal 4 2 3 2 4 3" xfId="25108"/>
    <cellStyle name="Normal 4 2 3 2 4 3 2" xfId="25109"/>
    <cellStyle name="Normal 4 2 3 2 4 4" xfId="25110"/>
    <cellStyle name="Normal 4 2 3 2 5" xfId="25111"/>
    <cellStyle name="Normal 4 2 3 2 5 2" xfId="25112"/>
    <cellStyle name="Normal 4 2 3 2 5 2 2" xfId="25113"/>
    <cellStyle name="Normal 4 2 3 2 5 2 2 2" xfId="25114"/>
    <cellStyle name="Normal 4 2 3 2 5 2 3" xfId="25115"/>
    <cellStyle name="Normal 4 2 3 2 5 3" xfId="25116"/>
    <cellStyle name="Normal 4 2 3 2 5 3 2" xfId="25117"/>
    <cellStyle name="Normal 4 2 3 2 5 4" xfId="25118"/>
    <cellStyle name="Normal 4 2 3 2 6" xfId="25119"/>
    <cellStyle name="Normal 4 2 3 2 6 2" xfId="25120"/>
    <cellStyle name="Normal 4 2 3 2 6 2 2" xfId="25121"/>
    <cellStyle name="Normal 4 2 3 2 6 2 2 2" xfId="25122"/>
    <cellStyle name="Normal 4 2 3 2 6 2 3" xfId="25123"/>
    <cellStyle name="Normal 4 2 3 2 6 3" xfId="25124"/>
    <cellStyle name="Normal 4 2 3 2 6 3 2" xfId="25125"/>
    <cellStyle name="Normal 4 2 3 2 6 4" xfId="25126"/>
    <cellStyle name="Normal 4 2 3 2 7" xfId="25127"/>
    <cellStyle name="Normal 4 2 3 2 7 2" xfId="25128"/>
    <cellStyle name="Normal 4 2 3 2 7 2 2" xfId="25129"/>
    <cellStyle name="Normal 4 2 3 2 7 3" xfId="25130"/>
    <cellStyle name="Normal 4 2 3 2 8" xfId="25131"/>
    <cellStyle name="Normal 4 2 3 2 8 2" xfId="25132"/>
    <cellStyle name="Normal 4 2 3 2 9" xfId="25133"/>
    <cellStyle name="Normal 4 2 3 3" xfId="25134"/>
    <cellStyle name="Normal 4 2 3 3 2" xfId="25135"/>
    <cellStyle name="Normal 4 2 3 3 2 2" xfId="25136"/>
    <cellStyle name="Normal 4 2 3 3 2 2 2" xfId="25137"/>
    <cellStyle name="Normal 4 2 3 3 2 2 2 2" xfId="25138"/>
    <cellStyle name="Normal 4 2 3 3 2 2 2 2 2" xfId="25139"/>
    <cellStyle name="Normal 4 2 3 3 2 2 2 3" xfId="25140"/>
    <cellStyle name="Normal 4 2 3 3 2 2 3" xfId="25141"/>
    <cellStyle name="Normal 4 2 3 3 2 2 3 2" xfId="25142"/>
    <cellStyle name="Normal 4 2 3 3 2 2 4" xfId="25143"/>
    <cellStyle name="Normal 4 2 3 3 2 3" xfId="25144"/>
    <cellStyle name="Normal 4 2 3 3 2 3 2" xfId="25145"/>
    <cellStyle name="Normal 4 2 3 3 2 3 2 2" xfId="25146"/>
    <cellStyle name="Normal 4 2 3 3 2 3 2 2 2" xfId="25147"/>
    <cellStyle name="Normal 4 2 3 3 2 3 2 3" xfId="25148"/>
    <cellStyle name="Normal 4 2 3 3 2 3 3" xfId="25149"/>
    <cellStyle name="Normal 4 2 3 3 2 3 3 2" xfId="25150"/>
    <cellStyle name="Normal 4 2 3 3 2 3 4" xfId="25151"/>
    <cellStyle name="Normal 4 2 3 3 2 4" xfId="25152"/>
    <cellStyle name="Normal 4 2 3 3 2 4 2" xfId="25153"/>
    <cellStyle name="Normal 4 2 3 3 2 4 2 2" xfId="25154"/>
    <cellStyle name="Normal 4 2 3 3 2 4 3" xfId="25155"/>
    <cellStyle name="Normal 4 2 3 3 2 5" xfId="25156"/>
    <cellStyle name="Normal 4 2 3 3 2 5 2" xfId="25157"/>
    <cellStyle name="Normal 4 2 3 3 2 6" xfId="25158"/>
    <cellStyle name="Normal 4 2 3 3 3" xfId="25159"/>
    <cellStyle name="Normal 4 2 3 3 3 2" xfId="25160"/>
    <cellStyle name="Normal 4 2 3 3 3 2 2" xfId="25161"/>
    <cellStyle name="Normal 4 2 3 3 3 2 2 2" xfId="25162"/>
    <cellStyle name="Normal 4 2 3 3 3 2 3" xfId="25163"/>
    <cellStyle name="Normal 4 2 3 3 3 3" xfId="25164"/>
    <cellStyle name="Normal 4 2 3 3 3 3 2" xfId="25165"/>
    <cellStyle name="Normal 4 2 3 3 3 4" xfId="25166"/>
    <cellStyle name="Normal 4 2 3 3 4" xfId="25167"/>
    <cellStyle name="Normal 4 2 3 3 4 2" xfId="25168"/>
    <cellStyle name="Normal 4 2 3 3 4 2 2" xfId="25169"/>
    <cellStyle name="Normal 4 2 3 3 4 2 2 2" xfId="25170"/>
    <cellStyle name="Normal 4 2 3 3 4 2 3" xfId="25171"/>
    <cellStyle name="Normal 4 2 3 3 4 3" xfId="25172"/>
    <cellStyle name="Normal 4 2 3 3 4 3 2" xfId="25173"/>
    <cellStyle name="Normal 4 2 3 3 4 4" xfId="25174"/>
    <cellStyle name="Normal 4 2 3 3 5" xfId="25175"/>
    <cellStyle name="Normal 4 2 3 3 5 2" xfId="25176"/>
    <cellStyle name="Normal 4 2 3 3 5 2 2" xfId="25177"/>
    <cellStyle name="Normal 4 2 3 3 5 3" xfId="25178"/>
    <cellStyle name="Normal 4 2 3 3 6" xfId="25179"/>
    <cellStyle name="Normal 4 2 3 3 6 2" xfId="25180"/>
    <cellStyle name="Normal 4 2 3 3 7" xfId="25181"/>
    <cellStyle name="Normal 4 2 3 4" xfId="25182"/>
    <cellStyle name="Normal 4 2 3 4 2" xfId="25183"/>
    <cellStyle name="Normal 4 2 3 4 2 2" xfId="25184"/>
    <cellStyle name="Normal 4 2 3 4 2 2 2" xfId="25185"/>
    <cellStyle name="Normal 4 2 3 4 2 2 2 2" xfId="25186"/>
    <cellStyle name="Normal 4 2 3 4 2 2 3" xfId="25187"/>
    <cellStyle name="Normal 4 2 3 4 2 3" xfId="25188"/>
    <cellStyle name="Normal 4 2 3 4 2 3 2" xfId="25189"/>
    <cellStyle name="Normal 4 2 3 4 2 4" xfId="25190"/>
    <cellStyle name="Normal 4 2 3 4 3" xfId="25191"/>
    <cellStyle name="Normal 4 2 3 4 3 2" xfId="25192"/>
    <cellStyle name="Normal 4 2 3 4 3 2 2" xfId="25193"/>
    <cellStyle name="Normal 4 2 3 4 3 2 2 2" xfId="25194"/>
    <cellStyle name="Normal 4 2 3 4 3 2 3" xfId="25195"/>
    <cellStyle name="Normal 4 2 3 4 3 3" xfId="25196"/>
    <cellStyle name="Normal 4 2 3 4 3 3 2" xfId="25197"/>
    <cellStyle name="Normal 4 2 3 4 3 4" xfId="25198"/>
    <cellStyle name="Normal 4 2 3 4 4" xfId="25199"/>
    <cellStyle name="Normal 4 2 3 4 4 2" xfId="25200"/>
    <cellStyle name="Normal 4 2 3 4 4 2 2" xfId="25201"/>
    <cellStyle name="Normal 4 2 3 4 4 3" xfId="25202"/>
    <cellStyle name="Normal 4 2 3 4 5" xfId="25203"/>
    <cellStyle name="Normal 4 2 3 4 5 2" xfId="25204"/>
    <cellStyle name="Normal 4 2 3 4 6" xfId="25205"/>
    <cellStyle name="Normal 4 2 3 5" xfId="25206"/>
    <cellStyle name="Normal 4 2 3 5 2" xfId="25207"/>
    <cellStyle name="Normal 4 2 3 5 2 2" xfId="25208"/>
    <cellStyle name="Normal 4 2 3 5 2 2 2" xfId="25209"/>
    <cellStyle name="Normal 4 2 3 5 2 3" xfId="25210"/>
    <cellStyle name="Normal 4 2 3 5 3" xfId="25211"/>
    <cellStyle name="Normal 4 2 3 5 3 2" xfId="25212"/>
    <cellStyle name="Normal 4 2 3 5 4" xfId="25213"/>
    <cellStyle name="Normal 4 2 3 6" xfId="25214"/>
    <cellStyle name="Normal 4 2 3 6 2" xfId="25215"/>
    <cellStyle name="Normal 4 2 3 6 2 2" xfId="25216"/>
    <cellStyle name="Normal 4 2 3 6 2 2 2" xfId="25217"/>
    <cellStyle name="Normal 4 2 3 6 2 3" xfId="25218"/>
    <cellStyle name="Normal 4 2 3 6 3" xfId="25219"/>
    <cellStyle name="Normal 4 2 3 6 3 2" xfId="25220"/>
    <cellStyle name="Normal 4 2 3 6 4" xfId="25221"/>
    <cellStyle name="Normal 4 2 3 7" xfId="25222"/>
    <cellStyle name="Normal 4 2 3 7 2" xfId="25223"/>
    <cellStyle name="Normal 4 2 3 7 2 2" xfId="25224"/>
    <cellStyle name="Normal 4 2 3 7 2 2 2" xfId="25225"/>
    <cellStyle name="Normal 4 2 3 7 2 3" xfId="25226"/>
    <cellStyle name="Normal 4 2 3 7 3" xfId="25227"/>
    <cellStyle name="Normal 4 2 3 7 3 2" xfId="25228"/>
    <cellStyle name="Normal 4 2 3 7 4" xfId="25229"/>
    <cellStyle name="Normal 4 2 3 8" xfId="25230"/>
    <cellStyle name="Normal 4 2 3 8 2" xfId="25231"/>
    <cellStyle name="Normal 4 2 3 8 2 2" xfId="25232"/>
    <cellStyle name="Normal 4 2 3 8 3" xfId="25233"/>
    <cellStyle name="Normal 4 2 3 9" xfId="25234"/>
    <cellStyle name="Normal 4 2 3 9 2" xfId="25235"/>
    <cellStyle name="Normal 4 2 4" xfId="25236"/>
    <cellStyle name="Normal 4 2 4 10" xfId="25237"/>
    <cellStyle name="Normal 4 2 4 2" xfId="25238"/>
    <cellStyle name="Normal 4 2 4 2 2" xfId="25239"/>
    <cellStyle name="Normal 4 2 4 2 2 2" xfId="25240"/>
    <cellStyle name="Normal 4 2 4 2 2 2 2" xfId="25241"/>
    <cellStyle name="Normal 4 2 4 2 2 2 2 2" xfId="25242"/>
    <cellStyle name="Normal 4 2 4 2 2 2 2 2 2" xfId="25243"/>
    <cellStyle name="Normal 4 2 4 2 2 2 2 2 2 2" xfId="25244"/>
    <cellStyle name="Normal 4 2 4 2 2 2 2 2 3" xfId="25245"/>
    <cellStyle name="Normal 4 2 4 2 2 2 2 3" xfId="25246"/>
    <cellStyle name="Normal 4 2 4 2 2 2 2 3 2" xfId="25247"/>
    <cellStyle name="Normal 4 2 4 2 2 2 2 4" xfId="25248"/>
    <cellStyle name="Normal 4 2 4 2 2 2 3" xfId="25249"/>
    <cellStyle name="Normal 4 2 4 2 2 2 3 2" xfId="25250"/>
    <cellStyle name="Normal 4 2 4 2 2 2 3 2 2" xfId="25251"/>
    <cellStyle name="Normal 4 2 4 2 2 2 3 2 2 2" xfId="25252"/>
    <cellStyle name="Normal 4 2 4 2 2 2 3 2 3" xfId="25253"/>
    <cellStyle name="Normal 4 2 4 2 2 2 3 3" xfId="25254"/>
    <cellStyle name="Normal 4 2 4 2 2 2 3 3 2" xfId="25255"/>
    <cellStyle name="Normal 4 2 4 2 2 2 3 4" xfId="25256"/>
    <cellStyle name="Normal 4 2 4 2 2 2 4" xfId="25257"/>
    <cellStyle name="Normal 4 2 4 2 2 2 4 2" xfId="25258"/>
    <cellStyle name="Normal 4 2 4 2 2 2 4 2 2" xfId="25259"/>
    <cellStyle name="Normal 4 2 4 2 2 2 4 3" xfId="25260"/>
    <cellStyle name="Normal 4 2 4 2 2 2 5" xfId="25261"/>
    <cellStyle name="Normal 4 2 4 2 2 2 5 2" xfId="25262"/>
    <cellStyle name="Normal 4 2 4 2 2 2 6" xfId="25263"/>
    <cellStyle name="Normal 4 2 4 2 2 3" xfId="25264"/>
    <cellStyle name="Normal 4 2 4 2 2 3 2" xfId="25265"/>
    <cellStyle name="Normal 4 2 4 2 2 3 2 2" xfId="25266"/>
    <cellStyle name="Normal 4 2 4 2 2 3 2 2 2" xfId="25267"/>
    <cellStyle name="Normal 4 2 4 2 2 3 2 3" xfId="25268"/>
    <cellStyle name="Normal 4 2 4 2 2 3 3" xfId="25269"/>
    <cellStyle name="Normal 4 2 4 2 2 3 3 2" xfId="25270"/>
    <cellStyle name="Normal 4 2 4 2 2 3 4" xfId="25271"/>
    <cellStyle name="Normal 4 2 4 2 2 4" xfId="25272"/>
    <cellStyle name="Normal 4 2 4 2 2 4 2" xfId="25273"/>
    <cellStyle name="Normal 4 2 4 2 2 4 2 2" xfId="25274"/>
    <cellStyle name="Normal 4 2 4 2 2 4 2 2 2" xfId="25275"/>
    <cellStyle name="Normal 4 2 4 2 2 4 2 3" xfId="25276"/>
    <cellStyle name="Normal 4 2 4 2 2 4 3" xfId="25277"/>
    <cellStyle name="Normal 4 2 4 2 2 4 3 2" xfId="25278"/>
    <cellStyle name="Normal 4 2 4 2 2 4 4" xfId="25279"/>
    <cellStyle name="Normal 4 2 4 2 2 5" xfId="25280"/>
    <cellStyle name="Normal 4 2 4 2 2 5 2" xfId="25281"/>
    <cellStyle name="Normal 4 2 4 2 2 5 2 2" xfId="25282"/>
    <cellStyle name="Normal 4 2 4 2 2 5 3" xfId="25283"/>
    <cellStyle name="Normal 4 2 4 2 2 6" xfId="25284"/>
    <cellStyle name="Normal 4 2 4 2 2 6 2" xfId="25285"/>
    <cellStyle name="Normal 4 2 4 2 2 7" xfId="25286"/>
    <cellStyle name="Normal 4 2 4 2 3" xfId="25287"/>
    <cellStyle name="Normal 4 2 4 2 3 2" xfId="25288"/>
    <cellStyle name="Normal 4 2 4 2 3 2 2" xfId="25289"/>
    <cellStyle name="Normal 4 2 4 2 3 2 2 2" xfId="25290"/>
    <cellStyle name="Normal 4 2 4 2 3 2 2 2 2" xfId="25291"/>
    <cellStyle name="Normal 4 2 4 2 3 2 2 3" xfId="25292"/>
    <cellStyle name="Normal 4 2 4 2 3 2 3" xfId="25293"/>
    <cellStyle name="Normal 4 2 4 2 3 2 3 2" xfId="25294"/>
    <cellStyle name="Normal 4 2 4 2 3 2 4" xfId="25295"/>
    <cellStyle name="Normal 4 2 4 2 3 3" xfId="25296"/>
    <cellStyle name="Normal 4 2 4 2 3 3 2" xfId="25297"/>
    <cellStyle name="Normal 4 2 4 2 3 3 2 2" xfId="25298"/>
    <cellStyle name="Normal 4 2 4 2 3 3 2 2 2" xfId="25299"/>
    <cellStyle name="Normal 4 2 4 2 3 3 2 3" xfId="25300"/>
    <cellStyle name="Normal 4 2 4 2 3 3 3" xfId="25301"/>
    <cellStyle name="Normal 4 2 4 2 3 3 3 2" xfId="25302"/>
    <cellStyle name="Normal 4 2 4 2 3 3 4" xfId="25303"/>
    <cellStyle name="Normal 4 2 4 2 3 4" xfId="25304"/>
    <cellStyle name="Normal 4 2 4 2 3 4 2" xfId="25305"/>
    <cellStyle name="Normal 4 2 4 2 3 4 2 2" xfId="25306"/>
    <cellStyle name="Normal 4 2 4 2 3 4 3" xfId="25307"/>
    <cellStyle name="Normal 4 2 4 2 3 5" xfId="25308"/>
    <cellStyle name="Normal 4 2 4 2 3 5 2" xfId="25309"/>
    <cellStyle name="Normal 4 2 4 2 3 6" xfId="25310"/>
    <cellStyle name="Normal 4 2 4 2 4" xfId="25311"/>
    <cellStyle name="Normal 4 2 4 2 4 2" xfId="25312"/>
    <cellStyle name="Normal 4 2 4 2 4 2 2" xfId="25313"/>
    <cellStyle name="Normal 4 2 4 2 4 2 2 2" xfId="25314"/>
    <cellStyle name="Normal 4 2 4 2 4 2 3" xfId="25315"/>
    <cellStyle name="Normal 4 2 4 2 4 3" xfId="25316"/>
    <cellStyle name="Normal 4 2 4 2 4 3 2" xfId="25317"/>
    <cellStyle name="Normal 4 2 4 2 4 4" xfId="25318"/>
    <cellStyle name="Normal 4 2 4 2 5" xfId="25319"/>
    <cellStyle name="Normal 4 2 4 2 5 2" xfId="25320"/>
    <cellStyle name="Normal 4 2 4 2 5 2 2" xfId="25321"/>
    <cellStyle name="Normal 4 2 4 2 5 2 2 2" xfId="25322"/>
    <cellStyle name="Normal 4 2 4 2 5 2 3" xfId="25323"/>
    <cellStyle name="Normal 4 2 4 2 5 3" xfId="25324"/>
    <cellStyle name="Normal 4 2 4 2 5 3 2" xfId="25325"/>
    <cellStyle name="Normal 4 2 4 2 5 4" xfId="25326"/>
    <cellStyle name="Normal 4 2 4 2 6" xfId="25327"/>
    <cellStyle name="Normal 4 2 4 2 6 2" xfId="25328"/>
    <cellStyle name="Normal 4 2 4 2 6 2 2" xfId="25329"/>
    <cellStyle name="Normal 4 2 4 2 6 2 2 2" xfId="25330"/>
    <cellStyle name="Normal 4 2 4 2 6 2 3" xfId="25331"/>
    <cellStyle name="Normal 4 2 4 2 6 3" xfId="25332"/>
    <cellStyle name="Normal 4 2 4 2 6 3 2" xfId="25333"/>
    <cellStyle name="Normal 4 2 4 2 6 4" xfId="25334"/>
    <cellStyle name="Normal 4 2 4 2 7" xfId="25335"/>
    <cellStyle name="Normal 4 2 4 2 7 2" xfId="25336"/>
    <cellStyle name="Normal 4 2 4 2 7 2 2" xfId="25337"/>
    <cellStyle name="Normal 4 2 4 2 7 3" xfId="25338"/>
    <cellStyle name="Normal 4 2 4 2 8" xfId="25339"/>
    <cellStyle name="Normal 4 2 4 2 8 2" xfId="25340"/>
    <cellStyle name="Normal 4 2 4 2 9" xfId="25341"/>
    <cellStyle name="Normal 4 2 4 3" xfId="25342"/>
    <cellStyle name="Normal 4 2 4 3 2" xfId="25343"/>
    <cellStyle name="Normal 4 2 4 3 2 2" xfId="25344"/>
    <cellStyle name="Normal 4 2 4 3 2 2 2" xfId="25345"/>
    <cellStyle name="Normal 4 2 4 3 2 2 2 2" xfId="25346"/>
    <cellStyle name="Normal 4 2 4 3 2 2 2 2 2" xfId="25347"/>
    <cellStyle name="Normal 4 2 4 3 2 2 2 3" xfId="25348"/>
    <cellStyle name="Normal 4 2 4 3 2 2 3" xfId="25349"/>
    <cellStyle name="Normal 4 2 4 3 2 2 3 2" xfId="25350"/>
    <cellStyle name="Normal 4 2 4 3 2 2 4" xfId="25351"/>
    <cellStyle name="Normal 4 2 4 3 2 3" xfId="25352"/>
    <cellStyle name="Normal 4 2 4 3 2 3 2" xfId="25353"/>
    <cellStyle name="Normal 4 2 4 3 2 3 2 2" xfId="25354"/>
    <cellStyle name="Normal 4 2 4 3 2 3 2 2 2" xfId="25355"/>
    <cellStyle name="Normal 4 2 4 3 2 3 2 3" xfId="25356"/>
    <cellStyle name="Normal 4 2 4 3 2 3 3" xfId="25357"/>
    <cellStyle name="Normal 4 2 4 3 2 3 3 2" xfId="25358"/>
    <cellStyle name="Normal 4 2 4 3 2 3 4" xfId="25359"/>
    <cellStyle name="Normal 4 2 4 3 2 4" xfId="25360"/>
    <cellStyle name="Normal 4 2 4 3 2 4 2" xfId="25361"/>
    <cellStyle name="Normal 4 2 4 3 2 4 2 2" xfId="25362"/>
    <cellStyle name="Normal 4 2 4 3 2 4 3" xfId="25363"/>
    <cellStyle name="Normal 4 2 4 3 2 5" xfId="25364"/>
    <cellStyle name="Normal 4 2 4 3 2 5 2" xfId="25365"/>
    <cellStyle name="Normal 4 2 4 3 2 6" xfId="25366"/>
    <cellStyle name="Normal 4 2 4 3 3" xfId="25367"/>
    <cellStyle name="Normal 4 2 4 3 3 2" xfId="25368"/>
    <cellStyle name="Normal 4 2 4 3 3 2 2" xfId="25369"/>
    <cellStyle name="Normal 4 2 4 3 3 2 2 2" xfId="25370"/>
    <cellStyle name="Normal 4 2 4 3 3 2 3" xfId="25371"/>
    <cellStyle name="Normal 4 2 4 3 3 3" xfId="25372"/>
    <cellStyle name="Normal 4 2 4 3 3 3 2" xfId="25373"/>
    <cellStyle name="Normal 4 2 4 3 3 4" xfId="25374"/>
    <cellStyle name="Normal 4 2 4 3 4" xfId="25375"/>
    <cellStyle name="Normal 4 2 4 3 4 2" xfId="25376"/>
    <cellStyle name="Normal 4 2 4 3 4 2 2" xfId="25377"/>
    <cellStyle name="Normal 4 2 4 3 4 2 2 2" xfId="25378"/>
    <cellStyle name="Normal 4 2 4 3 4 2 3" xfId="25379"/>
    <cellStyle name="Normal 4 2 4 3 4 3" xfId="25380"/>
    <cellStyle name="Normal 4 2 4 3 4 3 2" xfId="25381"/>
    <cellStyle name="Normal 4 2 4 3 4 4" xfId="25382"/>
    <cellStyle name="Normal 4 2 4 3 5" xfId="25383"/>
    <cellStyle name="Normal 4 2 4 3 5 2" xfId="25384"/>
    <cellStyle name="Normal 4 2 4 3 5 2 2" xfId="25385"/>
    <cellStyle name="Normal 4 2 4 3 5 3" xfId="25386"/>
    <cellStyle name="Normal 4 2 4 3 6" xfId="25387"/>
    <cellStyle name="Normal 4 2 4 3 6 2" xfId="25388"/>
    <cellStyle name="Normal 4 2 4 3 7" xfId="25389"/>
    <cellStyle name="Normal 4 2 4 4" xfId="25390"/>
    <cellStyle name="Normal 4 2 4 4 2" xfId="25391"/>
    <cellStyle name="Normal 4 2 4 4 2 2" xfId="25392"/>
    <cellStyle name="Normal 4 2 4 4 2 2 2" xfId="25393"/>
    <cellStyle name="Normal 4 2 4 4 2 2 2 2" xfId="25394"/>
    <cellStyle name="Normal 4 2 4 4 2 2 3" xfId="25395"/>
    <cellStyle name="Normal 4 2 4 4 2 3" xfId="25396"/>
    <cellStyle name="Normal 4 2 4 4 2 3 2" xfId="25397"/>
    <cellStyle name="Normal 4 2 4 4 2 4" xfId="25398"/>
    <cellStyle name="Normal 4 2 4 4 3" xfId="25399"/>
    <cellStyle name="Normal 4 2 4 4 3 2" xfId="25400"/>
    <cellStyle name="Normal 4 2 4 4 3 2 2" xfId="25401"/>
    <cellStyle name="Normal 4 2 4 4 3 2 2 2" xfId="25402"/>
    <cellStyle name="Normal 4 2 4 4 3 2 3" xfId="25403"/>
    <cellStyle name="Normal 4 2 4 4 3 3" xfId="25404"/>
    <cellStyle name="Normal 4 2 4 4 3 3 2" xfId="25405"/>
    <cellStyle name="Normal 4 2 4 4 3 4" xfId="25406"/>
    <cellStyle name="Normal 4 2 4 4 4" xfId="25407"/>
    <cellStyle name="Normal 4 2 4 4 4 2" xfId="25408"/>
    <cellStyle name="Normal 4 2 4 4 4 2 2" xfId="25409"/>
    <cellStyle name="Normal 4 2 4 4 4 3" xfId="25410"/>
    <cellStyle name="Normal 4 2 4 4 5" xfId="25411"/>
    <cellStyle name="Normal 4 2 4 4 5 2" xfId="25412"/>
    <cellStyle name="Normal 4 2 4 4 6" xfId="25413"/>
    <cellStyle name="Normal 4 2 4 5" xfId="25414"/>
    <cellStyle name="Normal 4 2 4 5 2" xfId="25415"/>
    <cellStyle name="Normal 4 2 4 5 2 2" xfId="25416"/>
    <cellStyle name="Normal 4 2 4 5 2 2 2" xfId="25417"/>
    <cellStyle name="Normal 4 2 4 5 2 3" xfId="25418"/>
    <cellStyle name="Normal 4 2 4 5 3" xfId="25419"/>
    <cellStyle name="Normal 4 2 4 5 3 2" xfId="25420"/>
    <cellStyle name="Normal 4 2 4 5 4" xfId="25421"/>
    <cellStyle name="Normal 4 2 4 6" xfId="25422"/>
    <cellStyle name="Normal 4 2 4 6 2" xfId="25423"/>
    <cellStyle name="Normal 4 2 4 6 2 2" xfId="25424"/>
    <cellStyle name="Normal 4 2 4 6 2 2 2" xfId="25425"/>
    <cellStyle name="Normal 4 2 4 6 2 3" xfId="25426"/>
    <cellStyle name="Normal 4 2 4 6 3" xfId="25427"/>
    <cellStyle name="Normal 4 2 4 6 3 2" xfId="25428"/>
    <cellStyle name="Normal 4 2 4 6 4" xfId="25429"/>
    <cellStyle name="Normal 4 2 4 7" xfId="25430"/>
    <cellStyle name="Normal 4 2 4 7 2" xfId="25431"/>
    <cellStyle name="Normal 4 2 4 7 2 2" xfId="25432"/>
    <cellStyle name="Normal 4 2 4 7 2 2 2" xfId="25433"/>
    <cellStyle name="Normal 4 2 4 7 2 3" xfId="25434"/>
    <cellStyle name="Normal 4 2 4 7 3" xfId="25435"/>
    <cellStyle name="Normal 4 2 4 7 3 2" xfId="25436"/>
    <cellStyle name="Normal 4 2 4 7 4" xfId="25437"/>
    <cellStyle name="Normal 4 2 4 8" xfId="25438"/>
    <cellStyle name="Normal 4 2 4 8 2" xfId="25439"/>
    <cellStyle name="Normal 4 2 4 8 2 2" xfId="25440"/>
    <cellStyle name="Normal 4 2 4 8 3" xfId="25441"/>
    <cellStyle name="Normal 4 2 4 9" xfId="25442"/>
    <cellStyle name="Normal 4 2 4 9 2" xfId="25443"/>
    <cellStyle name="Normal 4 2 5" xfId="25444"/>
    <cellStyle name="Normal 4 2 5 2" xfId="25445"/>
    <cellStyle name="Normal 4 2 5 2 2" xfId="25446"/>
    <cellStyle name="Normal 4 2 5 2 2 2" xfId="25447"/>
    <cellStyle name="Normal 4 2 5 2 2 2 2" xfId="25448"/>
    <cellStyle name="Normal 4 2 5 2 2 2 2 2" xfId="25449"/>
    <cellStyle name="Normal 4 2 5 2 2 2 2 2 2" xfId="25450"/>
    <cellStyle name="Normal 4 2 5 2 2 2 2 3" xfId="25451"/>
    <cellStyle name="Normal 4 2 5 2 2 2 3" xfId="25452"/>
    <cellStyle name="Normal 4 2 5 2 2 2 3 2" xfId="25453"/>
    <cellStyle name="Normal 4 2 5 2 2 2 4" xfId="25454"/>
    <cellStyle name="Normal 4 2 5 2 2 3" xfId="25455"/>
    <cellStyle name="Normal 4 2 5 2 2 3 2" xfId="25456"/>
    <cellStyle name="Normal 4 2 5 2 2 3 2 2" xfId="25457"/>
    <cellStyle name="Normal 4 2 5 2 2 3 2 2 2" xfId="25458"/>
    <cellStyle name="Normal 4 2 5 2 2 3 2 3" xfId="25459"/>
    <cellStyle name="Normal 4 2 5 2 2 3 3" xfId="25460"/>
    <cellStyle name="Normal 4 2 5 2 2 3 3 2" xfId="25461"/>
    <cellStyle name="Normal 4 2 5 2 2 3 4" xfId="25462"/>
    <cellStyle name="Normal 4 2 5 2 2 4" xfId="25463"/>
    <cellStyle name="Normal 4 2 5 2 2 4 2" xfId="25464"/>
    <cellStyle name="Normal 4 2 5 2 2 4 2 2" xfId="25465"/>
    <cellStyle name="Normal 4 2 5 2 2 4 3" xfId="25466"/>
    <cellStyle name="Normal 4 2 5 2 2 5" xfId="25467"/>
    <cellStyle name="Normal 4 2 5 2 2 5 2" xfId="25468"/>
    <cellStyle name="Normal 4 2 5 2 2 6" xfId="25469"/>
    <cellStyle name="Normal 4 2 5 2 3" xfId="25470"/>
    <cellStyle name="Normal 4 2 5 2 3 2" xfId="25471"/>
    <cellStyle name="Normal 4 2 5 2 3 2 2" xfId="25472"/>
    <cellStyle name="Normal 4 2 5 2 3 2 2 2" xfId="25473"/>
    <cellStyle name="Normal 4 2 5 2 3 2 3" xfId="25474"/>
    <cellStyle name="Normal 4 2 5 2 3 3" xfId="25475"/>
    <cellStyle name="Normal 4 2 5 2 3 3 2" xfId="25476"/>
    <cellStyle name="Normal 4 2 5 2 3 4" xfId="25477"/>
    <cellStyle name="Normal 4 2 5 2 4" xfId="25478"/>
    <cellStyle name="Normal 4 2 5 2 4 2" xfId="25479"/>
    <cellStyle name="Normal 4 2 5 2 4 2 2" xfId="25480"/>
    <cellStyle name="Normal 4 2 5 2 4 2 2 2" xfId="25481"/>
    <cellStyle name="Normal 4 2 5 2 4 2 3" xfId="25482"/>
    <cellStyle name="Normal 4 2 5 2 4 3" xfId="25483"/>
    <cellStyle name="Normal 4 2 5 2 4 3 2" xfId="25484"/>
    <cellStyle name="Normal 4 2 5 2 4 4" xfId="25485"/>
    <cellStyle name="Normal 4 2 5 2 5" xfId="25486"/>
    <cellStyle name="Normal 4 2 5 2 5 2" xfId="25487"/>
    <cellStyle name="Normal 4 2 5 2 5 2 2" xfId="25488"/>
    <cellStyle name="Normal 4 2 5 2 5 3" xfId="25489"/>
    <cellStyle name="Normal 4 2 5 2 6" xfId="25490"/>
    <cellStyle name="Normal 4 2 5 2 6 2" xfId="25491"/>
    <cellStyle name="Normal 4 2 5 2 7" xfId="25492"/>
    <cellStyle name="Normal 4 2 5 3" xfId="25493"/>
    <cellStyle name="Normal 4 2 5 3 2" xfId="25494"/>
    <cellStyle name="Normal 4 2 5 3 2 2" xfId="25495"/>
    <cellStyle name="Normal 4 2 5 3 2 2 2" xfId="25496"/>
    <cellStyle name="Normal 4 2 5 3 2 2 2 2" xfId="25497"/>
    <cellStyle name="Normal 4 2 5 3 2 2 3" xfId="25498"/>
    <cellStyle name="Normal 4 2 5 3 2 3" xfId="25499"/>
    <cellStyle name="Normal 4 2 5 3 2 3 2" xfId="25500"/>
    <cellStyle name="Normal 4 2 5 3 2 4" xfId="25501"/>
    <cellStyle name="Normal 4 2 5 3 3" xfId="25502"/>
    <cellStyle name="Normal 4 2 5 3 3 2" xfId="25503"/>
    <cellStyle name="Normal 4 2 5 3 3 2 2" xfId="25504"/>
    <cellStyle name="Normal 4 2 5 3 3 2 2 2" xfId="25505"/>
    <cellStyle name="Normal 4 2 5 3 3 2 3" xfId="25506"/>
    <cellStyle name="Normal 4 2 5 3 3 3" xfId="25507"/>
    <cellStyle name="Normal 4 2 5 3 3 3 2" xfId="25508"/>
    <cellStyle name="Normal 4 2 5 3 3 4" xfId="25509"/>
    <cellStyle name="Normal 4 2 5 3 4" xfId="25510"/>
    <cellStyle name="Normal 4 2 5 3 4 2" xfId="25511"/>
    <cellStyle name="Normal 4 2 5 3 4 2 2" xfId="25512"/>
    <cellStyle name="Normal 4 2 5 3 4 3" xfId="25513"/>
    <cellStyle name="Normal 4 2 5 3 5" xfId="25514"/>
    <cellStyle name="Normal 4 2 5 3 5 2" xfId="25515"/>
    <cellStyle name="Normal 4 2 5 3 6" xfId="25516"/>
    <cellStyle name="Normal 4 2 5 4" xfId="25517"/>
    <cellStyle name="Normal 4 2 5 4 2" xfId="25518"/>
    <cellStyle name="Normal 4 2 5 4 2 2" xfId="25519"/>
    <cellStyle name="Normal 4 2 5 4 2 2 2" xfId="25520"/>
    <cellStyle name="Normal 4 2 5 4 2 3" xfId="25521"/>
    <cellStyle name="Normal 4 2 5 4 3" xfId="25522"/>
    <cellStyle name="Normal 4 2 5 4 3 2" xfId="25523"/>
    <cellStyle name="Normal 4 2 5 4 4" xfId="25524"/>
    <cellStyle name="Normal 4 2 5 5" xfId="25525"/>
    <cellStyle name="Normal 4 2 5 5 2" xfId="25526"/>
    <cellStyle name="Normal 4 2 5 5 2 2" xfId="25527"/>
    <cellStyle name="Normal 4 2 5 5 2 2 2" xfId="25528"/>
    <cellStyle name="Normal 4 2 5 5 2 3" xfId="25529"/>
    <cellStyle name="Normal 4 2 5 5 3" xfId="25530"/>
    <cellStyle name="Normal 4 2 5 5 3 2" xfId="25531"/>
    <cellStyle name="Normal 4 2 5 5 4" xfId="25532"/>
    <cellStyle name="Normal 4 2 5 6" xfId="25533"/>
    <cellStyle name="Normal 4 2 5 6 2" xfId="25534"/>
    <cellStyle name="Normal 4 2 5 6 2 2" xfId="25535"/>
    <cellStyle name="Normal 4 2 5 6 2 2 2" xfId="25536"/>
    <cellStyle name="Normal 4 2 5 6 2 3" xfId="25537"/>
    <cellStyle name="Normal 4 2 5 6 3" xfId="25538"/>
    <cellStyle name="Normal 4 2 5 6 3 2" xfId="25539"/>
    <cellStyle name="Normal 4 2 5 6 4" xfId="25540"/>
    <cellStyle name="Normal 4 2 5 7" xfId="25541"/>
    <cellStyle name="Normal 4 2 5 7 2" xfId="25542"/>
    <cellStyle name="Normal 4 2 5 7 2 2" xfId="25543"/>
    <cellStyle name="Normal 4 2 5 7 3" xfId="25544"/>
    <cellStyle name="Normal 4 2 5 8" xfId="25545"/>
    <cellStyle name="Normal 4 2 5 8 2" xfId="25546"/>
    <cellStyle name="Normal 4 2 5 9" xfId="25547"/>
    <cellStyle name="Normal 4 2 6" xfId="25548"/>
    <cellStyle name="Normal 4 2 6 2" xfId="25549"/>
    <cellStyle name="Normal 4 2 6 2 2" xfId="25550"/>
    <cellStyle name="Normal 4 2 6 2 2 2" xfId="25551"/>
    <cellStyle name="Normal 4 2 6 2 2 2 2" xfId="25552"/>
    <cellStyle name="Normal 4 2 6 2 2 2 2 2" xfId="25553"/>
    <cellStyle name="Normal 4 2 6 2 2 2 3" xfId="25554"/>
    <cellStyle name="Normal 4 2 6 2 2 3" xfId="25555"/>
    <cellStyle name="Normal 4 2 6 2 2 3 2" xfId="25556"/>
    <cellStyle name="Normal 4 2 6 2 2 4" xfId="25557"/>
    <cellStyle name="Normal 4 2 6 2 3" xfId="25558"/>
    <cellStyle name="Normal 4 2 6 2 3 2" xfId="25559"/>
    <cellStyle name="Normal 4 2 6 2 3 2 2" xfId="25560"/>
    <cellStyle name="Normal 4 2 6 2 3 2 2 2" xfId="25561"/>
    <cellStyle name="Normal 4 2 6 2 3 2 3" xfId="25562"/>
    <cellStyle name="Normal 4 2 6 2 3 3" xfId="25563"/>
    <cellStyle name="Normal 4 2 6 2 3 3 2" xfId="25564"/>
    <cellStyle name="Normal 4 2 6 2 3 4" xfId="25565"/>
    <cellStyle name="Normal 4 2 6 2 4" xfId="25566"/>
    <cellStyle name="Normal 4 2 6 2 4 2" xfId="25567"/>
    <cellStyle name="Normal 4 2 6 2 4 2 2" xfId="25568"/>
    <cellStyle name="Normal 4 2 6 2 4 3" xfId="25569"/>
    <cellStyle name="Normal 4 2 6 2 5" xfId="25570"/>
    <cellStyle name="Normal 4 2 6 2 5 2" xfId="25571"/>
    <cellStyle name="Normal 4 2 6 2 6" xfId="25572"/>
    <cellStyle name="Normal 4 2 6 3" xfId="25573"/>
    <cellStyle name="Normal 4 2 6 3 2" xfId="25574"/>
    <cellStyle name="Normal 4 2 6 3 2 2" xfId="25575"/>
    <cellStyle name="Normal 4 2 6 3 2 2 2" xfId="25576"/>
    <cellStyle name="Normal 4 2 6 3 2 3" xfId="25577"/>
    <cellStyle name="Normal 4 2 6 3 3" xfId="25578"/>
    <cellStyle name="Normal 4 2 6 3 3 2" xfId="25579"/>
    <cellStyle name="Normal 4 2 6 3 4" xfId="25580"/>
    <cellStyle name="Normal 4 2 6 4" xfId="25581"/>
    <cellStyle name="Normal 4 2 6 4 2" xfId="25582"/>
    <cellStyle name="Normal 4 2 6 4 2 2" xfId="25583"/>
    <cellStyle name="Normal 4 2 6 4 2 2 2" xfId="25584"/>
    <cellStyle name="Normal 4 2 6 4 2 3" xfId="25585"/>
    <cellStyle name="Normal 4 2 6 4 3" xfId="25586"/>
    <cellStyle name="Normal 4 2 6 4 3 2" xfId="25587"/>
    <cellStyle name="Normal 4 2 6 4 4" xfId="25588"/>
    <cellStyle name="Normal 4 2 6 5" xfId="25589"/>
    <cellStyle name="Normal 4 2 6 5 2" xfId="25590"/>
    <cellStyle name="Normal 4 2 6 5 2 2" xfId="25591"/>
    <cellStyle name="Normal 4 2 6 5 3" xfId="25592"/>
    <cellStyle name="Normal 4 2 6 6" xfId="25593"/>
    <cellStyle name="Normal 4 2 6 6 2" xfId="25594"/>
    <cellStyle name="Normal 4 2 6 7" xfId="25595"/>
    <cellStyle name="Normal 4 2 7" xfId="25596"/>
    <cellStyle name="Normal 4 2 7 2" xfId="25597"/>
    <cellStyle name="Normal 4 2 7 2 2" xfId="25598"/>
    <cellStyle name="Normal 4 2 7 2 2 2" xfId="25599"/>
    <cellStyle name="Normal 4 2 7 2 2 2 2" xfId="25600"/>
    <cellStyle name="Normal 4 2 7 2 2 3" xfId="25601"/>
    <cellStyle name="Normal 4 2 7 2 3" xfId="25602"/>
    <cellStyle name="Normal 4 2 7 2 3 2" xfId="25603"/>
    <cellStyle name="Normal 4 2 7 2 4" xfId="25604"/>
    <cellStyle name="Normal 4 2 7 3" xfId="25605"/>
    <cellStyle name="Normal 4 2 7 3 2" xfId="25606"/>
    <cellStyle name="Normal 4 2 7 3 2 2" xfId="25607"/>
    <cellStyle name="Normal 4 2 7 3 2 2 2" xfId="25608"/>
    <cellStyle name="Normal 4 2 7 3 2 3" xfId="25609"/>
    <cellStyle name="Normal 4 2 7 3 3" xfId="25610"/>
    <cellStyle name="Normal 4 2 7 3 3 2" xfId="25611"/>
    <cellStyle name="Normal 4 2 7 3 4" xfId="25612"/>
    <cellStyle name="Normal 4 2 7 4" xfId="25613"/>
    <cellStyle name="Normal 4 2 7 4 2" xfId="25614"/>
    <cellStyle name="Normal 4 2 7 4 2 2" xfId="25615"/>
    <cellStyle name="Normal 4 2 7 4 3" xfId="25616"/>
    <cellStyle name="Normal 4 2 7 5" xfId="25617"/>
    <cellStyle name="Normal 4 2 7 5 2" xfId="25618"/>
    <cellStyle name="Normal 4 2 7 6" xfId="25619"/>
    <cellStyle name="Normal 4 2 8" xfId="25620"/>
    <cellStyle name="Normal 4 2 8 2" xfId="25621"/>
    <cellStyle name="Normal 4 2 8 2 2" xfId="25622"/>
    <cellStyle name="Normal 4 2 8 2 2 2" xfId="25623"/>
    <cellStyle name="Normal 4 2 8 2 3" xfId="25624"/>
    <cellStyle name="Normal 4 2 8 3" xfId="25625"/>
    <cellStyle name="Normal 4 2 8 3 2" xfId="25626"/>
    <cellStyle name="Normal 4 2 8 4" xfId="25627"/>
    <cellStyle name="Normal 4 2 9" xfId="25628"/>
    <cellStyle name="Normal 4 2 9 2" xfId="25629"/>
    <cellStyle name="Normal 4 2 9 2 2" xfId="25630"/>
    <cellStyle name="Normal 4 2 9 2 2 2" xfId="25631"/>
    <cellStyle name="Normal 4 2 9 2 3" xfId="25632"/>
    <cellStyle name="Normal 4 2 9 3" xfId="25633"/>
    <cellStyle name="Normal 4 2 9 3 2" xfId="25634"/>
    <cellStyle name="Normal 4 2 9 4" xfId="25635"/>
    <cellStyle name="Normal 4 3" xfId="25636"/>
    <cellStyle name="Normal 4 3 10" xfId="25637"/>
    <cellStyle name="Normal 4 3 10 2" xfId="25638"/>
    <cellStyle name="Normal 4 3 11" xfId="25639"/>
    <cellStyle name="Normal 4 3 2" xfId="25640"/>
    <cellStyle name="Normal 4 3 2 10" xfId="25641"/>
    <cellStyle name="Normal 4 3 2 2" xfId="25642"/>
    <cellStyle name="Normal 4 3 2 2 2" xfId="25643"/>
    <cellStyle name="Normal 4 3 2 2 2 2" xfId="25644"/>
    <cellStyle name="Normal 4 3 2 2 2 2 2" xfId="25645"/>
    <cellStyle name="Normal 4 3 2 2 2 2 2 2" xfId="25646"/>
    <cellStyle name="Normal 4 3 2 2 2 2 2 2 2" xfId="25647"/>
    <cellStyle name="Normal 4 3 2 2 2 2 2 2 2 2" xfId="25648"/>
    <cellStyle name="Normal 4 3 2 2 2 2 2 2 3" xfId="25649"/>
    <cellStyle name="Normal 4 3 2 2 2 2 2 3" xfId="25650"/>
    <cellStyle name="Normal 4 3 2 2 2 2 2 3 2" xfId="25651"/>
    <cellStyle name="Normal 4 3 2 2 2 2 2 4" xfId="25652"/>
    <cellStyle name="Normal 4 3 2 2 2 2 3" xfId="25653"/>
    <cellStyle name="Normal 4 3 2 2 2 2 3 2" xfId="25654"/>
    <cellStyle name="Normal 4 3 2 2 2 2 3 2 2" xfId="25655"/>
    <cellStyle name="Normal 4 3 2 2 2 2 3 2 2 2" xfId="25656"/>
    <cellStyle name="Normal 4 3 2 2 2 2 3 2 3" xfId="25657"/>
    <cellStyle name="Normal 4 3 2 2 2 2 3 3" xfId="25658"/>
    <cellStyle name="Normal 4 3 2 2 2 2 3 3 2" xfId="25659"/>
    <cellStyle name="Normal 4 3 2 2 2 2 3 4" xfId="25660"/>
    <cellStyle name="Normal 4 3 2 2 2 2 4" xfId="25661"/>
    <cellStyle name="Normal 4 3 2 2 2 2 4 2" xfId="25662"/>
    <cellStyle name="Normal 4 3 2 2 2 2 4 2 2" xfId="25663"/>
    <cellStyle name="Normal 4 3 2 2 2 2 4 3" xfId="25664"/>
    <cellStyle name="Normal 4 3 2 2 2 2 5" xfId="25665"/>
    <cellStyle name="Normal 4 3 2 2 2 2 5 2" xfId="25666"/>
    <cellStyle name="Normal 4 3 2 2 2 2 6" xfId="25667"/>
    <cellStyle name="Normal 4 3 2 2 2 3" xfId="25668"/>
    <cellStyle name="Normal 4 3 2 2 2 3 2" xfId="25669"/>
    <cellStyle name="Normal 4 3 2 2 2 3 2 2" xfId="25670"/>
    <cellStyle name="Normal 4 3 2 2 2 3 2 2 2" xfId="25671"/>
    <cellStyle name="Normal 4 3 2 2 2 3 2 3" xfId="25672"/>
    <cellStyle name="Normal 4 3 2 2 2 3 3" xfId="25673"/>
    <cellStyle name="Normal 4 3 2 2 2 3 3 2" xfId="25674"/>
    <cellStyle name="Normal 4 3 2 2 2 3 4" xfId="25675"/>
    <cellStyle name="Normal 4 3 2 2 2 4" xfId="25676"/>
    <cellStyle name="Normal 4 3 2 2 2 4 2" xfId="25677"/>
    <cellStyle name="Normal 4 3 2 2 2 4 2 2" xfId="25678"/>
    <cellStyle name="Normal 4 3 2 2 2 4 2 2 2" xfId="25679"/>
    <cellStyle name="Normal 4 3 2 2 2 4 2 3" xfId="25680"/>
    <cellStyle name="Normal 4 3 2 2 2 4 3" xfId="25681"/>
    <cellStyle name="Normal 4 3 2 2 2 4 3 2" xfId="25682"/>
    <cellStyle name="Normal 4 3 2 2 2 4 4" xfId="25683"/>
    <cellStyle name="Normal 4 3 2 2 2 5" xfId="25684"/>
    <cellStyle name="Normal 4 3 2 2 2 5 2" xfId="25685"/>
    <cellStyle name="Normal 4 3 2 2 2 5 2 2" xfId="25686"/>
    <cellStyle name="Normal 4 3 2 2 2 5 3" xfId="25687"/>
    <cellStyle name="Normal 4 3 2 2 2 6" xfId="25688"/>
    <cellStyle name="Normal 4 3 2 2 2 6 2" xfId="25689"/>
    <cellStyle name="Normal 4 3 2 2 2 7" xfId="25690"/>
    <cellStyle name="Normal 4 3 2 2 3" xfId="25691"/>
    <cellStyle name="Normal 4 3 2 2 3 2" xfId="25692"/>
    <cellStyle name="Normal 4 3 2 2 3 2 2" xfId="25693"/>
    <cellStyle name="Normal 4 3 2 2 3 2 2 2" xfId="25694"/>
    <cellStyle name="Normal 4 3 2 2 3 2 2 2 2" xfId="25695"/>
    <cellStyle name="Normal 4 3 2 2 3 2 2 3" xfId="25696"/>
    <cellStyle name="Normal 4 3 2 2 3 2 3" xfId="25697"/>
    <cellStyle name="Normal 4 3 2 2 3 2 3 2" xfId="25698"/>
    <cellStyle name="Normal 4 3 2 2 3 2 4" xfId="25699"/>
    <cellStyle name="Normal 4 3 2 2 3 3" xfId="25700"/>
    <cellStyle name="Normal 4 3 2 2 3 3 2" xfId="25701"/>
    <cellStyle name="Normal 4 3 2 2 3 3 2 2" xfId="25702"/>
    <cellStyle name="Normal 4 3 2 2 3 3 2 2 2" xfId="25703"/>
    <cellStyle name="Normal 4 3 2 2 3 3 2 3" xfId="25704"/>
    <cellStyle name="Normal 4 3 2 2 3 3 3" xfId="25705"/>
    <cellStyle name="Normal 4 3 2 2 3 3 3 2" xfId="25706"/>
    <cellStyle name="Normal 4 3 2 2 3 3 4" xfId="25707"/>
    <cellStyle name="Normal 4 3 2 2 3 4" xfId="25708"/>
    <cellStyle name="Normal 4 3 2 2 3 4 2" xfId="25709"/>
    <cellStyle name="Normal 4 3 2 2 3 4 2 2" xfId="25710"/>
    <cellStyle name="Normal 4 3 2 2 3 4 3" xfId="25711"/>
    <cellStyle name="Normal 4 3 2 2 3 5" xfId="25712"/>
    <cellStyle name="Normal 4 3 2 2 3 5 2" xfId="25713"/>
    <cellStyle name="Normal 4 3 2 2 3 6" xfId="25714"/>
    <cellStyle name="Normal 4 3 2 2 4" xfId="25715"/>
    <cellStyle name="Normal 4 3 2 2 4 2" xfId="25716"/>
    <cellStyle name="Normal 4 3 2 2 4 2 2" xfId="25717"/>
    <cellStyle name="Normal 4 3 2 2 4 2 2 2" xfId="25718"/>
    <cellStyle name="Normal 4 3 2 2 4 2 3" xfId="25719"/>
    <cellStyle name="Normal 4 3 2 2 4 3" xfId="25720"/>
    <cellStyle name="Normal 4 3 2 2 4 3 2" xfId="25721"/>
    <cellStyle name="Normal 4 3 2 2 4 4" xfId="25722"/>
    <cellStyle name="Normal 4 3 2 2 5" xfId="25723"/>
    <cellStyle name="Normal 4 3 2 2 5 2" xfId="25724"/>
    <cellStyle name="Normal 4 3 2 2 5 2 2" xfId="25725"/>
    <cellStyle name="Normal 4 3 2 2 5 2 2 2" xfId="25726"/>
    <cellStyle name="Normal 4 3 2 2 5 2 3" xfId="25727"/>
    <cellStyle name="Normal 4 3 2 2 5 3" xfId="25728"/>
    <cellStyle name="Normal 4 3 2 2 5 3 2" xfId="25729"/>
    <cellStyle name="Normal 4 3 2 2 5 4" xfId="25730"/>
    <cellStyle name="Normal 4 3 2 2 6" xfId="25731"/>
    <cellStyle name="Normal 4 3 2 2 6 2" xfId="25732"/>
    <cellStyle name="Normal 4 3 2 2 6 2 2" xfId="25733"/>
    <cellStyle name="Normal 4 3 2 2 6 2 2 2" xfId="25734"/>
    <cellStyle name="Normal 4 3 2 2 6 2 3" xfId="25735"/>
    <cellStyle name="Normal 4 3 2 2 6 3" xfId="25736"/>
    <cellStyle name="Normal 4 3 2 2 6 3 2" xfId="25737"/>
    <cellStyle name="Normal 4 3 2 2 6 4" xfId="25738"/>
    <cellStyle name="Normal 4 3 2 2 7" xfId="25739"/>
    <cellStyle name="Normal 4 3 2 2 7 2" xfId="25740"/>
    <cellStyle name="Normal 4 3 2 2 7 2 2" xfId="25741"/>
    <cellStyle name="Normal 4 3 2 2 7 3" xfId="25742"/>
    <cellStyle name="Normal 4 3 2 2 8" xfId="25743"/>
    <cellStyle name="Normal 4 3 2 2 8 2" xfId="25744"/>
    <cellStyle name="Normal 4 3 2 2 9" xfId="25745"/>
    <cellStyle name="Normal 4 3 2 3" xfId="25746"/>
    <cellStyle name="Normal 4 3 2 3 2" xfId="25747"/>
    <cellStyle name="Normal 4 3 2 3 2 2" xfId="25748"/>
    <cellStyle name="Normal 4 3 2 3 2 2 2" xfId="25749"/>
    <cellStyle name="Normal 4 3 2 3 2 2 2 2" xfId="25750"/>
    <cellStyle name="Normal 4 3 2 3 2 2 2 2 2" xfId="25751"/>
    <cellStyle name="Normal 4 3 2 3 2 2 2 3" xfId="25752"/>
    <cellStyle name="Normal 4 3 2 3 2 2 3" xfId="25753"/>
    <cellStyle name="Normal 4 3 2 3 2 2 3 2" xfId="25754"/>
    <cellStyle name="Normal 4 3 2 3 2 2 4" xfId="25755"/>
    <cellStyle name="Normal 4 3 2 3 2 3" xfId="25756"/>
    <cellStyle name="Normal 4 3 2 3 2 3 2" xfId="25757"/>
    <cellStyle name="Normal 4 3 2 3 2 3 2 2" xfId="25758"/>
    <cellStyle name="Normal 4 3 2 3 2 3 2 2 2" xfId="25759"/>
    <cellStyle name="Normal 4 3 2 3 2 3 2 3" xfId="25760"/>
    <cellStyle name="Normal 4 3 2 3 2 3 3" xfId="25761"/>
    <cellStyle name="Normal 4 3 2 3 2 3 3 2" xfId="25762"/>
    <cellStyle name="Normal 4 3 2 3 2 3 4" xfId="25763"/>
    <cellStyle name="Normal 4 3 2 3 2 4" xfId="25764"/>
    <cellStyle name="Normal 4 3 2 3 2 4 2" xfId="25765"/>
    <cellStyle name="Normal 4 3 2 3 2 4 2 2" xfId="25766"/>
    <cellStyle name="Normal 4 3 2 3 2 4 3" xfId="25767"/>
    <cellStyle name="Normal 4 3 2 3 2 5" xfId="25768"/>
    <cellStyle name="Normal 4 3 2 3 2 5 2" xfId="25769"/>
    <cellStyle name="Normal 4 3 2 3 2 6" xfId="25770"/>
    <cellStyle name="Normal 4 3 2 3 3" xfId="25771"/>
    <cellStyle name="Normal 4 3 2 3 3 2" xfId="25772"/>
    <cellStyle name="Normal 4 3 2 3 3 2 2" xfId="25773"/>
    <cellStyle name="Normal 4 3 2 3 3 2 2 2" xfId="25774"/>
    <cellStyle name="Normal 4 3 2 3 3 2 3" xfId="25775"/>
    <cellStyle name="Normal 4 3 2 3 3 3" xfId="25776"/>
    <cellStyle name="Normal 4 3 2 3 3 3 2" xfId="25777"/>
    <cellStyle name="Normal 4 3 2 3 3 4" xfId="25778"/>
    <cellStyle name="Normal 4 3 2 3 4" xfId="25779"/>
    <cellStyle name="Normal 4 3 2 3 4 2" xfId="25780"/>
    <cellStyle name="Normal 4 3 2 3 4 2 2" xfId="25781"/>
    <cellStyle name="Normal 4 3 2 3 4 2 2 2" xfId="25782"/>
    <cellStyle name="Normal 4 3 2 3 4 2 3" xfId="25783"/>
    <cellStyle name="Normal 4 3 2 3 4 3" xfId="25784"/>
    <cellStyle name="Normal 4 3 2 3 4 3 2" xfId="25785"/>
    <cellStyle name="Normal 4 3 2 3 4 4" xfId="25786"/>
    <cellStyle name="Normal 4 3 2 3 5" xfId="25787"/>
    <cellStyle name="Normal 4 3 2 3 5 2" xfId="25788"/>
    <cellStyle name="Normal 4 3 2 3 5 2 2" xfId="25789"/>
    <cellStyle name="Normal 4 3 2 3 5 3" xfId="25790"/>
    <cellStyle name="Normal 4 3 2 3 6" xfId="25791"/>
    <cellStyle name="Normal 4 3 2 3 6 2" xfId="25792"/>
    <cellStyle name="Normal 4 3 2 3 7" xfId="25793"/>
    <cellStyle name="Normal 4 3 2 4" xfId="25794"/>
    <cellStyle name="Normal 4 3 2 4 2" xfId="25795"/>
    <cellStyle name="Normal 4 3 2 4 2 2" xfId="25796"/>
    <cellStyle name="Normal 4 3 2 4 2 2 2" xfId="25797"/>
    <cellStyle name="Normal 4 3 2 4 2 2 2 2" xfId="25798"/>
    <cellStyle name="Normal 4 3 2 4 2 2 3" xfId="25799"/>
    <cellStyle name="Normal 4 3 2 4 2 3" xfId="25800"/>
    <cellStyle name="Normal 4 3 2 4 2 3 2" xfId="25801"/>
    <cellStyle name="Normal 4 3 2 4 2 4" xfId="25802"/>
    <cellStyle name="Normal 4 3 2 4 3" xfId="25803"/>
    <cellStyle name="Normal 4 3 2 4 3 2" xfId="25804"/>
    <cellStyle name="Normal 4 3 2 4 3 2 2" xfId="25805"/>
    <cellStyle name="Normal 4 3 2 4 3 2 2 2" xfId="25806"/>
    <cellStyle name="Normal 4 3 2 4 3 2 3" xfId="25807"/>
    <cellStyle name="Normal 4 3 2 4 3 3" xfId="25808"/>
    <cellStyle name="Normal 4 3 2 4 3 3 2" xfId="25809"/>
    <cellStyle name="Normal 4 3 2 4 3 4" xfId="25810"/>
    <cellStyle name="Normal 4 3 2 4 4" xfId="25811"/>
    <cellStyle name="Normal 4 3 2 4 4 2" xfId="25812"/>
    <cellStyle name="Normal 4 3 2 4 4 2 2" xfId="25813"/>
    <cellStyle name="Normal 4 3 2 4 4 3" xfId="25814"/>
    <cellStyle name="Normal 4 3 2 4 5" xfId="25815"/>
    <cellStyle name="Normal 4 3 2 4 5 2" xfId="25816"/>
    <cellStyle name="Normal 4 3 2 4 6" xfId="25817"/>
    <cellStyle name="Normal 4 3 2 5" xfId="25818"/>
    <cellStyle name="Normal 4 3 2 5 2" xfId="25819"/>
    <cellStyle name="Normal 4 3 2 5 2 2" xfId="25820"/>
    <cellStyle name="Normal 4 3 2 5 2 2 2" xfId="25821"/>
    <cellStyle name="Normal 4 3 2 5 2 3" xfId="25822"/>
    <cellStyle name="Normal 4 3 2 5 3" xfId="25823"/>
    <cellStyle name="Normal 4 3 2 5 3 2" xfId="25824"/>
    <cellStyle name="Normal 4 3 2 5 4" xfId="25825"/>
    <cellStyle name="Normal 4 3 2 6" xfId="25826"/>
    <cellStyle name="Normal 4 3 2 6 2" xfId="25827"/>
    <cellStyle name="Normal 4 3 2 6 2 2" xfId="25828"/>
    <cellStyle name="Normal 4 3 2 6 2 2 2" xfId="25829"/>
    <cellStyle name="Normal 4 3 2 6 2 3" xfId="25830"/>
    <cellStyle name="Normal 4 3 2 6 3" xfId="25831"/>
    <cellStyle name="Normal 4 3 2 6 3 2" xfId="25832"/>
    <cellStyle name="Normal 4 3 2 6 4" xfId="25833"/>
    <cellStyle name="Normal 4 3 2 7" xfId="25834"/>
    <cellStyle name="Normal 4 3 2 7 2" xfId="25835"/>
    <cellStyle name="Normal 4 3 2 7 2 2" xfId="25836"/>
    <cellStyle name="Normal 4 3 2 7 2 2 2" xfId="25837"/>
    <cellStyle name="Normal 4 3 2 7 2 3" xfId="25838"/>
    <cellStyle name="Normal 4 3 2 7 3" xfId="25839"/>
    <cellStyle name="Normal 4 3 2 7 3 2" xfId="25840"/>
    <cellStyle name="Normal 4 3 2 7 4" xfId="25841"/>
    <cellStyle name="Normal 4 3 2 8" xfId="25842"/>
    <cellStyle name="Normal 4 3 2 8 2" xfId="25843"/>
    <cellStyle name="Normal 4 3 2 8 2 2" xfId="25844"/>
    <cellStyle name="Normal 4 3 2 8 3" xfId="25845"/>
    <cellStyle name="Normal 4 3 2 9" xfId="25846"/>
    <cellStyle name="Normal 4 3 2 9 2" xfId="25847"/>
    <cellStyle name="Normal 4 3 3" xfId="25848"/>
    <cellStyle name="Normal 4 3 3 2" xfId="25849"/>
    <cellStyle name="Normal 4 3 3 2 2" xfId="25850"/>
    <cellStyle name="Normal 4 3 3 2 2 2" xfId="25851"/>
    <cellStyle name="Normal 4 3 3 2 2 2 2" xfId="25852"/>
    <cellStyle name="Normal 4 3 3 2 2 2 2 2" xfId="25853"/>
    <cellStyle name="Normal 4 3 3 2 2 2 2 2 2" xfId="25854"/>
    <cellStyle name="Normal 4 3 3 2 2 2 2 3" xfId="25855"/>
    <cellStyle name="Normal 4 3 3 2 2 2 3" xfId="25856"/>
    <cellStyle name="Normal 4 3 3 2 2 2 3 2" xfId="25857"/>
    <cellStyle name="Normal 4 3 3 2 2 2 4" xfId="25858"/>
    <cellStyle name="Normal 4 3 3 2 2 3" xfId="25859"/>
    <cellStyle name="Normal 4 3 3 2 2 3 2" xfId="25860"/>
    <cellStyle name="Normal 4 3 3 2 2 3 2 2" xfId="25861"/>
    <cellStyle name="Normal 4 3 3 2 2 3 2 2 2" xfId="25862"/>
    <cellStyle name="Normal 4 3 3 2 2 3 2 3" xfId="25863"/>
    <cellStyle name="Normal 4 3 3 2 2 3 3" xfId="25864"/>
    <cellStyle name="Normal 4 3 3 2 2 3 3 2" xfId="25865"/>
    <cellStyle name="Normal 4 3 3 2 2 3 4" xfId="25866"/>
    <cellStyle name="Normal 4 3 3 2 2 4" xfId="25867"/>
    <cellStyle name="Normal 4 3 3 2 2 4 2" xfId="25868"/>
    <cellStyle name="Normal 4 3 3 2 2 4 2 2" xfId="25869"/>
    <cellStyle name="Normal 4 3 3 2 2 4 3" xfId="25870"/>
    <cellStyle name="Normal 4 3 3 2 2 5" xfId="25871"/>
    <cellStyle name="Normal 4 3 3 2 2 5 2" xfId="25872"/>
    <cellStyle name="Normal 4 3 3 2 2 6" xfId="25873"/>
    <cellStyle name="Normal 4 3 3 2 3" xfId="25874"/>
    <cellStyle name="Normal 4 3 3 2 3 2" xfId="25875"/>
    <cellStyle name="Normal 4 3 3 2 3 2 2" xfId="25876"/>
    <cellStyle name="Normal 4 3 3 2 3 2 2 2" xfId="25877"/>
    <cellStyle name="Normal 4 3 3 2 3 2 3" xfId="25878"/>
    <cellStyle name="Normal 4 3 3 2 3 3" xfId="25879"/>
    <cellStyle name="Normal 4 3 3 2 3 3 2" xfId="25880"/>
    <cellStyle name="Normal 4 3 3 2 3 4" xfId="25881"/>
    <cellStyle name="Normal 4 3 3 2 4" xfId="25882"/>
    <cellStyle name="Normal 4 3 3 2 4 2" xfId="25883"/>
    <cellStyle name="Normal 4 3 3 2 4 2 2" xfId="25884"/>
    <cellStyle name="Normal 4 3 3 2 4 2 2 2" xfId="25885"/>
    <cellStyle name="Normal 4 3 3 2 4 2 3" xfId="25886"/>
    <cellStyle name="Normal 4 3 3 2 4 3" xfId="25887"/>
    <cellStyle name="Normal 4 3 3 2 4 3 2" xfId="25888"/>
    <cellStyle name="Normal 4 3 3 2 4 4" xfId="25889"/>
    <cellStyle name="Normal 4 3 3 2 5" xfId="25890"/>
    <cellStyle name="Normal 4 3 3 2 5 2" xfId="25891"/>
    <cellStyle name="Normal 4 3 3 2 5 2 2" xfId="25892"/>
    <cellStyle name="Normal 4 3 3 2 5 3" xfId="25893"/>
    <cellStyle name="Normal 4 3 3 2 6" xfId="25894"/>
    <cellStyle name="Normal 4 3 3 2 6 2" xfId="25895"/>
    <cellStyle name="Normal 4 3 3 2 7" xfId="25896"/>
    <cellStyle name="Normal 4 3 3 3" xfId="25897"/>
    <cellStyle name="Normal 4 3 3 3 2" xfId="25898"/>
    <cellStyle name="Normal 4 3 3 3 2 2" xfId="25899"/>
    <cellStyle name="Normal 4 3 3 3 2 2 2" xfId="25900"/>
    <cellStyle name="Normal 4 3 3 3 2 2 2 2" xfId="25901"/>
    <cellStyle name="Normal 4 3 3 3 2 2 3" xfId="25902"/>
    <cellStyle name="Normal 4 3 3 3 2 3" xfId="25903"/>
    <cellStyle name="Normal 4 3 3 3 2 3 2" xfId="25904"/>
    <cellStyle name="Normal 4 3 3 3 2 4" xfId="25905"/>
    <cellStyle name="Normal 4 3 3 3 3" xfId="25906"/>
    <cellStyle name="Normal 4 3 3 3 3 2" xfId="25907"/>
    <cellStyle name="Normal 4 3 3 3 3 2 2" xfId="25908"/>
    <cellStyle name="Normal 4 3 3 3 3 2 2 2" xfId="25909"/>
    <cellStyle name="Normal 4 3 3 3 3 2 3" xfId="25910"/>
    <cellStyle name="Normal 4 3 3 3 3 3" xfId="25911"/>
    <cellStyle name="Normal 4 3 3 3 3 3 2" xfId="25912"/>
    <cellStyle name="Normal 4 3 3 3 3 4" xfId="25913"/>
    <cellStyle name="Normal 4 3 3 3 4" xfId="25914"/>
    <cellStyle name="Normal 4 3 3 3 4 2" xfId="25915"/>
    <cellStyle name="Normal 4 3 3 3 4 2 2" xfId="25916"/>
    <cellStyle name="Normal 4 3 3 3 4 3" xfId="25917"/>
    <cellStyle name="Normal 4 3 3 3 5" xfId="25918"/>
    <cellStyle name="Normal 4 3 3 3 5 2" xfId="25919"/>
    <cellStyle name="Normal 4 3 3 3 6" xfId="25920"/>
    <cellStyle name="Normal 4 3 3 4" xfId="25921"/>
    <cellStyle name="Normal 4 3 3 4 2" xfId="25922"/>
    <cellStyle name="Normal 4 3 3 4 2 2" xfId="25923"/>
    <cellStyle name="Normal 4 3 3 4 2 2 2" xfId="25924"/>
    <cellStyle name="Normal 4 3 3 4 2 3" xfId="25925"/>
    <cellStyle name="Normal 4 3 3 4 3" xfId="25926"/>
    <cellStyle name="Normal 4 3 3 4 3 2" xfId="25927"/>
    <cellStyle name="Normal 4 3 3 4 4" xfId="25928"/>
    <cellStyle name="Normal 4 3 3 5" xfId="25929"/>
    <cellStyle name="Normal 4 3 3 5 2" xfId="25930"/>
    <cellStyle name="Normal 4 3 3 5 2 2" xfId="25931"/>
    <cellStyle name="Normal 4 3 3 5 2 2 2" xfId="25932"/>
    <cellStyle name="Normal 4 3 3 5 2 3" xfId="25933"/>
    <cellStyle name="Normal 4 3 3 5 3" xfId="25934"/>
    <cellStyle name="Normal 4 3 3 5 3 2" xfId="25935"/>
    <cellStyle name="Normal 4 3 3 5 4" xfId="25936"/>
    <cellStyle name="Normal 4 3 3 6" xfId="25937"/>
    <cellStyle name="Normal 4 3 3 6 2" xfId="25938"/>
    <cellStyle name="Normal 4 3 3 6 2 2" xfId="25939"/>
    <cellStyle name="Normal 4 3 3 6 2 2 2" xfId="25940"/>
    <cellStyle name="Normal 4 3 3 6 2 3" xfId="25941"/>
    <cellStyle name="Normal 4 3 3 6 3" xfId="25942"/>
    <cellStyle name="Normal 4 3 3 6 3 2" xfId="25943"/>
    <cellStyle name="Normal 4 3 3 6 4" xfId="25944"/>
    <cellStyle name="Normal 4 3 3 7" xfId="25945"/>
    <cellStyle name="Normal 4 3 3 7 2" xfId="25946"/>
    <cellStyle name="Normal 4 3 3 7 2 2" xfId="25947"/>
    <cellStyle name="Normal 4 3 3 7 3" xfId="25948"/>
    <cellStyle name="Normal 4 3 3 8" xfId="25949"/>
    <cellStyle name="Normal 4 3 3 8 2" xfId="25950"/>
    <cellStyle name="Normal 4 3 3 9" xfId="25951"/>
    <cellStyle name="Normal 4 3 4" xfId="25952"/>
    <cellStyle name="Normal 4 3 4 2" xfId="25953"/>
    <cellStyle name="Normal 4 3 4 2 2" xfId="25954"/>
    <cellStyle name="Normal 4 3 4 2 2 2" xfId="25955"/>
    <cellStyle name="Normal 4 3 4 2 2 2 2" xfId="25956"/>
    <cellStyle name="Normal 4 3 4 2 2 2 2 2" xfId="25957"/>
    <cellStyle name="Normal 4 3 4 2 2 2 3" xfId="25958"/>
    <cellStyle name="Normal 4 3 4 2 2 3" xfId="25959"/>
    <cellStyle name="Normal 4 3 4 2 2 3 2" xfId="25960"/>
    <cellStyle name="Normal 4 3 4 2 2 4" xfId="25961"/>
    <cellStyle name="Normal 4 3 4 2 3" xfId="25962"/>
    <cellStyle name="Normal 4 3 4 2 3 2" xfId="25963"/>
    <cellStyle name="Normal 4 3 4 2 3 2 2" xfId="25964"/>
    <cellStyle name="Normal 4 3 4 2 3 2 2 2" xfId="25965"/>
    <cellStyle name="Normal 4 3 4 2 3 2 3" xfId="25966"/>
    <cellStyle name="Normal 4 3 4 2 3 3" xfId="25967"/>
    <cellStyle name="Normal 4 3 4 2 3 3 2" xfId="25968"/>
    <cellStyle name="Normal 4 3 4 2 3 4" xfId="25969"/>
    <cellStyle name="Normal 4 3 4 2 4" xfId="25970"/>
    <cellStyle name="Normal 4 3 4 2 4 2" xfId="25971"/>
    <cellStyle name="Normal 4 3 4 2 4 2 2" xfId="25972"/>
    <cellStyle name="Normal 4 3 4 2 4 3" xfId="25973"/>
    <cellStyle name="Normal 4 3 4 2 5" xfId="25974"/>
    <cellStyle name="Normal 4 3 4 2 5 2" xfId="25975"/>
    <cellStyle name="Normal 4 3 4 2 6" xfId="25976"/>
    <cellStyle name="Normal 4 3 4 3" xfId="25977"/>
    <cellStyle name="Normal 4 3 4 3 2" xfId="25978"/>
    <cellStyle name="Normal 4 3 4 3 2 2" xfId="25979"/>
    <cellStyle name="Normal 4 3 4 3 2 2 2" xfId="25980"/>
    <cellStyle name="Normal 4 3 4 3 2 3" xfId="25981"/>
    <cellStyle name="Normal 4 3 4 3 3" xfId="25982"/>
    <cellStyle name="Normal 4 3 4 3 3 2" xfId="25983"/>
    <cellStyle name="Normal 4 3 4 3 4" xfId="25984"/>
    <cellStyle name="Normal 4 3 4 4" xfId="25985"/>
    <cellStyle name="Normal 4 3 4 4 2" xfId="25986"/>
    <cellStyle name="Normal 4 3 4 4 2 2" xfId="25987"/>
    <cellStyle name="Normal 4 3 4 4 2 2 2" xfId="25988"/>
    <cellStyle name="Normal 4 3 4 4 2 3" xfId="25989"/>
    <cellStyle name="Normal 4 3 4 4 3" xfId="25990"/>
    <cellStyle name="Normal 4 3 4 4 3 2" xfId="25991"/>
    <cellStyle name="Normal 4 3 4 4 4" xfId="25992"/>
    <cellStyle name="Normal 4 3 4 5" xfId="25993"/>
    <cellStyle name="Normal 4 3 4 5 2" xfId="25994"/>
    <cellStyle name="Normal 4 3 4 5 2 2" xfId="25995"/>
    <cellStyle name="Normal 4 3 4 5 3" xfId="25996"/>
    <cellStyle name="Normal 4 3 4 6" xfId="25997"/>
    <cellStyle name="Normal 4 3 4 6 2" xfId="25998"/>
    <cellStyle name="Normal 4 3 4 7" xfId="25999"/>
    <cellStyle name="Normal 4 3 5" xfId="26000"/>
    <cellStyle name="Normal 4 3 5 2" xfId="26001"/>
    <cellStyle name="Normal 4 3 5 2 2" xfId="26002"/>
    <cellStyle name="Normal 4 3 5 2 2 2" xfId="26003"/>
    <cellStyle name="Normal 4 3 5 2 2 2 2" xfId="26004"/>
    <cellStyle name="Normal 4 3 5 2 2 3" xfId="26005"/>
    <cellStyle name="Normal 4 3 5 2 3" xfId="26006"/>
    <cellStyle name="Normal 4 3 5 2 3 2" xfId="26007"/>
    <cellStyle name="Normal 4 3 5 2 4" xfId="26008"/>
    <cellStyle name="Normal 4 3 5 3" xfId="26009"/>
    <cellStyle name="Normal 4 3 5 3 2" xfId="26010"/>
    <cellStyle name="Normal 4 3 5 3 2 2" xfId="26011"/>
    <cellStyle name="Normal 4 3 5 3 2 2 2" xfId="26012"/>
    <cellStyle name="Normal 4 3 5 3 2 3" xfId="26013"/>
    <cellStyle name="Normal 4 3 5 3 3" xfId="26014"/>
    <cellStyle name="Normal 4 3 5 3 3 2" xfId="26015"/>
    <cellStyle name="Normal 4 3 5 3 4" xfId="26016"/>
    <cellStyle name="Normal 4 3 5 4" xfId="26017"/>
    <cellStyle name="Normal 4 3 5 4 2" xfId="26018"/>
    <cellStyle name="Normal 4 3 5 4 2 2" xfId="26019"/>
    <cellStyle name="Normal 4 3 5 4 3" xfId="26020"/>
    <cellStyle name="Normal 4 3 5 5" xfId="26021"/>
    <cellStyle name="Normal 4 3 5 5 2" xfId="26022"/>
    <cellStyle name="Normal 4 3 5 6" xfId="26023"/>
    <cellStyle name="Normal 4 3 6" xfId="26024"/>
    <cellStyle name="Normal 4 3 6 2" xfId="26025"/>
    <cellStyle name="Normal 4 3 6 2 2" xfId="26026"/>
    <cellStyle name="Normal 4 3 6 2 2 2" xfId="26027"/>
    <cellStyle name="Normal 4 3 6 2 3" xfId="26028"/>
    <cellStyle name="Normal 4 3 6 3" xfId="26029"/>
    <cellStyle name="Normal 4 3 6 3 2" xfId="26030"/>
    <cellStyle name="Normal 4 3 6 4" xfId="26031"/>
    <cellStyle name="Normal 4 3 7" xfId="26032"/>
    <cellStyle name="Normal 4 3 7 2" xfId="26033"/>
    <cellStyle name="Normal 4 3 7 2 2" xfId="26034"/>
    <cellStyle name="Normal 4 3 7 2 2 2" xfId="26035"/>
    <cellStyle name="Normal 4 3 7 2 3" xfId="26036"/>
    <cellStyle name="Normal 4 3 7 3" xfId="26037"/>
    <cellStyle name="Normal 4 3 7 3 2" xfId="26038"/>
    <cellStyle name="Normal 4 3 7 4" xfId="26039"/>
    <cellStyle name="Normal 4 3 8" xfId="26040"/>
    <cellStyle name="Normal 4 3 8 2" xfId="26041"/>
    <cellStyle name="Normal 4 3 8 2 2" xfId="26042"/>
    <cellStyle name="Normal 4 3 8 2 2 2" xfId="26043"/>
    <cellStyle name="Normal 4 3 8 2 3" xfId="26044"/>
    <cellStyle name="Normal 4 3 8 3" xfId="26045"/>
    <cellStyle name="Normal 4 3 8 3 2" xfId="26046"/>
    <cellStyle name="Normal 4 3 8 4" xfId="26047"/>
    <cellStyle name="Normal 4 3 9" xfId="26048"/>
    <cellStyle name="Normal 4 3 9 2" xfId="26049"/>
    <cellStyle name="Normal 4 3 9 2 2" xfId="26050"/>
    <cellStyle name="Normal 4 3 9 3" xfId="26051"/>
    <cellStyle name="Normal 4 4" xfId="26052"/>
    <cellStyle name="Normal 4 4 10" xfId="26053"/>
    <cellStyle name="Normal 4 4 2" xfId="26054"/>
    <cellStyle name="Normal 4 4 2 2" xfId="26055"/>
    <cellStyle name="Normal 4 4 2 2 2" xfId="26056"/>
    <cellStyle name="Normal 4 4 2 2 2 2" xfId="26057"/>
    <cellStyle name="Normal 4 4 2 2 2 2 2" xfId="26058"/>
    <cellStyle name="Normal 4 4 2 2 2 2 2 2" xfId="26059"/>
    <cellStyle name="Normal 4 4 2 2 2 2 2 2 2" xfId="26060"/>
    <cellStyle name="Normal 4 4 2 2 2 2 2 3" xfId="26061"/>
    <cellStyle name="Normal 4 4 2 2 2 2 3" xfId="26062"/>
    <cellStyle name="Normal 4 4 2 2 2 2 3 2" xfId="26063"/>
    <cellStyle name="Normal 4 4 2 2 2 2 4" xfId="26064"/>
    <cellStyle name="Normal 4 4 2 2 2 3" xfId="26065"/>
    <cellStyle name="Normal 4 4 2 2 2 3 2" xfId="26066"/>
    <cellStyle name="Normal 4 4 2 2 2 3 2 2" xfId="26067"/>
    <cellStyle name="Normal 4 4 2 2 2 3 2 2 2" xfId="26068"/>
    <cellStyle name="Normal 4 4 2 2 2 3 2 3" xfId="26069"/>
    <cellStyle name="Normal 4 4 2 2 2 3 3" xfId="26070"/>
    <cellStyle name="Normal 4 4 2 2 2 3 3 2" xfId="26071"/>
    <cellStyle name="Normal 4 4 2 2 2 3 4" xfId="26072"/>
    <cellStyle name="Normal 4 4 2 2 2 4" xfId="26073"/>
    <cellStyle name="Normal 4 4 2 2 2 4 2" xfId="26074"/>
    <cellStyle name="Normal 4 4 2 2 2 4 2 2" xfId="26075"/>
    <cellStyle name="Normal 4 4 2 2 2 4 3" xfId="26076"/>
    <cellStyle name="Normal 4 4 2 2 2 5" xfId="26077"/>
    <cellStyle name="Normal 4 4 2 2 2 5 2" xfId="26078"/>
    <cellStyle name="Normal 4 4 2 2 2 6" xfId="26079"/>
    <cellStyle name="Normal 4 4 2 2 3" xfId="26080"/>
    <cellStyle name="Normal 4 4 2 2 3 2" xfId="26081"/>
    <cellStyle name="Normal 4 4 2 2 3 2 2" xfId="26082"/>
    <cellStyle name="Normal 4 4 2 2 3 2 2 2" xfId="26083"/>
    <cellStyle name="Normal 4 4 2 2 3 2 3" xfId="26084"/>
    <cellStyle name="Normal 4 4 2 2 3 3" xfId="26085"/>
    <cellStyle name="Normal 4 4 2 2 3 3 2" xfId="26086"/>
    <cellStyle name="Normal 4 4 2 2 3 4" xfId="26087"/>
    <cellStyle name="Normal 4 4 2 2 4" xfId="26088"/>
    <cellStyle name="Normal 4 4 2 2 4 2" xfId="26089"/>
    <cellStyle name="Normal 4 4 2 2 4 2 2" xfId="26090"/>
    <cellStyle name="Normal 4 4 2 2 4 2 2 2" xfId="26091"/>
    <cellStyle name="Normal 4 4 2 2 4 2 3" xfId="26092"/>
    <cellStyle name="Normal 4 4 2 2 4 3" xfId="26093"/>
    <cellStyle name="Normal 4 4 2 2 4 3 2" xfId="26094"/>
    <cellStyle name="Normal 4 4 2 2 4 4" xfId="26095"/>
    <cellStyle name="Normal 4 4 2 2 5" xfId="26096"/>
    <cellStyle name="Normal 4 4 2 2 5 2" xfId="26097"/>
    <cellStyle name="Normal 4 4 2 2 5 2 2" xfId="26098"/>
    <cellStyle name="Normal 4 4 2 2 5 3" xfId="26099"/>
    <cellStyle name="Normal 4 4 2 2 6" xfId="26100"/>
    <cellStyle name="Normal 4 4 2 2 6 2" xfId="26101"/>
    <cellStyle name="Normal 4 4 2 2 7" xfId="26102"/>
    <cellStyle name="Normal 4 4 2 3" xfId="26103"/>
    <cellStyle name="Normal 4 4 2 3 2" xfId="26104"/>
    <cellStyle name="Normal 4 4 2 3 2 2" xfId="26105"/>
    <cellStyle name="Normal 4 4 2 3 2 2 2" xfId="26106"/>
    <cellStyle name="Normal 4 4 2 3 2 2 2 2" xfId="26107"/>
    <cellStyle name="Normal 4 4 2 3 2 2 3" xfId="26108"/>
    <cellStyle name="Normal 4 4 2 3 2 3" xfId="26109"/>
    <cellStyle name="Normal 4 4 2 3 2 3 2" xfId="26110"/>
    <cellStyle name="Normal 4 4 2 3 2 4" xfId="26111"/>
    <cellStyle name="Normal 4 4 2 3 3" xfId="26112"/>
    <cellStyle name="Normal 4 4 2 3 3 2" xfId="26113"/>
    <cellStyle name="Normal 4 4 2 3 3 2 2" xfId="26114"/>
    <cellStyle name="Normal 4 4 2 3 3 2 2 2" xfId="26115"/>
    <cellStyle name="Normal 4 4 2 3 3 2 3" xfId="26116"/>
    <cellStyle name="Normal 4 4 2 3 3 3" xfId="26117"/>
    <cellStyle name="Normal 4 4 2 3 3 3 2" xfId="26118"/>
    <cellStyle name="Normal 4 4 2 3 3 4" xfId="26119"/>
    <cellStyle name="Normal 4 4 2 3 4" xfId="26120"/>
    <cellStyle name="Normal 4 4 2 3 4 2" xfId="26121"/>
    <cellStyle name="Normal 4 4 2 3 4 2 2" xfId="26122"/>
    <cellStyle name="Normal 4 4 2 3 4 3" xfId="26123"/>
    <cellStyle name="Normal 4 4 2 3 5" xfId="26124"/>
    <cellStyle name="Normal 4 4 2 3 5 2" xfId="26125"/>
    <cellStyle name="Normal 4 4 2 3 6" xfId="26126"/>
    <cellStyle name="Normal 4 4 2 4" xfId="26127"/>
    <cellStyle name="Normal 4 4 2 4 2" xfId="26128"/>
    <cellStyle name="Normal 4 4 2 4 2 2" xfId="26129"/>
    <cellStyle name="Normal 4 4 2 4 2 2 2" xfId="26130"/>
    <cellStyle name="Normal 4 4 2 4 2 3" xfId="26131"/>
    <cellStyle name="Normal 4 4 2 4 3" xfId="26132"/>
    <cellStyle name="Normal 4 4 2 4 3 2" xfId="26133"/>
    <cellStyle name="Normal 4 4 2 4 4" xfId="26134"/>
    <cellStyle name="Normal 4 4 2 5" xfId="26135"/>
    <cellStyle name="Normal 4 4 2 5 2" xfId="26136"/>
    <cellStyle name="Normal 4 4 2 5 2 2" xfId="26137"/>
    <cellStyle name="Normal 4 4 2 5 2 2 2" xfId="26138"/>
    <cellStyle name="Normal 4 4 2 5 2 3" xfId="26139"/>
    <cellStyle name="Normal 4 4 2 5 3" xfId="26140"/>
    <cellStyle name="Normal 4 4 2 5 3 2" xfId="26141"/>
    <cellStyle name="Normal 4 4 2 5 4" xfId="26142"/>
    <cellStyle name="Normal 4 4 2 6" xfId="26143"/>
    <cellStyle name="Normal 4 4 2 6 2" xfId="26144"/>
    <cellStyle name="Normal 4 4 2 6 2 2" xfId="26145"/>
    <cellStyle name="Normal 4 4 2 6 2 2 2" xfId="26146"/>
    <cellStyle name="Normal 4 4 2 6 2 3" xfId="26147"/>
    <cellStyle name="Normal 4 4 2 6 3" xfId="26148"/>
    <cellStyle name="Normal 4 4 2 6 3 2" xfId="26149"/>
    <cellStyle name="Normal 4 4 2 6 4" xfId="26150"/>
    <cellStyle name="Normal 4 4 2 7" xfId="26151"/>
    <cellStyle name="Normal 4 4 2 7 2" xfId="26152"/>
    <cellStyle name="Normal 4 4 2 7 2 2" xfId="26153"/>
    <cellStyle name="Normal 4 4 2 7 3" xfId="26154"/>
    <cellStyle name="Normal 4 4 2 8" xfId="26155"/>
    <cellStyle name="Normal 4 4 2 8 2" xfId="26156"/>
    <cellStyle name="Normal 4 4 2 9" xfId="26157"/>
    <cellStyle name="Normal 4 4 3" xfId="26158"/>
    <cellStyle name="Normal 4 4 3 2" xfId="26159"/>
    <cellStyle name="Normal 4 4 3 2 2" xfId="26160"/>
    <cellStyle name="Normal 4 4 3 2 2 2" xfId="26161"/>
    <cellStyle name="Normal 4 4 3 2 2 2 2" xfId="26162"/>
    <cellStyle name="Normal 4 4 3 2 2 2 2 2" xfId="26163"/>
    <cellStyle name="Normal 4 4 3 2 2 2 3" xfId="26164"/>
    <cellStyle name="Normal 4 4 3 2 2 3" xfId="26165"/>
    <cellStyle name="Normal 4 4 3 2 2 3 2" xfId="26166"/>
    <cellStyle name="Normal 4 4 3 2 2 4" xfId="26167"/>
    <cellStyle name="Normal 4 4 3 2 3" xfId="26168"/>
    <cellStyle name="Normal 4 4 3 2 3 2" xfId="26169"/>
    <cellStyle name="Normal 4 4 3 2 3 2 2" xfId="26170"/>
    <cellStyle name="Normal 4 4 3 2 3 2 2 2" xfId="26171"/>
    <cellStyle name="Normal 4 4 3 2 3 2 3" xfId="26172"/>
    <cellStyle name="Normal 4 4 3 2 3 3" xfId="26173"/>
    <cellStyle name="Normal 4 4 3 2 3 3 2" xfId="26174"/>
    <cellStyle name="Normal 4 4 3 2 3 4" xfId="26175"/>
    <cellStyle name="Normal 4 4 3 2 4" xfId="26176"/>
    <cellStyle name="Normal 4 4 3 2 4 2" xfId="26177"/>
    <cellStyle name="Normal 4 4 3 2 4 2 2" xfId="26178"/>
    <cellStyle name="Normal 4 4 3 2 4 3" xfId="26179"/>
    <cellStyle name="Normal 4 4 3 2 5" xfId="26180"/>
    <cellStyle name="Normal 4 4 3 2 5 2" xfId="26181"/>
    <cellStyle name="Normal 4 4 3 2 6" xfId="26182"/>
    <cellStyle name="Normal 4 4 3 3" xfId="26183"/>
    <cellStyle name="Normal 4 4 3 3 2" xfId="26184"/>
    <cellStyle name="Normal 4 4 3 3 2 2" xfId="26185"/>
    <cellStyle name="Normal 4 4 3 3 2 2 2" xfId="26186"/>
    <cellStyle name="Normal 4 4 3 3 2 3" xfId="26187"/>
    <cellStyle name="Normal 4 4 3 3 3" xfId="26188"/>
    <cellStyle name="Normal 4 4 3 3 3 2" xfId="26189"/>
    <cellStyle name="Normal 4 4 3 3 4" xfId="26190"/>
    <cellStyle name="Normal 4 4 3 4" xfId="26191"/>
    <cellStyle name="Normal 4 4 3 4 2" xfId="26192"/>
    <cellStyle name="Normal 4 4 3 4 2 2" xfId="26193"/>
    <cellStyle name="Normal 4 4 3 4 2 2 2" xfId="26194"/>
    <cellStyle name="Normal 4 4 3 4 2 3" xfId="26195"/>
    <cellStyle name="Normal 4 4 3 4 3" xfId="26196"/>
    <cellStyle name="Normal 4 4 3 4 3 2" xfId="26197"/>
    <cellStyle name="Normal 4 4 3 4 4" xfId="26198"/>
    <cellStyle name="Normal 4 4 3 5" xfId="26199"/>
    <cellStyle name="Normal 4 4 3 5 2" xfId="26200"/>
    <cellStyle name="Normal 4 4 3 5 2 2" xfId="26201"/>
    <cellStyle name="Normal 4 4 3 5 3" xfId="26202"/>
    <cellStyle name="Normal 4 4 3 6" xfId="26203"/>
    <cellStyle name="Normal 4 4 3 6 2" xfId="26204"/>
    <cellStyle name="Normal 4 4 3 7" xfId="26205"/>
    <cellStyle name="Normal 4 4 4" xfId="26206"/>
    <cellStyle name="Normal 4 4 4 2" xfId="26207"/>
    <cellStyle name="Normal 4 4 4 2 2" xfId="26208"/>
    <cellStyle name="Normal 4 4 4 2 2 2" xfId="26209"/>
    <cellStyle name="Normal 4 4 4 2 2 2 2" xfId="26210"/>
    <cellStyle name="Normal 4 4 4 2 2 3" xfId="26211"/>
    <cellStyle name="Normal 4 4 4 2 3" xfId="26212"/>
    <cellStyle name="Normal 4 4 4 2 3 2" xfId="26213"/>
    <cellStyle name="Normal 4 4 4 2 4" xfId="26214"/>
    <cellStyle name="Normal 4 4 4 3" xfId="26215"/>
    <cellStyle name="Normal 4 4 4 3 2" xfId="26216"/>
    <cellStyle name="Normal 4 4 4 3 2 2" xfId="26217"/>
    <cellStyle name="Normal 4 4 4 3 2 2 2" xfId="26218"/>
    <cellStyle name="Normal 4 4 4 3 2 3" xfId="26219"/>
    <cellStyle name="Normal 4 4 4 3 3" xfId="26220"/>
    <cellStyle name="Normal 4 4 4 3 3 2" xfId="26221"/>
    <cellStyle name="Normal 4 4 4 3 4" xfId="26222"/>
    <cellStyle name="Normal 4 4 4 4" xfId="26223"/>
    <cellStyle name="Normal 4 4 4 4 2" xfId="26224"/>
    <cellStyle name="Normal 4 4 4 4 2 2" xfId="26225"/>
    <cellStyle name="Normal 4 4 4 4 3" xfId="26226"/>
    <cellStyle name="Normal 4 4 4 5" xfId="26227"/>
    <cellStyle name="Normal 4 4 4 5 2" xfId="26228"/>
    <cellStyle name="Normal 4 4 4 6" xfId="26229"/>
    <cellStyle name="Normal 4 4 5" xfId="26230"/>
    <cellStyle name="Normal 4 4 5 2" xfId="26231"/>
    <cellStyle name="Normal 4 4 5 2 2" xfId="26232"/>
    <cellStyle name="Normal 4 4 5 2 2 2" xfId="26233"/>
    <cellStyle name="Normal 4 4 5 2 3" xfId="26234"/>
    <cellStyle name="Normal 4 4 5 3" xfId="26235"/>
    <cellStyle name="Normal 4 4 5 3 2" xfId="26236"/>
    <cellStyle name="Normal 4 4 5 4" xfId="26237"/>
    <cellStyle name="Normal 4 4 6" xfId="26238"/>
    <cellStyle name="Normal 4 4 6 2" xfId="26239"/>
    <cellStyle name="Normal 4 4 6 2 2" xfId="26240"/>
    <cellStyle name="Normal 4 4 6 2 2 2" xfId="26241"/>
    <cellStyle name="Normal 4 4 6 2 3" xfId="26242"/>
    <cellStyle name="Normal 4 4 6 3" xfId="26243"/>
    <cellStyle name="Normal 4 4 6 3 2" xfId="26244"/>
    <cellStyle name="Normal 4 4 6 4" xfId="26245"/>
    <cellStyle name="Normal 4 4 7" xfId="26246"/>
    <cellStyle name="Normal 4 4 7 2" xfId="26247"/>
    <cellStyle name="Normal 4 4 7 2 2" xfId="26248"/>
    <cellStyle name="Normal 4 4 7 2 2 2" xfId="26249"/>
    <cellStyle name="Normal 4 4 7 2 3" xfId="26250"/>
    <cellStyle name="Normal 4 4 7 3" xfId="26251"/>
    <cellStyle name="Normal 4 4 7 3 2" xfId="26252"/>
    <cellStyle name="Normal 4 4 7 4" xfId="26253"/>
    <cellStyle name="Normal 4 4 8" xfId="26254"/>
    <cellStyle name="Normal 4 4 8 2" xfId="26255"/>
    <cellStyle name="Normal 4 4 8 2 2" xfId="26256"/>
    <cellStyle name="Normal 4 4 8 3" xfId="26257"/>
    <cellStyle name="Normal 4 4 9" xfId="26258"/>
    <cellStyle name="Normal 4 4 9 2" xfId="26259"/>
    <cellStyle name="Normal 4 5" xfId="26260"/>
    <cellStyle name="Normal 4 5 10" xfId="26261"/>
    <cellStyle name="Normal 4 5 2" xfId="26262"/>
    <cellStyle name="Normal 4 5 2 2" xfId="26263"/>
    <cellStyle name="Normal 4 5 2 2 2" xfId="26264"/>
    <cellStyle name="Normal 4 5 2 2 2 2" xfId="26265"/>
    <cellStyle name="Normal 4 5 2 2 2 2 2" xfId="26266"/>
    <cellStyle name="Normal 4 5 2 2 2 2 2 2" xfId="26267"/>
    <cellStyle name="Normal 4 5 2 2 2 2 2 2 2" xfId="26268"/>
    <cellStyle name="Normal 4 5 2 2 2 2 2 3" xfId="26269"/>
    <cellStyle name="Normal 4 5 2 2 2 2 3" xfId="26270"/>
    <cellStyle name="Normal 4 5 2 2 2 2 3 2" xfId="26271"/>
    <cellStyle name="Normal 4 5 2 2 2 2 4" xfId="26272"/>
    <cellStyle name="Normal 4 5 2 2 2 3" xfId="26273"/>
    <cellStyle name="Normal 4 5 2 2 2 3 2" xfId="26274"/>
    <cellStyle name="Normal 4 5 2 2 2 3 2 2" xfId="26275"/>
    <cellStyle name="Normal 4 5 2 2 2 3 2 2 2" xfId="26276"/>
    <cellStyle name="Normal 4 5 2 2 2 3 2 3" xfId="26277"/>
    <cellStyle name="Normal 4 5 2 2 2 3 3" xfId="26278"/>
    <cellStyle name="Normal 4 5 2 2 2 3 3 2" xfId="26279"/>
    <cellStyle name="Normal 4 5 2 2 2 3 4" xfId="26280"/>
    <cellStyle name="Normal 4 5 2 2 2 4" xfId="26281"/>
    <cellStyle name="Normal 4 5 2 2 2 4 2" xfId="26282"/>
    <cellStyle name="Normal 4 5 2 2 2 4 2 2" xfId="26283"/>
    <cellStyle name="Normal 4 5 2 2 2 4 3" xfId="26284"/>
    <cellStyle name="Normal 4 5 2 2 2 5" xfId="26285"/>
    <cellStyle name="Normal 4 5 2 2 2 5 2" xfId="26286"/>
    <cellStyle name="Normal 4 5 2 2 2 6" xfId="26287"/>
    <cellStyle name="Normal 4 5 2 2 3" xfId="26288"/>
    <cellStyle name="Normal 4 5 2 2 3 2" xfId="26289"/>
    <cellStyle name="Normal 4 5 2 2 3 2 2" xfId="26290"/>
    <cellStyle name="Normal 4 5 2 2 3 2 2 2" xfId="26291"/>
    <cellStyle name="Normal 4 5 2 2 3 2 3" xfId="26292"/>
    <cellStyle name="Normal 4 5 2 2 3 3" xfId="26293"/>
    <cellStyle name="Normal 4 5 2 2 3 3 2" xfId="26294"/>
    <cellStyle name="Normal 4 5 2 2 3 4" xfId="26295"/>
    <cellStyle name="Normal 4 5 2 2 4" xfId="26296"/>
    <cellStyle name="Normal 4 5 2 2 4 2" xfId="26297"/>
    <cellStyle name="Normal 4 5 2 2 4 2 2" xfId="26298"/>
    <cellStyle name="Normal 4 5 2 2 4 2 2 2" xfId="26299"/>
    <cellStyle name="Normal 4 5 2 2 4 2 3" xfId="26300"/>
    <cellStyle name="Normal 4 5 2 2 4 3" xfId="26301"/>
    <cellStyle name="Normal 4 5 2 2 4 3 2" xfId="26302"/>
    <cellStyle name="Normal 4 5 2 2 4 4" xfId="26303"/>
    <cellStyle name="Normal 4 5 2 2 5" xfId="26304"/>
    <cellStyle name="Normal 4 5 2 2 5 2" xfId="26305"/>
    <cellStyle name="Normal 4 5 2 2 5 2 2" xfId="26306"/>
    <cellStyle name="Normal 4 5 2 2 5 3" xfId="26307"/>
    <cellStyle name="Normal 4 5 2 2 6" xfId="26308"/>
    <cellStyle name="Normal 4 5 2 2 6 2" xfId="26309"/>
    <cellStyle name="Normal 4 5 2 2 7" xfId="26310"/>
    <cellStyle name="Normal 4 5 2 3" xfId="26311"/>
    <cellStyle name="Normal 4 5 2 3 2" xfId="26312"/>
    <cellStyle name="Normal 4 5 2 3 2 2" xfId="26313"/>
    <cellStyle name="Normal 4 5 2 3 2 2 2" xfId="26314"/>
    <cellStyle name="Normal 4 5 2 3 2 2 2 2" xfId="26315"/>
    <cellStyle name="Normal 4 5 2 3 2 2 3" xfId="26316"/>
    <cellStyle name="Normal 4 5 2 3 2 3" xfId="26317"/>
    <cellStyle name="Normal 4 5 2 3 2 3 2" xfId="26318"/>
    <cellStyle name="Normal 4 5 2 3 2 4" xfId="26319"/>
    <cellStyle name="Normal 4 5 2 3 3" xfId="26320"/>
    <cellStyle name="Normal 4 5 2 3 3 2" xfId="26321"/>
    <cellStyle name="Normal 4 5 2 3 3 2 2" xfId="26322"/>
    <cellStyle name="Normal 4 5 2 3 3 2 2 2" xfId="26323"/>
    <cellStyle name="Normal 4 5 2 3 3 2 3" xfId="26324"/>
    <cellStyle name="Normal 4 5 2 3 3 3" xfId="26325"/>
    <cellStyle name="Normal 4 5 2 3 3 3 2" xfId="26326"/>
    <cellStyle name="Normal 4 5 2 3 3 4" xfId="26327"/>
    <cellStyle name="Normal 4 5 2 3 4" xfId="26328"/>
    <cellStyle name="Normal 4 5 2 3 4 2" xfId="26329"/>
    <cellStyle name="Normal 4 5 2 3 4 2 2" xfId="26330"/>
    <cellStyle name="Normal 4 5 2 3 4 3" xfId="26331"/>
    <cellStyle name="Normal 4 5 2 3 5" xfId="26332"/>
    <cellStyle name="Normal 4 5 2 3 5 2" xfId="26333"/>
    <cellStyle name="Normal 4 5 2 3 6" xfId="26334"/>
    <cellStyle name="Normal 4 5 2 4" xfId="26335"/>
    <cellStyle name="Normal 4 5 2 4 2" xfId="26336"/>
    <cellStyle name="Normal 4 5 2 4 2 2" xfId="26337"/>
    <cellStyle name="Normal 4 5 2 4 2 2 2" xfId="26338"/>
    <cellStyle name="Normal 4 5 2 4 2 3" xfId="26339"/>
    <cellStyle name="Normal 4 5 2 4 3" xfId="26340"/>
    <cellStyle name="Normal 4 5 2 4 3 2" xfId="26341"/>
    <cellStyle name="Normal 4 5 2 4 4" xfId="26342"/>
    <cellStyle name="Normal 4 5 2 5" xfId="26343"/>
    <cellStyle name="Normal 4 5 2 5 2" xfId="26344"/>
    <cellStyle name="Normal 4 5 2 5 2 2" xfId="26345"/>
    <cellStyle name="Normal 4 5 2 5 2 2 2" xfId="26346"/>
    <cellStyle name="Normal 4 5 2 5 2 3" xfId="26347"/>
    <cellStyle name="Normal 4 5 2 5 3" xfId="26348"/>
    <cellStyle name="Normal 4 5 2 5 3 2" xfId="26349"/>
    <cellStyle name="Normal 4 5 2 5 4" xfId="26350"/>
    <cellStyle name="Normal 4 5 2 6" xfId="26351"/>
    <cellStyle name="Normal 4 5 2 6 2" xfId="26352"/>
    <cellStyle name="Normal 4 5 2 6 2 2" xfId="26353"/>
    <cellStyle name="Normal 4 5 2 6 2 2 2" xfId="26354"/>
    <cellStyle name="Normal 4 5 2 6 2 3" xfId="26355"/>
    <cellStyle name="Normal 4 5 2 6 3" xfId="26356"/>
    <cellStyle name="Normal 4 5 2 6 3 2" xfId="26357"/>
    <cellStyle name="Normal 4 5 2 6 4" xfId="26358"/>
    <cellStyle name="Normal 4 5 2 7" xfId="26359"/>
    <cellStyle name="Normal 4 5 2 7 2" xfId="26360"/>
    <cellStyle name="Normal 4 5 2 7 2 2" xfId="26361"/>
    <cellStyle name="Normal 4 5 2 7 3" xfId="26362"/>
    <cellStyle name="Normal 4 5 2 8" xfId="26363"/>
    <cellStyle name="Normal 4 5 2 8 2" xfId="26364"/>
    <cellStyle name="Normal 4 5 2 9" xfId="26365"/>
    <cellStyle name="Normal 4 5 3" xfId="26366"/>
    <cellStyle name="Normal 4 5 3 2" xfId="26367"/>
    <cellStyle name="Normal 4 5 3 2 2" xfId="26368"/>
    <cellStyle name="Normal 4 5 3 2 2 2" xfId="26369"/>
    <cellStyle name="Normal 4 5 3 2 2 2 2" xfId="26370"/>
    <cellStyle name="Normal 4 5 3 2 2 2 2 2" xfId="26371"/>
    <cellStyle name="Normal 4 5 3 2 2 2 3" xfId="26372"/>
    <cellStyle name="Normal 4 5 3 2 2 3" xfId="26373"/>
    <cellStyle name="Normal 4 5 3 2 2 3 2" xfId="26374"/>
    <cellStyle name="Normal 4 5 3 2 2 4" xfId="26375"/>
    <cellStyle name="Normal 4 5 3 2 3" xfId="26376"/>
    <cellStyle name="Normal 4 5 3 2 3 2" xfId="26377"/>
    <cellStyle name="Normal 4 5 3 2 3 2 2" xfId="26378"/>
    <cellStyle name="Normal 4 5 3 2 3 2 2 2" xfId="26379"/>
    <cellStyle name="Normal 4 5 3 2 3 2 3" xfId="26380"/>
    <cellStyle name="Normal 4 5 3 2 3 3" xfId="26381"/>
    <cellStyle name="Normal 4 5 3 2 3 3 2" xfId="26382"/>
    <cellStyle name="Normal 4 5 3 2 3 4" xfId="26383"/>
    <cellStyle name="Normal 4 5 3 2 4" xfId="26384"/>
    <cellStyle name="Normal 4 5 3 2 4 2" xfId="26385"/>
    <cellStyle name="Normal 4 5 3 2 4 2 2" xfId="26386"/>
    <cellStyle name="Normal 4 5 3 2 4 3" xfId="26387"/>
    <cellStyle name="Normal 4 5 3 2 5" xfId="26388"/>
    <cellStyle name="Normal 4 5 3 2 5 2" xfId="26389"/>
    <cellStyle name="Normal 4 5 3 2 6" xfId="26390"/>
    <cellStyle name="Normal 4 5 3 3" xfId="26391"/>
    <cellStyle name="Normal 4 5 3 3 2" xfId="26392"/>
    <cellStyle name="Normal 4 5 3 3 2 2" xfId="26393"/>
    <cellStyle name="Normal 4 5 3 3 2 2 2" xfId="26394"/>
    <cellStyle name="Normal 4 5 3 3 2 3" xfId="26395"/>
    <cellStyle name="Normal 4 5 3 3 3" xfId="26396"/>
    <cellStyle name="Normal 4 5 3 3 3 2" xfId="26397"/>
    <cellStyle name="Normal 4 5 3 3 4" xfId="26398"/>
    <cellStyle name="Normal 4 5 3 4" xfId="26399"/>
    <cellStyle name="Normal 4 5 3 4 2" xfId="26400"/>
    <cellStyle name="Normal 4 5 3 4 2 2" xfId="26401"/>
    <cellStyle name="Normal 4 5 3 4 2 2 2" xfId="26402"/>
    <cellStyle name="Normal 4 5 3 4 2 3" xfId="26403"/>
    <cellStyle name="Normal 4 5 3 4 3" xfId="26404"/>
    <cellStyle name="Normal 4 5 3 4 3 2" xfId="26405"/>
    <cellStyle name="Normal 4 5 3 4 4" xfId="26406"/>
    <cellStyle name="Normal 4 5 3 5" xfId="26407"/>
    <cellStyle name="Normal 4 5 3 5 2" xfId="26408"/>
    <cellStyle name="Normal 4 5 3 5 2 2" xfId="26409"/>
    <cellStyle name="Normal 4 5 3 5 3" xfId="26410"/>
    <cellStyle name="Normal 4 5 3 6" xfId="26411"/>
    <cellStyle name="Normal 4 5 3 6 2" xfId="26412"/>
    <cellStyle name="Normal 4 5 3 7" xfId="26413"/>
    <cellStyle name="Normal 4 5 4" xfId="26414"/>
    <cellStyle name="Normal 4 5 4 2" xfId="26415"/>
    <cellStyle name="Normal 4 5 4 2 2" xfId="26416"/>
    <cellStyle name="Normal 4 5 4 2 2 2" xfId="26417"/>
    <cellStyle name="Normal 4 5 4 2 2 2 2" xfId="26418"/>
    <cellStyle name="Normal 4 5 4 2 2 3" xfId="26419"/>
    <cellStyle name="Normal 4 5 4 2 3" xfId="26420"/>
    <cellStyle name="Normal 4 5 4 2 3 2" xfId="26421"/>
    <cellStyle name="Normal 4 5 4 2 4" xfId="26422"/>
    <cellStyle name="Normal 4 5 4 3" xfId="26423"/>
    <cellStyle name="Normal 4 5 4 3 2" xfId="26424"/>
    <cellStyle name="Normal 4 5 4 3 2 2" xfId="26425"/>
    <cellStyle name="Normal 4 5 4 3 2 2 2" xfId="26426"/>
    <cellStyle name="Normal 4 5 4 3 2 3" xfId="26427"/>
    <cellStyle name="Normal 4 5 4 3 3" xfId="26428"/>
    <cellStyle name="Normal 4 5 4 3 3 2" xfId="26429"/>
    <cellStyle name="Normal 4 5 4 3 4" xfId="26430"/>
    <cellStyle name="Normal 4 5 4 4" xfId="26431"/>
    <cellStyle name="Normal 4 5 4 4 2" xfId="26432"/>
    <cellStyle name="Normal 4 5 4 4 2 2" xfId="26433"/>
    <cellStyle name="Normal 4 5 4 4 3" xfId="26434"/>
    <cellStyle name="Normal 4 5 4 5" xfId="26435"/>
    <cellStyle name="Normal 4 5 4 5 2" xfId="26436"/>
    <cellStyle name="Normal 4 5 4 6" xfId="26437"/>
    <cellStyle name="Normal 4 5 5" xfId="26438"/>
    <cellStyle name="Normal 4 5 5 2" xfId="26439"/>
    <cellStyle name="Normal 4 5 5 2 2" xfId="26440"/>
    <cellStyle name="Normal 4 5 5 2 2 2" xfId="26441"/>
    <cellStyle name="Normal 4 5 5 2 3" xfId="26442"/>
    <cellStyle name="Normal 4 5 5 3" xfId="26443"/>
    <cellStyle name="Normal 4 5 5 3 2" xfId="26444"/>
    <cellStyle name="Normal 4 5 5 4" xfId="26445"/>
    <cellStyle name="Normal 4 5 6" xfId="26446"/>
    <cellStyle name="Normal 4 5 6 2" xfId="26447"/>
    <cellStyle name="Normal 4 5 6 2 2" xfId="26448"/>
    <cellStyle name="Normal 4 5 6 2 2 2" xfId="26449"/>
    <cellStyle name="Normal 4 5 6 2 3" xfId="26450"/>
    <cellStyle name="Normal 4 5 6 3" xfId="26451"/>
    <cellStyle name="Normal 4 5 6 3 2" xfId="26452"/>
    <cellStyle name="Normal 4 5 6 4" xfId="26453"/>
    <cellStyle name="Normal 4 5 7" xfId="26454"/>
    <cellStyle name="Normal 4 5 7 2" xfId="26455"/>
    <cellStyle name="Normal 4 5 7 2 2" xfId="26456"/>
    <cellStyle name="Normal 4 5 7 2 2 2" xfId="26457"/>
    <cellStyle name="Normal 4 5 7 2 3" xfId="26458"/>
    <cellStyle name="Normal 4 5 7 3" xfId="26459"/>
    <cellStyle name="Normal 4 5 7 3 2" xfId="26460"/>
    <cellStyle name="Normal 4 5 7 4" xfId="26461"/>
    <cellStyle name="Normal 4 5 8" xfId="26462"/>
    <cellStyle name="Normal 4 5 8 2" xfId="26463"/>
    <cellStyle name="Normal 4 5 8 2 2" xfId="26464"/>
    <cellStyle name="Normal 4 5 8 3" xfId="26465"/>
    <cellStyle name="Normal 4 5 9" xfId="26466"/>
    <cellStyle name="Normal 4 5 9 2" xfId="26467"/>
    <cellStyle name="Normal 4 6" xfId="26468"/>
    <cellStyle name="Normal 4 6 2" xfId="26469"/>
    <cellStyle name="Normal 4 6 2 2" xfId="26470"/>
    <cellStyle name="Normal 4 6 2 2 2" xfId="26471"/>
    <cellStyle name="Normal 4 6 2 2 2 2" xfId="26472"/>
    <cellStyle name="Normal 4 6 2 2 2 2 2" xfId="26473"/>
    <cellStyle name="Normal 4 6 2 2 2 2 2 2" xfId="26474"/>
    <cellStyle name="Normal 4 6 2 2 2 2 3" xfId="26475"/>
    <cellStyle name="Normal 4 6 2 2 2 3" xfId="26476"/>
    <cellStyle name="Normal 4 6 2 2 2 3 2" xfId="26477"/>
    <cellStyle name="Normal 4 6 2 2 2 4" xfId="26478"/>
    <cellStyle name="Normal 4 6 2 2 3" xfId="26479"/>
    <cellStyle name="Normal 4 6 2 2 3 2" xfId="26480"/>
    <cellStyle name="Normal 4 6 2 2 3 2 2" xfId="26481"/>
    <cellStyle name="Normal 4 6 2 2 3 2 2 2" xfId="26482"/>
    <cellStyle name="Normal 4 6 2 2 3 2 3" xfId="26483"/>
    <cellStyle name="Normal 4 6 2 2 3 3" xfId="26484"/>
    <cellStyle name="Normal 4 6 2 2 3 3 2" xfId="26485"/>
    <cellStyle name="Normal 4 6 2 2 3 4" xfId="26486"/>
    <cellStyle name="Normal 4 6 2 2 4" xfId="26487"/>
    <cellStyle name="Normal 4 6 2 2 4 2" xfId="26488"/>
    <cellStyle name="Normal 4 6 2 2 4 2 2" xfId="26489"/>
    <cellStyle name="Normal 4 6 2 2 4 3" xfId="26490"/>
    <cellStyle name="Normal 4 6 2 2 5" xfId="26491"/>
    <cellStyle name="Normal 4 6 2 2 5 2" xfId="26492"/>
    <cellStyle name="Normal 4 6 2 2 6" xfId="26493"/>
    <cellStyle name="Normal 4 6 2 3" xfId="26494"/>
    <cellStyle name="Normal 4 6 2 3 2" xfId="26495"/>
    <cellStyle name="Normal 4 6 2 3 2 2" xfId="26496"/>
    <cellStyle name="Normal 4 6 2 3 2 2 2" xfId="26497"/>
    <cellStyle name="Normal 4 6 2 3 2 3" xfId="26498"/>
    <cellStyle name="Normal 4 6 2 3 3" xfId="26499"/>
    <cellStyle name="Normal 4 6 2 3 3 2" xfId="26500"/>
    <cellStyle name="Normal 4 6 2 3 4" xfId="26501"/>
    <cellStyle name="Normal 4 6 2 4" xfId="26502"/>
    <cellStyle name="Normal 4 6 2 4 2" xfId="26503"/>
    <cellStyle name="Normal 4 6 2 4 2 2" xfId="26504"/>
    <cellStyle name="Normal 4 6 2 4 2 2 2" xfId="26505"/>
    <cellStyle name="Normal 4 6 2 4 2 3" xfId="26506"/>
    <cellStyle name="Normal 4 6 2 4 3" xfId="26507"/>
    <cellStyle name="Normal 4 6 2 4 3 2" xfId="26508"/>
    <cellStyle name="Normal 4 6 2 4 4" xfId="26509"/>
    <cellStyle name="Normal 4 6 2 5" xfId="26510"/>
    <cellStyle name="Normal 4 6 2 5 2" xfId="26511"/>
    <cellStyle name="Normal 4 6 2 5 2 2" xfId="26512"/>
    <cellStyle name="Normal 4 6 2 5 3" xfId="26513"/>
    <cellStyle name="Normal 4 6 2 6" xfId="26514"/>
    <cellStyle name="Normal 4 6 2 6 2" xfId="26515"/>
    <cellStyle name="Normal 4 6 2 7" xfId="26516"/>
    <cellStyle name="Normal 4 6 3" xfId="26517"/>
    <cellStyle name="Normal 4 6 3 2" xfId="26518"/>
    <cellStyle name="Normal 4 6 3 2 2" xfId="26519"/>
    <cellStyle name="Normal 4 6 3 2 2 2" xfId="26520"/>
    <cellStyle name="Normal 4 6 3 2 2 2 2" xfId="26521"/>
    <cellStyle name="Normal 4 6 3 2 2 3" xfId="26522"/>
    <cellStyle name="Normal 4 6 3 2 3" xfId="26523"/>
    <cellStyle name="Normal 4 6 3 2 3 2" xfId="26524"/>
    <cellStyle name="Normal 4 6 3 2 4" xfId="26525"/>
    <cellStyle name="Normal 4 6 3 3" xfId="26526"/>
    <cellStyle name="Normal 4 6 3 3 2" xfId="26527"/>
    <cellStyle name="Normal 4 6 3 3 2 2" xfId="26528"/>
    <cellStyle name="Normal 4 6 3 3 2 2 2" xfId="26529"/>
    <cellStyle name="Normal 4 6 3 3 2 3" xfId="26530"/>
    <cellStyle name="Normal 4 6 3 3 3" xfId="26531"/>
    <cellStyle name="Normal 4 6 3 3 3 2" xfId="26532"/>
    <cellStyle name="Normal 4 6 3 3 4" xfId="26533"/>
    <cellStyle name="Normal 4 6 3 4" xfId="26534"/>
    <cellStyle name="Normal 4 6 3 4 2" xfId="26535"/>
    <cellStyle name="Normal 4 6 3 4 2 2" xfId="26536"/>
    <cellStyle name="Normal 4 6 3 4 3" xfId="26537"/>
    <cellStyle name="Normal 4 6 3 5" xfId="26538"/>
    <cellStyle name="Normal 4 6 3 5 2" xfId="26539"/>
    <cellStyle name="Normal 4 6 3 6" xfId="26540"/>
    <cellStyle name="Normal 4 6 4" xfId="26541"/>
    <cellStyle name="Normal 4 6 4 2" xfId="26542"/>
    <cellStyle name="Normal 4 6 4 2 2" xfId="26543"/>
    <cellStyle name="Normal 4 6 4 2 2 2" xfId="26544"/>
    <cellStyle name="Normal 4 6 4 2 3" xfId="26545"/>
    <cellStyle name="Normal 4 6 4 3" xfId="26546"/>
    <cellStyle name="Normal 4 6 4 3 2" xfId="26547"/>
    <cellStyle name="Normal 4 6 4 4" xfId="26548"/>
    <cellStyle name="Normal 4 6 5" xfId="26549"/>
    <cellStyle name="Normal 4 6 5 2" xfId="26550"/>
    <cellStyle name="Normal 4 6 5 2 2" xfId="26551"/>
    <cellStyle name="Normal 4 6 5 2 2 2" xfId="26552"/>
    <cellStyle name="Normal 4 6 5 2 3" xfId="26553"/>
    <cellStyle name="Normal 4 6 5 3" xfId="26554"/>
    <cellStyle name="Normal 4 6 5 3 2" xfId="26555"/>
    <cellStyle name="Normal 4 6 5 4" xfId="26556"/>
    <cellStyle name="Normal 4 6 6" xfId="26557"/>
    <cellStyle name="Normal 4 6 6 2" xfId="26558"/>
    <cellStyle name="Normal 4 6 6 2 2" xfId="26559"/>
    <cellStyle name="Normal 4 6 6 2 2 2" xfId="26560"/>
    <cellStyle name="Normal 4 6 6 2 3" xfId="26561"/>
    <cellStyle name="Normal 4 6 6 3" xfId="26562"/>
    <cellStyle name="Normal 4 6 6 3 2" xfId="26563"/>
    <cellStyle name="Normal 4 6 6 4" xfId="26564"/>
    <cellStyle name="Normal 4 6 7" xfId="26565"/>
    <cellStyle name="Normal 4 6 7 2" xfId="26566"/>
    <cellStyle name="Normal 4 6 7 2 2" xfId="26567"/>
    <cellStyle name="Normal 4 6 7 3" xfId="26568"/>
    <cellStyle name="Normal 4 6 8" xfId="26569"/>
    <cellStyle name="Normal 4 6 8 2" xfId="26570"/>
    <cellStyle name="Normal 4 6 9" xfId="26571"/>
    <cellStyle name="Normal 4 7" xfId="26572"/>
    <cellStyle name="Normal 4 7 2" xfId="26573"/>
    <cellStyle name="Normal 4 7 2 2" xfId="26574"/>
    <cellStyle name="Normal 4 7 2 2 2" xfId="26575"/>
    <cellStyle name="Normal 4 7 2 2 2 2" xfId="26576"/>
    <cellStyle name="Normal 4 7 2 2 2 2 2" xfId="26577"/>
    <cellStyle name="Normal 4 7 2 2 2 3" xfId="26578"/>
    <cellStyle name="Normal 4 7 2 2 3" xfId="26579"/>
    <cellStyle name="Normal 4 7 2 2 3 2" xfId="26580"/>
    <cellStyle name="Normal 4 7 2 2 4" xfId="26581"/>
    <cellStyle name="Normal 4 7 2 3" xfId="26582"/>
    <cellStyle name="Normal 4 7 2 3 2" xfId="26583"/>
    <cellStyle name="Normal 4 7 2 3 2 2" xfId="26584"/>
    <cellStyle name="Normal 4 7 2 3 2 2 2" xfId="26585"/>
    <cellStyle name="Normal 4 7 2 3 2 3" xfId="26586"/>
    <cellStyle name="Normal 4 7 2 3 3" xfId="26587"/>
    <cellStyle name="Normal 4 7 2 3 3 2" xfId="26588"/>
    <cellStyle name="Normal 4 7 2 3 4" xfId="26589"/>
    <cellStyle name="Normal 4 7 2 4" xfId="26590"/>
    <cellStyle name="Normal 4 7 2 4 2" xfId="26591"/>
    <cellStyle name="Normal 4 7 2 4 2 2" xfId="26592"/>
    <cellStyle name="Normal 4 7 2 4 3" xfId="26593"/>
    <cellStyle name="Normal 4 7 2 5" xfId="26594"/>
    <cellStyle name="Normal 4 7 2 5 2" xfId="26595"/>
    <cellStyle name="Normal 4 7 2 6" xfId="26596"/>
    <cellStyle name="Normal 4 7 3" xfId="26597"/>
    <cellStyle name="Normal 4 7 3 2" xfId="26598"/>
    <cellStyle name="Normal 4 7 3 2 2" xfId="26599"/>
    <cellStyle name="Normal 4 7 3 2 2 2" xfId="26600"/>
    <cellStyle name="Normal 4 7 3 2 3" xfId="26601"/>
    <cellStyle name="Normal 4 7 3 3" xfId="26602"/>
    <cellStyle name="Normal 4 7 3 3 2" xfId="26603"/>
    <cellStyle name="Normal 4 7 3 4" xfId="26604"/>
    <cellStyle name="Normal 4 7 4" xfId="26605"/>
    <cellStyle name="Normal 4 7 4 2" xfId="26606"/>
    <cellStyle name="Normal 4 7 4 2 2" xfId="26607"/>
    <cellStyle name="Normal 4 7 4 2 2 2" xfId="26608"/>
    <cellStyle name="Normal 4 7 4 2 3" xfId="26609"/>
    <cellStyle name="Normal 4 7 4 3" xfId="26610"/>
    <cellStyle name="Normal 4 7 4 3 2" xfId="26611"/>
    <cellStyle name="Normal 4 7 4 4" xfId="26612"/>
    <cellStyle name="Normal 4 7 5" xfId="26613"/>
    <cellStyle name="Normal 4 7 5 2" xfId="26614"/>
    <cellStyle name="Normal 4 7 5 2 2" xfId="26615"/>
    <cellStyle name="Normal 4 7 5 3" xfId="26616"/>
    <cellStyle name="Normal 4 7 6" xfId="26617"/>
    <cellStyle name="Normal 4 7 6 2" xfId="26618"/>
    <cellStyle name="Normal 4 7 7" xfId="26619"/>
    <cellStyle name="Normal 4 8" xfId="26620"/>
    <cellStyle name="Normal 4 8 2" xfId="26621"/>
    <cellStyle name="Normal 4 8 2 2" xfId="26622"/>
    <cellStyle name="Normal 4 8 2 2 2" xfId="26623"/>
    <cellStyle name="Normal 4 8 2 2 2 2" xfId="26624"/>
    <cellStyle name="Normal 4 8 2 2 3" xfId="26625"/>
    <cellStyle name="Normal 4 8 2 3" xfId="26626"/>
    <cellStyle name="Normal 4 8 2 3 2" xfId="26627"/>
    <cellStyle name="Normal 4 8 2 4" xfId="26628"/>
    <cellStyle name="Normal 4 8 3" xfId="26629"/>
    <cellStyle name="Normal 4 8 3 2" xfId="26630"/>
    <cellStyle name="Normal 4 8 3 2 2" xfId="26631"/>
    <cellStyle name="Normal 4 8 3 2 2 2" xfId="26632"/>
    <cellStyle name="Normal 4 8 3 2 3" xfId="26633"/>
    <cellStyle name="Normal 4 8 3 3" xfId="26634"/>
    <cellStyle name="Normal 4 8 3 3 2" xfId="26635"/>
    <cellStyle name="Normal 4 8 3 4" xfId="26636"/>
    <cellStyle name="Normal 4 8 4" xfId="26637"/>
    <cellStyle name="Normal 4 8 4 2" xfId="26638"/>
    <cellStyle name="Normal 4 8 4 2 2" xfId="26639"/>
    <cellStyle name="Normal 4 8 4 3" xfId="26640"/>
    <cellStyle name="Normal 4 8 5" xfId="26641"/>
    <cellStyle name="Normal 4 8 5 2" xfId="26642"/>
    <cellStyle name="Normal 4 8 6" xfId="26643"/>
    <cellStyle name="Normal 4 9" xfId="26644"/>
    <cellStyle name="Normal 4 9 2" xfId="26645"/>
    <cellStyle name="Normal 4 9 2 2" xfId="26646"/>
    <cellStyle name="Normal 4 9 2 2 2" xfId="26647"/>
    <cellStyle name="Normal 4 9 2 3" xfId="26648"/>
    <cellStyle name="Normal 4 9 3" xfId="26649"/>
    <cellStyle name="Normal 4 9 3 2" xfId="26650"/>
    <cellStyle name="Normal 4 9 4" xfId="26651"/>
    <cellStyle name="Normal 5" xfId="26652"/>
    <cellStyle name="Normal 6" xfId="26653"/>
    <cellStyle name="Normal 6 10" xfId="26654"/>
    <cellStyle name="Normal 6 10 2" xfId="26655"/>
    <cellStyle name="Normal 6 10 2 2" xfId="26656"/>
    <cellStyle name="Normal 6 10 2 2 2" xfId="26657"/>
    <cellStyle name="Normal 6 10 2 3" xfId="26658"/>
    <cellStyle name="Normal 6 10 3" xfId="26659"/>
    <cellStyle name="Normal 6 10 3 2" xfId="26660"/>
    <cellStyle name="Normal 6 10 4" xfId="26661"/>
    <cellStyle name="Normal 6 11" xfId="26662"/>
    <cellStyle name="Normal 6 11 2" xfId="26663"/>
    <cellStyle name="Normal 6 11 2 2" xfId="26664"/>
    <cellStyle name="Normal 6 11 2 2 2" xfId="26665"/>
    <cellStyle name="Normal 6 11 2 3" xfId="26666"/>
    <cellStyle name="Normal 6 11 3" xfId="26667"/>
    <cellStyle name="Normal 6 11 3 2" xfId="26668"/>
    <cellStyle name="Normal 6 11 4" xfId="26669"/>
    <cellStyle name="Normal 6 12" xfId="26670"/>
    <cellStyle name="Normal 6 12 2" xfId="26671"/>
    <cellStyle name="Normal 6 12 2 2" xfId="26672"/>
    <cellStyle name="Normal 6 12 3" xfId="26673"/>
    <cellStyle name="Normal 6 13" xfId="26674"/>
    <cellStyle name="Normal 6 13 2" xfId="26675"/>
    <cellStyle name="Normal 6 14" xfId="26676"/>
    <cellStyle name="Normal 6 2" xfId="26677"/>
    <cellStyle name="Normal 6 2 10" xfId="26678"/>
    <cellStyle name="Normal 6 2 10 2" xfId="26679"/>
    <cellStyle name="Normal 6 2 10 2 2" xfId="26680"/>
    <cellStyle name="Normal 6 2 10 2 2 2" xfId="26681"/>
    <cellStyle name="Normal 6 2 10 2 3" xfId="26682"/>
    <cellStyle name="Normal 6 2 10 3" xfId="26683"/>
    <cellStyle name="Normal 6 2 10 3 2" xfId="26684"/>
    <cellStyle name="Normal 6 2 10 4" xfId="26685"/>
    <cellStyle name="Normal 6 2 11" xfId="26686"/>
    <cellStyle name="Normal 6 2 11 2" xfId="26687"/>
    <cellStyle name="Normal 6 2 11 2 2" xfId="26688"/>
    <cellStyle name="Normal 6 2 11 3" xfId="26689"/>
    <cellStyle name="Normal 6 2 12" xfId="26690"/>
    <cellStyle name="Normal 6 2 12 2" xfId="26691"/>
    <cellStyle name="Normal 6 2 13" xfId="26692"/>
    <cellStyle name="Normal 6 2 2" xfId="26693"/>
    <cellStyle name="Normal 6 2 2 10" xfId="26694"/>
    <cellStyle name="Normal 6 2 2 10 2" xfId="26695"/>
    <cellStyle name="Normal 6 2 2 11" xfId="26696"/>
    <cellStyle name="Normal 6 2 2 2" xfId="26697"/>
    <cellStyle name="Normal 6 2 2 2 10" xfId="26698"/>
    <cellStyle name="Normal 6 2 2 2 2" xfId="26699"/>
    <cellStyle name="Normal 6 2 2 2 2 2" xfId="26700"/>
    <cellStyle name="Normal 6 2 2 2 2 2 2" xfId="26701"/>
    <cellStyle name="Normal 6 2 2 2 2 2 2 2" xfId="26702"/>
    <cellStyle name="Normal 6 2 2 2 2 2 2 2 2" xfId="26703"/>
    <cellStyle name="Normal 6 2 2 2 2 2 2 2 2 2" xfId="26704"/>
    <cellStyle name="Normal 6 2 2 2 2 2 2 2 2 2 2" xfId="26705"/>
    <cellStyle name="Normal 6 2 2 2 2 2 2 2 2 3" xfId="26706"/>
    <cellStyle name="Normal 6 2 2 2 2 2 2 2 3" xfId="26707"/>
    <cellStyle name="Normal 6 2 2 2 2 2 2 2 3 2" xfId="26708"/>
    <cellStyle name="Normal 6 2 2 2 2 2 2 2 4" xfId="26709"/>
    <cellStyle name="Normal 6 2 2 2 2 2 2 3" xfId="26710"/>
    <cellStyle name="Normal 6 2 2 2 2 2 2 3 2" xfId="26711"/>
    <cellStyle name="Normal 6 2 2 2 2 2 2 3 2 2" xfId="26712"/>
    <cellStyle name="Normal 6 2 2 2 2 2 2 3 2 2 2" xfId="26713"/>
    <cellStyle name="Normal 6 2 2 2 2 2 2 3 2 3" xfId="26714"/>
    <cellStyle name="Normal 6 2 2 2 2 2 2 3 3" xfId="26715"/>
    <cellStyle name="Normal 6 2 2 2 2 2 2 3 3 2" xfId="26716"/>
    <cellStyle name="Normal 6 2 2 2 2 2 2 3 4" xfId="26717"/>
    <cellStyle name="Normal 6 2 2 2 2 2 2 4" xfId="26718"/>
    <cellStyle name="Normal 6 2 2 2 2 2 2 4 2" xfId="26719"/>
    <cellStyle name="Normal 6 2 2 2 2 2 2 4 2 2" xfId="26720"/>
    <cellStyle name="Normal 6 2 2 2 2 2 2 4 3" xfId="26721"/>
    <cellStyle name="Normal 6 2 2 2 2 2 2 5" xfId="26722"/>
    <cellStyle name="Normal 6 2 2 2 2 2 2 5 2" xfId="26723"/>
    <cellStyle name="Normal 6 2 2 2 2 2 2 6" xfId="26724"/>
    <cellStyle name="Normal 6 2 2 2 2 2 3" xfId="26725"/>
    <cellStyle name="Normal 6 2 2 2 2 2 3 2" xfId="26726"/>
    <cellStyle name="Normal 6 2 2 2 2 2 3 2 2" xfId="26727"/>
    <cellStyle name="Normal 6 2 2 2 2 2 3 2 2 2" xfId="26728"/>
    <cellStyle name="Normal 6 2 2 2 2 2 3 2 3" xfId="26729"/>
    <cellStyle name="Normal 6 2 2 2 2 2 3 3" xfId="26730"/>
    <cellStyle name="Normal 6 2 2 2 2 2 3 3 2" xfId="26731"/>
    <cellStyle name="Normal 6 2 2 2 2 2 3 4" xfId="26732"/>
    <cellStyle name="Normal 6 2 2 2 2 2 4" xfId="26733"/>
    <cellStyle name="Normal 6 2 2 2 2 2 4 2" xfId="26734"/>
    <cellStyle name="Normal 6 2 2 2 2 2 4 2 2" xfId="26735"/>
    <cellStyle name="Normal 6 2 2 2 2 2 4 2 2 2" xfId="26736"/>
    <cellStyle name="Normal 6 2 2 2 2 2 4 2 3" xfId="26737"/>
    <cellStyle name="Normal 6 2 2 2 2 2 4 3" xfId="26738"/>
    <cellStyle name="Normal 6 2 2 2 2 2 4 3 2" xfId="26739"/>
    <cellStyle name="Normal 6 2 2 2 2 2 4 4" xfId="26740"/>
    <cellStyle name="Normal 6 2 2 2 2 2 5" xfId="26741"/>
    <cellStyle name="Normal 6 2 2 2 2 2 5 2" xfId="26742"/>
    <cellStyle name="Normal 6 2 2 2 2 2 5 2 2" xfId="26743"/>
    <cellStyle name="Normal 6 2 2 2 2 2 5 3" xfId="26744"/>
    <cellStyle name="Normal 6 2 2 2 2 2 6" xfId="26745"/>
    <cellStyle name="Normal 6 2 2 2 2 2 6 2" xfId="26746"/>
    <cellStyle name="Normal 6 2 2 2 2 2 7" xfId="26747"/>
    <cellStyle name="Normal 6 2 2 2 2 3" xfId="26748"/>
    <cellStyle name="Normal 6 2 2 2 2 3 2" xfId="26749"/>
    <cellStyle name="Normal 6 2 2 2 2 3 2 2" xfId="26750"/>
    <cellStyle name="Normal 6 2 2 2 2 3 2 2 2" xfId="26751"/>
    <cellStyle name="Normal 6 2 2 2 2 3 2 2 2 2" xfId="26752"/>
    <cellStyle name="Normal 6 2 2 2 2 3 2 2 3" xfId="26753"/>
    <cellStyle name="Normal 6 2 2 2 2 3 2 3" xfId="26754"/>
    <cellStyle name="Normal 6 2 2 2 2 3 2 3 2" xfId="26755"/>
    <cellStyle name="Normal 6 2 2 2 2 3 2 4" xfId="26756"/>
    <cellStyle name="Normal 6 2 2 2 2 3 3" xfId="26757"/>
    <cellStyle name="Normal 6 2 2 2 2 3 3 2" xfId="26758"/>
    <cellStyle name="Normal 6 2 2 2 2 3 3 2 2" xfId="26759"/>
    <cellStyle name="Normal 6 2 2 2 2 3 3 2 2 2" xfId="26760"/>
    <cellStyle name="Normal 6 2 2 2 2 3 3 2 3" xfId="26761"/>
    <cellStyle name="Normal 6 2 2 2 2 3 3 3" xfId="26762"/>
    <cellStyle name="Normal 6 2 2 2 2 3 3 3 2" xfId="26763"/>
    <cellStyle name="Normal 6 2 2 2 2 3 3 4" xfId="26764"/>
    <cellStyle name="Normal 6 2 2 2 2 3 4" xfId="26765"/>
    <cellStyle name="Normal 6 2 2 2 2 3 4 2" xfId="26766"/>
    <cellStyle name="Normal 6 2 2 2 2 3 4 2 2" xfId="26767"/>
    <cellStyle name="Normal 6 2 2 2 2 3 4 3" xfId="26768"/>
    <cellStyle name="Normal 6 2 2 2 2 3 5" xfId="26769"/>
    <cellStyle name="Normal 6 2 2 2 2 3 5 2" xfId="26770"/>
    <cellStyle name="Normal 6 2 2 2 2 3 6" xfId="26771"/>
    <cellStyle name="Normal 6 2 2 2 2 4" xfId="26772"/>
    <cellStyle name="Normal 6 2 2 2 2 4 2" xfId="26773"/>
    <cellStyle name="Normal 6 2 2 2 2 4 2 2" xfId="26774"/>
    <cellStyle name="Normal 6 2 2 2 2 4 2 2 2" xfId="26775"/>
    <cellStyle name="Normal 6 2 2 2 2 4 2 3" xfId="26776"/>
    <cellStyle name="Normal 6 2 2 2 2 4 3" xfId="26777"/>
    <cellStyle name="Normal 6 2 2 2 2 4 3 2" xfId="26778"/>
    <cellStyle name="Normal 6 2 2 2 2 4 4" xfId="26779"/>
    <cellStyle name="Normal 6 2 2 2 2 5" xfId="26780"/>
    <cellStyle name="Normal 6 2 2 2 2 5 2" xfId="26781"/>
    <cellStyle name="Normal 6 2 2 2 2 5 2 2" xfId="26782"/>
    <cellStyle name="Normal 6 2 2 2 2 5 2 2 2" xfId="26783"/>
    <cellStyle name="Normal 6 2 2 2 2 5 2 3" xfId="26784"/>
    <cellStyle name="Normal 6 2 2 2 2 5 3" xfId="26785"/>
    <cellStyle name="Normal 6 2 2 2 2 5 3 2" xfId="26786"/>
    <cellStyle name="Normal 6 2 2 2 2 5 4" xfId="26787"/>
    <cellStyle name="Normal 6 2 2 2 2 6" xfId="26788"/>
    <cellStyle name="Normal 6 2 2 2 2 6 2" xfId="26789"/>
    <cellStyle name="Normal 6 2 2 2 2 6 2 2" xfId="26790"/>
    <cellStyle name="Normal 6 2 2 2 2 6 2 2 2" xfId="26791"/>
    <cellStyle name="Normal 6 2 2 2 2 6 2 3" xfId="26792"/>
    <cellStyle name="Normal 6 2 2 2 2 6 3" xfId="26793"/>
    <cellStyle name="Normal 6 2 2 2 2 6 3 2" xfId="26794"/>
    <cellStyle name="Normal 6 2 2 2 2 6 4" xfId="26795"/>
    <cellStyle name="Normal 6 2 2 2 2 7" xfId="26796"/>
    <cellStyle name="Normal 6 2 2 2 2 7 2" xfId="26797"/>
    <cellStyle name="Normal 6 2 2 2 2 7 2 2" xfId="26798"/>
    <cellStyle name="Normal 6 2 2 2 2 7 3" xfId="26799"/>
    <cellStyle name="Normal 6 2 2 2 2 8" xfId="26800"/>
    <cellStyle name="Normal 6 2 2 2 2 8 2" xfId="26801"/>
    <cellStyle name="Normal 6 2 2 2 2 9" xfId="26802"/>
    <cellStyle name="Normal 6 2 2 2 3" xfId="26803"/>
    <cellStyle name="Normal 6 2 2 2 3 2" xfId="26804"/>
    <cellStyle name="Normal 6 2 2 2 3 2 2" xfId="26805"/>
    <cellStyle name="Normal 6 2 2 2 3 2 2 2" xfId="26806"/>
    <cellStyle name="Normal 6 2 2 2 3 2 2 2 2" xfId="26807"/>
    <cellStyle name="Normal 6 2 2 2 3 2 2 2 2 2" xfId="26808"/>
    <cellStyle name="Normal 6 2 2 2 3 2 2 2 3" xfId="26809"/>
    <cellStyle name="Normal 6 2 2 2 3 2 2 3" xfId="26810"/>
    <cellStyle name="Normal 6 2 2 2 3 2 2 3 2" xfId="26811"/>
    <cellStyle name="Normal 6 2 2 2 3 2 2 4" xfId="26812"/>
    <cellStyle name="Normal 6 2 2 2 3 2 3" xfId="26813"/>
    <cellStyle name="Normal 6 2 2 2 3 2 3 2" xfId="26814"/>
    <cellStyle name="Normal 6 2 2 2 3 2 3 2 2" xfId="26815"/>
    <cellStyle name="Normal 6 2 2 2 3 2 3 2 2 2" xfId="26816"/>
    <cellStyle name="Normal 6 2 2 2 3 2 3 2 3" xfId="26817"/>
    <cellStyle name="Normal 6 2 2 2 3 2 3 3" xfId="26818"/>
    <cellStyle name="Normal 6 2 2 2 3 2 3 3 2" xfId="26819"/>
    <cellStyle name="Normal 6 2 2 2 3 2 3 4" xfId="26820"/>
    <cellStyle name="Normal 6 2 2 2 3 2 4" xfId="26821"/>
    <cellStyle name="Normal 6 2 2 2 3 2 4 2" xfId="26822"/>
    <cellStyle name="Normal 6 2 2 2 3 2 4 2 2" xfId="26823"/>
    <cellStyle name="Normal 6 2 2 2 3 2 4 3" xfId="26824"/>
    <cellStyle name="Normal 6 2 2 2 3 2 5" xfId="26825"/>
    <cellStyle name="Normal 6 2 2 2 3 2 5 2" xfId="26826"/>
    <cellStyle name="Normal 6 2 2 2 3 2 6" xfId="26827"/>
    <cellStyle name="Normal 6 2 2 2 3 3" xfId="26828"/>
    <cellStyle name="Normal 6 2 2 2 3 3 2" xfId="26829"/>
    <cellStyle name="Normal 6 2 2 2 3 3 2 2" xfId="26830"/>
    <cellStyle name="Normal 6 2 2 2 3 3 2 2 2" xfId="26831"/>
    <cellStyle name="Normal 6 2 2 2 3 3 2 3" xfId="26832"/>
    <cellStyle name="Normal 6 2 2 2 3 3 3" xfId="26833"/>
    <cellStyle name="Normal 6 2 2 2 3 3 3 2" xfId="26834"/>
    <cellStyle name="Normal 6 2 2 2 3 3 4" xfId="26835"/>
    <cellStyle name="Normal 6 2 2 2 3 4" xfId="26836"/>
    <cellStyle name="Normal 6 2 2 2 3 4 2" xfId="26837"/>
    <cellStyle name="Normal 6 2 2 2 3 4 2 2" xfId="26838"/>
    <cellStyle name="Normal 6 2 2 2 3 4 2 2 2" xfId="26839"/>
    <cellStyle name="Normal 6 2 2 2 3 4 2 3" xfId="26840"/>
    <cellStyle name="Normal 6 2 2 2 3 4 3" xfId="26841"/>
    <cellStyle name="Normal 6 2 2 2 3 4 3 2" xfId="26842"/>
    <cellStyle name="Normal 6 2 2 2 3 4 4" xfId="26843"/>
    <cellStyle name="Normal 6 2 2 2 3 5" xfId="26844"/>
    <cellStyle name="Normal 6 2 2 2 3 5 2" xfId="26845"/>
    <cellStyle name="Normal 6 2 2 2 3 5 2 2" xfId="26846"/>
    <cellStyle name="Normal 6 2 2 2 3 5 3" xfId="26847"/>
    <cellStyle name="Normal 6 2 2 2 3 6" xfId="26848"/>
    <cellStyle name="Normal 6 2 2 2 3 6 2" xfId="26849"/>
    <cellStyle name="Normal 6 2 2 2 3 7" xfId="26850"/>
    <cellStyle name="Normal 6 2 2 2 4" xfId="26851"/>
    <cellStyle name="Normal 6 2 2 2 4 2" xfId="26852"/>
    <cellStyle name="Normal 6 2 2 2 4 2 2" xfId="26853"/>
    <cellStyle name="Normal 6 2 2 2 4 2 2 2" xfId="26854"/>
    <cellStyle name="Normal 6 2 2 2 4 2 2 2 2" xfId="26855"/>
    <cellStyle name="Normal 6 2 2 2 4 2 2 3" xfId="26856"/>
    <cellStyle name="Normal 6 2 2 2 4 2 3" xfId="26857"/>
    <cellStyle name="Normal 6 2 2 2 4 2 3 2" xfId="26858"/>
    <cellStyle name="Normal 6 2 2 2 4 2 4" xfId="26859"/>
    <cellStyle name="Normal 6 2 2 2 4 3" xfId="26860"/>
    <cellStyle name="Normal 6 2 2 2 4 3 2" xfId="26861"/>
    <cellStyle name="Normal 6 2 2 2 4 3 2 2" xfId="26862"/>
    <cellStyle name="Normal 6 2 2 2 4 3 2 2 2" xfId="26863"/>
    <cellStyle name="Normal 6 2 2 2 4 3 2 3" xfId="26864"/>
    <cellStyle name="Normal 6 2 2 2 4 3 3" xfId="26865"/>
    <cellStyle name="Normal 6 2 2 2 4 3 3 2" xfId="26866"/>
    <cellStyle name="Normal 6 2 2 2 4 3 4" xfId="26867"/>
    <cellStyle name="Normal 6 2 2 2 4 4" xfId="26868"/>
    <cellStyle name="Normal 6 2 2 2 4 4 2" xfId="26869"/>
    <cellStyle name="Normal 6 2 2 2 4 4 2 2" xfId="26870"/>
    <cellStyle name="Normal 6 2 2 2 4 4 3" xfId="26871"/>
    <cellStyle name="Normal 6 2 2 2 4 5" xfId="26872"/>
    <cellStyle name="Normal 6 2 2 2 4 5 2" xfId="26873"/>
    <cellStyle name="Normal 6 2 2 2 4 6" xfId="26874"/>
    <cellStyle name="Normal 6 2 2 2 5" xfId="26875"/>
    <cellStyle name="Normal 6 2 2 2 5 2" xfId="26876"/>
    <cellStyle name="Normal 6 2 2 2 5 2 2" xfId="26877"/>
    <cellStyle name="Normal 6 2 2 2 5 2 2 2" xfId="26878"/>
    <cellStyle name="Normal 6 2 2 2 5 2 3" xfId="26879"/>
    <cellStyle name="Normal 6 2 2 2 5 3" xfId="26880"/>
    <cellStyle name="Normal 6 2 2 2 5 3 2" xfId="26881"/>
    <cellStyle name="Normal 6 2 2 2 5 4" xfId="26882"/>
    <cellStyle name="Normal 6 2 2 2 6" xfId="26883"/>
    <cellStyle name="Normal 6 2 2 2 6 2" xfId="26884"/>
    <cellStyle name="Normal 6 2 2 2 6 2 2" xfId="26885"/>
    <cellStyle name="Normal 6 2 2 2 6 2 2 2" xfId="26886"/>
    <cellStyle name="Normal 6 2 2 2 6 2 3" xfId="26887"/>
    <cellStyle name="Normal 6 2 2 2 6 3" xfId="26888"/>
    <cellStyle name="Normal 6 2 2 2 6 3 2" xfId="26889"/>
    <cellStyle name="Normal 6 2 2 2 6 4" xfId="26890"/>
    <cellStyle name="Normal 6 2 2 2 7" xfId="26891"/>
    <cellStyle name="Normal 6 2 2 2 7 2" xfId="26892"/>
    <cellStyle name="Normal 6 2 2 2 7 2 2" xfId="26893"/>
    <cellStyle name="Normal 6 2 2 2 7 2 2 2" xfId="26894"/>
    <cellStyle name="Normal 6 2 2 2 7 2 3" xfId="26895"/>
    <cellStyle name="Normal 6 2 2 2 7 3" xfId="26896"/>
    <cellStyle name="Normal 6 2 2 2 7 3 2" xfId="26897"/>
    <cellStyle name="Normal 6 2 2 2 7 4" xfId="26898"/>
    <cellStyle name="Normal 6 2 2 2 8" xfId="26899"/>
    <cellStyle name="Normal 6 2 2 2 8 2" xfId="26900"/>
    <cellStyle name="Normal 6 2 2 2 8 2 2" xfId="26901"/>
    <cellStyle name="Normal 6 2 2 2 8 3" xfId="26902"/>
    <cellStyle name="Normal 6 2 2 2 9" xfId="26903"/>
    <cellStyle name="Normal 6 2 2 2 9 2" xfId="26904"/>
    <cellStyle name="Normal 6 2 2 3" xfId="26905"/>
    <cellStyle name="Normal 6 2 2 3 2" xfId="26906"/>
    <cellStyle name="Normal 6 2 2 3 2 2" xfId="26907"/>
    <cellStyle name="Normal 6 2 2 3 2 2 2" xfId="26908"/>
    <cellStyle name="Normal 6 2 2 3 2 2 2 2" xfId="26909"/>
    <cellStyle name="Normal 6 2 2 3 2 2 2 2 2" xfId="26910"/>
    <cellStyle name="Normal 6 2 2 3 2 2 2 2 2 2" xfId="26911"/>
    <cellStyle name="Normal 6 2 2 3 2 2 2 2 3" xfId="26912"/>
    <cellStyle name="Normal 6 2 2 3 2 2 2 3" xfId="26913"/>
    <cellStyle name="Normal 6 2 2 3 2 2 2 3 2" xfId="26914"/>
    <cellStyle name="Normal 6 2 2 3 2 2 2 4" xfId="26915"/>
    <cellStyle name="Normal 6 2 2 3 2 2 3" xfId="26916"/>
    <cellStyle name="Normal 6 2 2 3 2 2 3 2" xfId="26917"/>
    <cellStyle name="Normal 6 2 2 3 2 2 3 2 2" xfId="26918"/>
    <cellStyle name="Normal 6 2 2 3 2 2 3 2 2 2" xfId="26919"/>
    <cellStyle name="Normal 6 2 2 3 2 2 3 2 3" xfId="26920"/>
    <cellStyle name="Normal 6 2 2 3 2 2 3 3" xfId="26921"/>
    <cellStyle name="Normal 6 2 2 3 2 2 3 3 2" xfId="26922"/>
    <cellStyle name="Normal 6 2 2 3 2 2 3 4" xfId="26923"/>
    <cellStyle name="Normal 6 2 2 3 2 2 4" xfId="26924"/>
    <cellStyle name="Normal 6 2 2 3 2 2 4 2" xfId="26925"/>
    <cellStyle name="Normal 6 2 2 3 2 2 4 2 2" xfId="26926"/>
    <cellStyle name="Normal 6 2 2 3 2 2 4 3" xfId="26927"/>
    <cellStyle name="Normal 6 2 2 3 2 2 5" xfId="26928"/>
    <cellStyle name="Normal 6 2 2 3 2 2 5 2" xfId="26929"/>
    <cellStyle name="Normal 6 2 2 3 2 2 6" xfId="26930"/>
    <cellStyle name="Normal 6 2 2 3 2 3" xfId="26931"/>
    <cellStyle name="Normal 6 2 2 3 2 3 2" xfId="26932"/>
    <cellStyle name="Normal 6 2 2 3 2 3 2 2" xfId="26933"/>
    <cellStyle name="Normal 6 2 2 3 2 3 2 2 2" xfId="26934"/>
    <cellStyle name="Normal 6 2 2 3 2 3 2 3" xfId="26935"/>
    <cellStyle name="Normal 6 2 2 3 2 3 3" xfId="26936"/>
    <cellStyle name="Normal 6 2 2 3 2 3 3 2" xfId="26937"/>
    <cellStyle name="Normal 6 2 2 3 2 3 4" xfId="26938"/>
    <cellStyle name="Normal 6 2 2 3 2 4" xfId="26939"/>
    <cellStyle name="Normal 6 2 2 3 2 4 2" xfId="26940"/>
    <cellStyle name="Normal 6 2 2 3 2 4 2 2" xfId="26941"/>
    <cellStyle name="Normal 6 2 2 3 2 4 2 2 2" xfId="26942"/>
    <cellStyle name="Normal 6 2 2 3 2 4 2 3" xfId="26943"/>
    <cellStyle name="Normal 6 2 2 3 2 4 3" xfId="26944"/>
    <cellStyle name="Normal 6 2 2 3 2 4 3 2" xfId="26945"/>
    <cellStyle name="Normal 6 2 2 3 2 4 4" xfId="26946"/>
    <cellStyle name="Normal 6 2 2 3 2 5" xfId="26947"/>
    <cellStyle name="Normal 6 2 2 3 2 5 2" xfId="26948"/>
    <cellStyle name="Normal 6 2 2 3 2 5 2 2" xfId="26949"/>
    <cellStyle name="Normal 6 2 2 3 2 5 3" xfId="26950"/>
    <cellStyle name="Normal 6 2 2 3 2 6" xfId="26951"/>
    <cellStyle name="Normal 6 2 2 3 2 6 2" xfId="26952"/>
    <cellStyle name="Normal 6 2 2 3 2 7" xfId="26953"/>
    <cellStyle name="Normal 6 2 2 3 3" xfId="26954"/>
    <cellStyle name="Normal 6 2 2 3 3 2" xfId="26955"/>
    <cellStyle name="Normal 6 2 2 3 3 2 2" xfId="26956"/>
    <cellStyle name="Normal 6 2 2 3 3 2 2 2" xfId="26957"/>
    <cellStyle name="Normal 6 2 2 3 3 2 2 2 2" xfId="26958"/>
    <cellStyle name="Normal 6 2 2 3 3 2 2 3" xfId="26959"/>
    <cellStyle name="Normal 6 2 2 3 3 2 3" xfId="26960"/>
    <cellStyle name="Normal 6 2 2 3 3 2 3 2" xfId="26961"/>
    <cellStyle name="Normal 6 2 2 3 3 2 4" xfId="26962"/>
    <cellStyle name="Normal 6 2 2 3 3 3" xfId="26963"/>
    <cellStyle name="Normal 6 2 2 3 3 3 2" xfId="26964"/>
    <cellStyle name="Normal 6 2 2 3 3 3 2 2" xfId="26965"/>
    <cellStyle name="Normal 6 2 2 3 3 3 2 2 2" xfId="26966"/>
    <cellStyle name="Normal 6 2 2 3 3 3 2 3" xfId="26967"/>
    <cellStyle name="Normal 6 2 2 3 3 3 3" xfId="26968"/>
    <cellStyle name="Normal 6 2 2 3 3 3 3 2" xfId="26969"/>
    <cellStyle name="Normal 6 2 2 3 3 3 4" xfId="26970"/>
    <cellStyle name="Normal 6 2 2 3 3 4" xfId="26971"/>
    <cellStyle name="Normal 6 2 2 3 3 4 2" xfId="26972"/>
    <cellStyle name="Normal 6 2 2 3 3 4 2 2" xfId="26973"/>
    <cellStyle name="Normal 6 2 2 3 3 4 3" xfId="26974"/>
    <cellStyle name="Normal 6 2 2 3 3 5" xfId="26975"/>
    <cellStyle name="Normal 6 2 2 3 3 5 2" xfId="26976"/>
    <cellStyle name="Normal 6 2 2 3 3 6" xfId="26977"/>
    <cellStyle name="Normal 6 2 2 3 4" xfId="26978"/>
    <cellStyle name="Normal 6 2 2 3 4 2" xfId="26979"/>
    <cellStyle name="Normal 6 2 2 3 4 2 2" xfId="26980"/>
    <cellStyle name="Normal 6 2 2 3 4 2 2 2" xfId="26981"/>
    <cellStyle name="Normal 6 2 2 3 4 2 3" xfId="26982"/>
    <cellStyle name="Normal 6 2 2 3 4 3" xfId="26983"/>
    <cellStyle name="Normal 6 2 2 3 4 3 2" xfId="26984"/>
    <cellStyle name="Normal 6 2 2 3 4 4" xfId="26985"/>
    <cellStyle name="Normal 6 2 2 3 5" xfId="26986"/>
    <cellStyle name="Normal 6 2 2 3 5 2" xfId="26987"/>
    <cellStyle name="Normal 6 2 2 3 5 2 2" xfId="26988"/>
    <cellStyle name="Normal 6 2 2 3 5 2 2 2" xfId="26989"/>
    <cellStyle name="Normal 6 2 2 3 5 2 3" xfId="26990"/>
    <cellStyle name="Normal 6 2 2 3 5 3" xfId="26991"/>
    <cellStyle name="Normal 6 2 2 3 5 3 2" xfId="26992"/>
    <cellStyle name="Normal 6 2 2 3 5 4" xfId="26993"/>
    <cellStyle name="Normal 6 2 2 3 6" xfId="26994"/>
    <cellStyle name="Normal 6 2 2 3 6 2" xfId="26995"/>
    <cellStyle name="Normal 6 2 2 3 6 2 2" xfId="26996"/>
    <cellStyle name="Normal 6 2 2 3 6 2 2 2" xfId="26997"/>
    <cellStyle name="Normal 6 2 2 3 6 2 3" xfId="26998"/>
    <cellStyle name="Normal 6 2 2 3 6 3" xfId="26999"/>
    <cellStyle name="Normal 6 2 2 3 6 3 2" xfId="27000"/>
    <cellStyle name="Normal 6 2 2 3 6 4" xfId="27001"/>
    <cellStyle name="Normal 6 2 2 3 7" xfId="27002"/>
    <cellStyle name="Normal 6 2 2 3 7 2" xfId="27003"/>
    <cellStyle name="Normal 6 2 2 3 7 2 2" xfId="27004"/>
    <cellStyle name="Normal 6 2 2 3 7 3" xfId="27005"/>
    <cellStyle name="Normal 6 2 2 3 8" xfId="27006"/>
    <cellStyle name="Normal 6 2 2 3 8 2" xfId="27007"/>
    <cellStyle name="Normal 6 2 2 3 9" xfId="27008"/>
    <cellStyle name="Normal 6 2 2 4" xfId="27009"/>
    <cellStyle name="Normal 6 2 2 4 2" xfId="27010"/>
    <cellStyle name="Normal 6 2 2 4 2 2" xfId="27011"/>
    <cellStyle name="Normal 6 2 2 4 2 2 2" xfId="27012"/>
    <cellStyle name="Normal 6 2 2 4 2 2 2 2" xfId="27013"/>
    <cellStyle name="Normal 6 2 2 4 2 2 2 2 2" xfId="27014"/>
    <cellStyle name="Normal 6 2 2 4 2 2 2 3" xfId="27015"/>
    <cellStyle name="Normal 6 2 2 4 2 2 3" xfId="27016"/>
    <cellStyle name="Normal 6 2 2 4 2 2 3 2" xfId="27017"/>
    <cellStyle name="Normal 6 2 2 4 2 2 4" xfId="27018"/>
    <cellStyle name="Normal 6 2 2 4 2 3" xfId="27019"/>
    <cellStyle name="Normal 6 2 2 4 2 3 2" xfId="27020"/>
    <cellStyle name="Normal 6 2 2 4 2 3 2 2" xfId="27021"/>
    <cellStyle name="Normal 6 2 2 4 2 3 2 2 2" xfId="27022"/>
    <cellStyle name="Normal 6 2 2 4 2 3 2 3" xfId="27023"/>
    <cellStyle name="Normal 6 2 2 4 2 3 3" xfId="27024"/>
    <cellStyle name="Normal 6 2 2 4 2 3 3 2" xfId="27025"/>
    <cellStyle name="Normal 6 2 2 4 2 3 4" xfId="27026"/>
    <cellStyle name="Normal 6 2 2 4 2 4" xfId="27027"/>
    <cellStyle name="Normal 6 2 2 4 2 4 2" xfId="27028"/>
    <cellStyle name="Normal 6 2 2 4 2 4 2 2" xfId="27029"/>
    <cellStyle name="Normal 6 2 2 4 2 4 3" xfId="27030"/>
    <cellStyle name="Normal 6 2 2 4 2 5" xfId="27031"/>
    <cellStyle name="Normal 6 2 2 4 2 5 2" xfId="27032"/>
    <cellStyle name="Normal 6 2 2 4 2 6" xfId="27033"/>
    <cellStyle name="Normal 6 2 2 4 3" xfId="27034"/>
    <cellStyle name="Normal 6 2 2 4 3 2" xfId="27035"/>
    <cellStyle name="Normal 6 2 2 4 3 2 2" xfId="27036"/>
    <cellStyle name="Normal 6 2 2 4 3 2 2 2" xfId="27037"/>
    <cellStyle name="Normal 6 2 2 4 3 2 3" xfId="27038"/>
    <cellStyle name="Normal 6 2 2 4 3 3" xfId="27039"/>
    <cellStyle name="Normal 6 2 2 4 3 3 2" xfId="27040"/>
    <cellStyle name="Normal 6 2 2 4 3 4" xfId="27041"/>
    <cellStyle name="Normal 6 2 2 4 4" xfId="27042"/>
    <cellStyle name="Normal 6 2 2 4 4 2" xfId="27043"/>
    <cellStyle name="Normal 6 2 2 4 4 2 2" xfId="27044"/>
    <cellStyle name="Normal 6 2 2 4 4 2 2 2" xfId="27045"/>
    <cellStyle name="Normal 6 2 2 4 4 2 3" xfId="27046"/>
    <cellStyle name="Normal 6 2 2 4 4 3" xfId="27047"/>
    <cellStyle name="Normal 6 2 2 4 4 3 2" xfId="27048"/>
    <cellStyle name="Normal 6 2 2 4 4 4" xfId="27049"/>
    <cellStyle name="Normal 6 2 2 4 5" xfId="27050"/>
    <cellStyle name="Normal 6 2 2 4 5 2" xfId="27051"/>
    <cellStyle name="Normal 6 2 2 4 5 2 2" xfId="27052"/>
    <cellStyle name="Normal 6 2 2 4 5 3" xfId="27053"/>
    <cellStyle name="Normal 6 2 2 4 6" xfId="27054"/>
    <cellStyle name="Normal 6 2 2 4 6 2" xfId="27055"/>
    <cellStyle name="Normal 6 2 2 4 7" xfId="27056"/>
    <cellStyle name="Normal 6 2 2 5" xfId="27057"/>
    <cellStyle name="Normal 6 2 2 5 2" xfId="27058"/>
    <cellStyle name="Normal 6 2 2 5 2 2" xfId="27059"/>
    <cellStyle name="Normal 6 2 2 5 2 2 2" xfId="27060"/>
    <cellStyle name="Normal 6 2 2 5 2 2 2 2" xfId="27061"/>
    <cellStyle name="Normal 6 2 2 5 2 2 3" xfId="27062"/>
    <cellStyle name="Normal 6 2 2 5 2 3" xfId="27063"/>
    <cellStyle name="Normal 6 2 2 5 2 3 2" xfId="27064"/>
    <cellStyle name="Normal 6 2 2 5 2 4" xfId="27065"/>
    <cellStyle name="Normal 6 2 2 5 3" xfId="27066"/>
    <cellStyle name="Normal 6 2 2 5 3 2" xfId="27067"/>
    <cellStyle name="Normal 6 2 2 5 3 2 2" xfId="27068"/>
    <cellStyle name="Normal 6 2 2 5 3 2 2 2" xfId="27069"/>
    <cellStyle name="Normal 6 2 2 5 3 2 3" xfId="27070"/>
    <cellStyle name="Normal 6 2 2 5 3 3" xfId="27071"/>
    <cellStyle name="Normal 6 2 2 5 3 3 2" xfId="27072"/>
    <cellStyle name="Normal 6 2 2 5 3 4" xfId="27073"/>
    <cellStyle name="Normal 6 2 2 5 4" xfId="27074"/>
    <cellStyle name="Normal 6 2 2 5 4 2" xfId="27075"/>
    <cellStyle name="Normal 6 2 2 5 4 2 2" xfId="27076"/>
    <cellStyle name="Normal 6 2 2 5 4 3" xfId="27077"/>
    <cellStyle name="Normal 6 2 2 5 5" xfId="27078"/>
    <cellStyle name="Normal 6 2 2 5 5 2" xfId="27079"/>
    <cellStyle name="Normal 6 2 2 5 6" xfId="27080"/>
    <cellStyle name="Normal 6 2 2 6" xfId="27081"/>
    <cellStyle name="Normal 6 2 2 6 2" xfId="27082"/>
    <cellStyle name="Normal 6 2 2 6 2 2" xfId="27083"/>
    <cellStyle name="Normal 6 2 2 6 2 2 2" xfId="27084"/>
    <cellStyle name="Normal 6 2 2 6 2 3" xfId="27085"/>
    <cellStyle name="Normal 6 2 2 6 3" xfId="27086"/>
    <cellStyle name="Normal 6 2 2 6 3 2" xfId="27087"/>
    <cellStyle name="Normal 6 2 2 6 4" xfId="27088"/>
    <cellStyle name="Normal 6 2 2 7" xfId="27089"/>
    <cellStyle name="Normal 6 2 2 7 2" xfId="27090"/>
    <cellStyle name="Normal 6 2 2 7 2 2" xfId="27091"/>
    <cellStyle name="Normal 6 2 2 7 2 2 2" xfId="27092"/>
    <cellStyle name="Normal 6 2 2 7 2 3" xfId="27093"/>
    <cellStyle name="Normal 6 2 2 7 3" xfId="27094"/>
    <cellStyle name="Normal 6 2 2 7 3 2" xfId="27095"/>
    <cellStyle name="Normal 6 2 2 7 4" xfId="27096"/>
    <cellStyle name="Normal 6 2 2 8" xfId="27097"/>
    <cellStyle name="Normal 6 2 2 8 2" xfId="27098"/>
    <cellStyle name="Normal 6 2 2 8 2 2" xfId="27099"/>
    <cellStyle name="Normal 6 2 2 8 2 2 2" xfId="27100"/>
    <cellStyle name="Normal 6 2 2 8 2 3" xfId="27101"/>
    <cellStyle name="Normal 6 2 2 8 3" xfId="27102"/>
    <cellStyle name="Normal 6 2 2 8 3 2" xfId="27103"/>
    <cellStyle name="Normal 6 2 2 8 4" xfId="27104"/>
    <cellStyle name="Normal 6 2 2 9" xfId="27105"/>
    <cellStyle name="Normal 6 2 2 9 2" xfId="27106"/>
    <cellStyle name="Normal 6 2 2 9 2 2" xfId="27107"/>
    <cellStyle name="Normal 6 2 2 9 3" xfId="27108"/>
    <cellStyle name="Normal 6 2 3" xfId="27109"/>
    <cellStyle name="Normal 6 2 3 10" xfId="27110"/>
    <cellStyle name="Normal 6 2 3 2" xfId="27111"/>
    <cellStyle name="Normal 6 2 3 2 2" xfId="27112"/>
    <cellStyle name="Normal 6 2 3 2 2 2" xfId="27113"/>
    <cellStyle name="Normal 6 2 3 2 2 2 2" xfId="27114"/>
    <cellStyle name="Normal 6 2 3 2 2 2 2 2" xfId="27115"/>
    <cellStyle name="Normal 6 2 3 2 2 2 2 2 2" xfId="27116"/>
    <cellStyle name="Normal 6 2 3 2 2 2 2 2 2 2" xfId="27117"/>
    <cellStyle name="Normal 6 2 3 2 2 2 2 2 3" xfId="27118"/>
    <cellStyle name="Normal 6 2 3 2 2 2 2 3" xfId="27119"/>
    <cellStyle name="Normal 6 2 3 2 2 2 2 3 2" xfId="27120"/>
    <cellStyle name="Normal 6 2 3 2 2 2 2 4" xfId="27121"/>
    <cellStyle name="Normal 6 2 3 2 2 2 3" xfId="27122"/>
    <cellStyle name="Normal 6 2 3 2 2 2 3 2" xfId="27123"/>
    <cellStyle name="Normal 6 2 3 2 2 2 3 2 2" xfId="27124"/>
    <cellStyle name="Normal 6 2 3 2 2 2 3 2 2 2" xfId="27125"/>
    <cellStyle name="Normal 6 2 3 2 2 2 3 2 3" xfId="27126"/>
    <cellStyle name="Normal 6 2 3 2 2 2 3 3" xfId="27127"/>
    <cellStyle name="Normal 6 2 3 2 2 2 3 3 2" xfId="27128"/>
    <cellStyle name="Normal 6 2 3 2 2 2 3 4" xfId="27129"/>
    <cellStyle name="Normal 6 2 3 2 2 2 4" xfId="27130"/>
    <cellStyle name="Normal 6 2 3 2 2 2 4 2" xfId="27131"/>
    <cellStyle name="Normal 6 2 3 2 2 2 4 2 2" xfId="27132"/>
    <cellStyle name="Normal 6 2 3 2 2 2 4 3" xfId="27133"/>
    <cellStyle name="Normal 6 2 3 2 2 2 5" xfId="27134"/>
    <cellStyle name="Normal 6 2 3 2 2 2 5 2" xfId="27135"/>
    <cellStyle name="Normal 6 2 3 2 2 2 6" xfId="27136"/>
    <cellStyle name="Normal 6 2 3 2 2 3" xfId="27137"/>
    <cellStyle name="Normal 6 2 3 2 2 3 2" xfId="27138"/>
    <cellStyle name="Normal 6 2 3 2 2 3 2 2" xfId="27139"/>
    <cellStyle name="Normal 6 2 3 2 2 3 2 2 2" xfId="27140"/>
    <cellStyle name="Normal 6 2 3 2 2 3 2 3" xfId="27141"/>
    <cellStyle name="Normal 6 2 3 2 2 3 3" xfId="27142"/>
    <cellStyle name="Normal 6 2 3 2 2 3 3 2" xfId="27143"/>
    <cellStyle name="Normal 6 2 3 2 2 3 4" xfId="27144"/>
    <cellStyle name="Normal 6 2 3 2 2 4" xfId="27145"/>
    <cellStyle name="Normal 6 2 3 2 2 4 2" xfId="27146"/>
    <cellStyle name="Normal 6 2 3 2 2 4 2 2" xfId="27147"/>
    <cellStyle name="Normal 6 2 3 2 2 4 2 2 2" xfId="27148"/>
    <cellStyle name="Normal 6 2 3 2 2 4 2 3" xfId="27149"/>
    <cellStyle name="Normal 6 2 3 2 2 4 3" xfId="27150"/>
    <cellStyle name="Normal 6 2 3 2 2 4 3 2" xfId="27151"/>
    <cellStyle name="Normal 6 2 3 2 2 4 4" xfId="27152"/>
    <cellStyle name="Normal 6 2 3 2 2 5" xfId="27153"/>
    <cellStyle name="Normal 6 2 3 2 2 5 2" xfId="27154"/>
    <cellStyle name="Normal 6 2 3 2 2 5 2 2" xfId="27155"/>
    <cellStyle name="Normal 6 2 3 2 2 5 3" xfId="27156"/>
    <cellStyle name="Normal 6 2 3 2 2 6" xfId="27157"/>
    <cellStyle name="Normal 6 2 3 2 2 6 2" xfId="27158"/>
    <cellStyle name="Normal 6 2 3 2 2 7" xfId="27159"/>
    <cellStyle name="Normal 6 2 3 2 3" xfId="27160"/>
    <cellStyle name="Normal 6 2 3 2 3 2" xfId="27161"/>
    <cellStyle name="Normal 6 2 3 2 3 2 2" xfId="27162"/>
    <cellStyle name="Normal 6 2 3 2 3 2 2 2" xfId="27163"/>
    <cellStyle name="Normal 6 2 3 2 3 2 2 2 2" xfId="27164"/>
    <cellStyle name="Normal 6 2 3 2 3 2 2 3" xfId="27165"/>
    <cellStyle name="Normal 6 2 3 2 3 2 3" xfId="27166"/>
    <cellStyle name="Normal 6 2 3 2 3 2 3 2" xfId="27167"/>
    <cellStyle name="Normal 6 2 3 2 3 2 4" xfId="27168"/>
    <cellStyle name="Normal 6 2 3 2 3 3" xfId="27169"/>
    <cellStyle name="Normal 6 2 3 2 3 3 2" xfId="27170"/>
    <cellStyle name="Normal 6 2 3 2 3 3 2 2" xfId="27171"/>
    <cellStyle name="Normal 6 2 3 2 3 3 2 2 2" xfId="27172"/>
    <cellStyle name="Normal 6 2 3 2 3 3 2 3" xfId="27173"/>
    <cellStyle name="Normal 6 2 3 2 3 3 3" xfId="27174"/>
    <cellStyle name="Normal 6 2 3 2 3 3 3 2" xfId="27175"/>
    <cellStyle name="Normal 6 2 3 2 3 3 4" xfId="27176"/>
    <cellStyle name="Normal 6 2 3 2 3 4" xfId="27177"/>
    <cellStyle name="Normal 6 2 3 2 3 4 2" xfId="27178"/>
    <cellStyle name="Normal 6 2 3 2 3 4 2 2" xfId="27179"/>
    <cellStyle name="Normal 6 2 3 2 3 4 3" xfId="27180"/>
    <cellStyle name="Normal 6 2 3 2 3 5" xfId="27181"/>
    <cellStyle name="Normal 6 2 3 2 3 5 2" xfId="27182"/>
    <cellStyle name="Normal 6 2 3 2 3 6" xfId="27183"/>
    <cellStyle name="Normal 6 2 3 2 4" xfId="27184"/>
    <cellStyle name="Normal 6 2 3 2 4 2" xfId="27185"/>
    <cellStyle name="Normal 6 2 3 2 4 2 2" xfId="27186"/>
    <cellStyle name="Normal 6 2 3 2 4 2 2 2" xfId="27187"/>
    <cellStyle name="Normal 6 2 3 2 4 2 3" xfId="27188"/>
    <cellStyle name="Normal 6 2 3 2 4 3" xfId="27189"/>
    <cellStyle name="Normal 6 2 3 2 4 3 2" xfId="27190"/>
    <cellStyle name="Normal 6 2 3 2 4 4" xfId="27191"/>
    <cellStyle name="Normal 6 2 3 2 5" xfId="27192"/>
    <cellStyle name="Normal 6 2 3 2 5 2" xfId="27193"/>
    <cellStyle name="Normal 6 2 3 2 5 2 2" xfId="27194"/>
    <cellStyle name="Normal 6 2 3 2 5 2 2 2" xfId="27195"/>
    <cellStyle name="Normal 6 2 3 2 5 2 3" xfId="27196"/>
    <cellStyle name="Normal 6 2 3 2 5 3" xfId="27197"/>
    <cellStyle name="Normal 6 2 3 2 5 3 2" xfId="27198"/>
    <cellStyle name="Normal 6 2 3 2 5 4" xfId="27199"/>
    <cellStyle name="Normal 6 2 3 2 6" xfId="27200"/>
    <cellStyle name="Normal 6 2 3 2 6 2" xfId="27201"/>
    <cellStyle name="Normal 6 2 3 2 6 2 2" xfId="27202"/>
    <cellStyle name="Normal 6 2 3 2 6 2 2 2" xfId="27203"/>
    <cellStyle name="Normal 6 2 3 2 6 2 3" xfId="27204"/>
    <cellStyle name="Normal 6 2 3 2 6 3" xfId="27205"/>
    <cellStyle name="Normal 6 2 3 2 6 3 2" xfId="27206"/>
    <cellStyle name="Normal 6 2 3 2 6 4" xfId="27207"/>
    <cellStyle name="Normal 6 2 3 2 7" xfId="27208"/>
    <cellStyle name="Normal 6 2 3 2 7 2" xfId="27209"/>
    <cellStyle name="Normal 6 2 3 2 7 2 2" xfId="27210"/>
    <cellStyle name="Normal 6 2 3 2 7 3" xfId="27211"/>
    <cellStyle name="Normal 6 2 3 2 8" xfId="27212"/>
    <cellStyle name="Normal 6 2 3 2 8 2" xfId="27213"/>
    <cellStyle name="Normal 6 2 3 2 9" xfId="27214"/>
    <cellStyle name="Normal 6 2 3 3" xfId="27215"/>
    <cellStyle name="Normal 6 2 3 3 2" xfId="27216"/>
    <cellStyle name="Normal 6 2 3 3 2 2" xfId="27217"/>
    <cellStyle name="Normal 6 2 3 3 2 2 2" xfId="27218"/>
    <cellStyle name="Normal 6 2 3 3 2 2 2 2" xfId="27219"/>
    <cellStyle name="Normal 6 2 3 3 2 2 2 2 2" xfId="27220"/>
    <cellStyle name="Normal 6 2 3 3 2 2 2 3" xfId="27221"/>
    <cellStyle name="Normal 6 2 3 3 2 2 3" xfId="27222"/>
    <cellStyle name="Normal 6 2 3 3 2 2 3 2" xfId="27223"/>
    <cellStyle name="Normal 6 2 3 3 2 2 4" xfId="27224"/>
    <cellStyle name="Normal 6 2 3 3 2 3" xfId="27225"/>
    <cellStyle name="Normal 6 2 3 3 2 3 2" xfId="27226"/>
    <cellStyle name="Normal 6 2 3 3 2 3 2 2" xfId="27227"/>
    <cellStyle name="Normal 6 2 3 3 2 3 2 2 2" xfId="27228"/>
    <cellStyle name="Normal 6 2 3 3 2 3 2 3" xfId="27229"/>
    <cellStyle name="Normal 6 2 3 3 2 3 3" xfId="27230"/>
    <cellStyle name="Normal 6 2 3 3 2 3 3 2" xfId="27231"/>
    <cellStyle name="Normal 6 2 3 3 2 3 4" xfId="27232"/>
    <cellStyle name="Normal 6 2 3 3 2 4" xfId="27233"/>
    <cellStyle name="Normal 6 2 3 3 2 4 2" xfId="27234"/>
    <cellStyle name="Normal 6 2 3 3 2 4 2 2" xfId="27235"/>
    <cellStyle name="Normal 6 2 3 3 2 4 3" xfId="27236"/>
    <cellStyle name="Normal 6 2 3 3 2 5" xfId="27237"/>
    <cellStyle name="Normal 6 2 3 3 2 5 2" xfId="27238"/>
    <cellStyle name="Normal 6 2 3 3 2 6" xfId="27239"/>
    <cellStyle name="Normal 6 2 3 3 3" xfId="27240"/>
    <cellStyle name="Normal 6 2 3 3 3 2" xfId="27241"/>
    <cellStyle name="Normal 6 2 3 3 3 2 2" xfId="27242"/>
    <cellStyle name="Normal 6 2 3 3 3 2 2 2" xfId="27243"/>
    <cellStyle name="Normal 6 2 3 3 3 2 3" xfId="27244"/>
    <cellStyle name="Normal 6 2 3 3 3 3" xfId="27245"/>
    <cellStyle name="Normal 6 2 3 3 3 3 2" xfId="27246"/>
    <cellStyle name="Normal 6 2 3 3 3 4" xfId="27247"/>
    <cellStyle name="Normal 6 2 3 3 4" xfId="27248"/>
    <cellStyle name="Normal 6 2 3 3 4 2" xfId="27249"/>
    <cellStyle name="Normal 6 2 3 3 4 2 2" xfId="27250"/>
    <cellStyle name="Normal 6 2 3 3 4 2 2 2" xfId="27251"/>
    <cellStyle name="Normal 6 2 3 3 4 2 3" xfId="27252"/>
    <cellStyle name="Normal 6 2 3 3 4 3" xfId="27253"/>
    <cellStyle name="Normal 6 2 3 3 4 3 2" xfId="27254"/>
    <cellStyle name="Normal 6 2 3 3 4 4" xfId="27255"/>
    <cellStyle name="Normal 6 2 3 3 5" xfId="27256"/>
    <cellStyle name="Normal 6 2 3 3 5 2" xfId="27257"/>
    <cellStyle name="Normal 6 2 3 3 5 2 2" xfId="27258"/>
    <cellStyle name="Normal 6 2 3 3 5 3" xfId="27259"/>
    <cellStyle name="Normal 6 2 3 3 6" xfId="27260"/>
    <cellStyle name="Normal 6 2 3 3 6 2" xfId="27261"/>
    <cellStyle name="Normal 6 2 3 3 7" xfId="27262"/>
    <cellStyle name="Normal 6 2 3 4" xfId="27263"/>
    <cellStyle name="Normal 6 2 3 4 2" xfId="27264"/>
    <cellStyle name="Normal 6 2 3 4 2 2" xfId="27265"/>
    <cellStyle name="Normal 6 2 3 4 2 2 2" xfId="27266"/>
    <cellStyle name="Normal 6 2 3 4 2 2 2 2" xfId="27267"/>
    <cellStyle name="Normal 6 2 3 4 2 2 3" xfId="27268"/>
    <cellStyle name="Normal 6 2 3 4 2 3" xfId="27269"/>
    <cellStyle name="Normal 6 2 3 4 2 3 2" xfId="27270"/>
    <cellStyle name="Normal 6 2 3 4 2 4" xfId="27271"/>
    <cellStyle name="Normal 6 2 3 4 3" xfId="27272"/>
    <cellStyle name="Normal 6 2 3 4 3 2" xfId="27273"/>
    <cellStyle name="Normal 6 2 3 4 3 2 2" xfId="27274"/>
    <cellStyle name="Normal 6 2 3 4 3 2 2 2" xfId="27275"/>
    <cellStyle name="Normal 6 2 3 4 3 2 3" xfId="27276"/>
    <cellStyle name="Normal 6 2 3 4 3 3" xfId="27277"/>
    <cellStyle name="Normal 6 2 3 4 3 3 2" xfId="27278"/>
    <cellStyle name="Normal 6 2 3 4 3 4" xfId="27279"/>
    <cellStyle name="Normal 6 2 3 4 4" xfId="27280"/>
    <cellStyle name="Normal 6 2 3 4 4 2" xfId="27281"/>
    <cellStyle name="Normal 6 2 3 4 4 2 2" xfId="27282"/>
    <cellStyle name="Normal 6 2 3 4 4 3" xfId="27283"/>
    <cellStyle name="Normal 6 2 3 4 5" xfId="27284"/>
    <cellStyle name="Normal 6 2 3 4 5 2" xfId="27285"/>
    <cellStyle name="Normal 6 2 3 4 6" xfId="27286"/>
    <cellStyle name="Normal 6 2 3 5" xfId="27287"/>
    <cellStyle name="Normal 6 2 3 5 2" xfId="27288"/>
    <cellStyle name="Normal 6 2 3 5 2 2" xfId="27289"/>
    <cellStyle name="Normal 6 2 3 5 2 2 2" xfId="27290"/>
    <cellStyle name="Normal 6 2 3 5 2 3" xfId="27291"/>
    <cellStyle name="Normal 6 2 3 5 3" xfId="27292"/>
    <cellStyle name="Normal 6 2 3 5 3 2" xfId="27293"/>
    <cellStyle name="Normal 6 2 3 5 4" xfId="27294"/>
    <cellStyle name="Normal 6 2 3 6" xfId="27295"/>
    <cellStyle name="Normal 6 2 3 6 2" xfId="27296"/>
    <cellStyle name="Normal 6 2 3 6 2 2" xfId="27297"/>
    <cellStyle name="Normal 6 2 3 6 2 2 2" xfId="27298"/>
    <cellStyle name="Normal 6 2 3 6 2 3" xfId="27299"/>
    <cellStyle name="Normal 6 2 3 6 3" xfId="27300"/>
    <cellStyle name="Normal 6 2 3 6 3 2" xfId="27301"/>
    <cellStyle name="Normal 6 2 3 6 4" xfId="27302"/>
    <cellStyle name="Normal 6 2 3 7" xfId="27303"/>
    <cellStyle name="Normal 6 2 3 7 2" xfId="27304"/>
    <cellStyle name="Normal 6 2 3 7 2 2" xfId="27305"/>
    <cellStyle name="Normal 6 2 3 7 2 2 2" xfId="27306"/>
    <cellStyle name="Normal 6 2 3 7 2 3" xfId="27307"/>
    <cellStyle name="Normal 6 2 3 7 3" xfId="27308"/>
    <cellStyle name="Normal 6 2 3 7 3 2" xfId="27309"/>
    <cellStyle name="Normal 6 2 3 7 4" xfId="27310"/>
    <cellStyle name="Normal 6 2 3 8" xfId="27311"/>
    <cellStyle name="Normal 6 2 3 8 2" xfId="27312"/>
    <cellStyle name="Normal 6 2 3 8 2 2" xfId="27313"/>
    <cellStyle name="Normal 6 2 3 8 3" xfId="27314"/>
    <cellStyle name="Normal 6 2 3 9" xfId="27315"/>
    <cellStyle name="Normal 6 2 3 9 2" xfId="27316"/>
    <cellStyle name="Normal 6 2 4" xfId="27317"/>
    <cellStyle name="Normal 6 2 4 10" xfId="27318"/>
    <cellStyle name="Normal 6 2 4 2" xfId="27319"/>
    <cellStyle name="Normal 6 2 4 2 2" xfId="27320"/>
    <cellStyle name="Normal 6 2 4 2 2 2" xfId="27321"/>
    <cellStyle name="Normal 6 2 4 2 2 2 2" xfId="27322"/>
    <cellStyle name="Normal 6 2 4 2 2 2 2 2" xfId="27323"/>
    <cellStyle name="Normal 6 2 4 2 2 2 2 2 2" xfId="27324"/>
    <cellStyle name="Normal 6 2 4 2 2 2 2 2 2 2" xfId="27325"/>
    <cellStyle name="Normal 6 2 4 2 2 2 2 2 3" xfId="27326"/>
    <cellStyle name="Normal 6 2 4 2 2 2 2 3" xfId="27327"/>
    <cellStyle name="Normal 6 2 4 2 2 2 2 3 2" xfId="27328"/>
    <cellStyle name="Normal 6 2 4 2 2 2 2 4" xfId="27329"/>
    <cellStyle name="Normal 6 2 4 2 2 2 3" xfId="27330"/>
    <cellStyle name="Normal 6 2 4 2 2 2 3 2" xfId="27331"/>
    <cellStyle name="Normal 6 2 4 2 2 2 3 2 2" xfId="27332"/>
    <cellStyle name="Normal 6 2 4 2 2 2 3 2 2 2" xfId="27333"/>
    <cellStyle name="Normal 6 2 4 2 2 2 3 2 3" xfId="27334"/>
    <cellStyle name="Normal 6 2 4 2 2 2 3 3" xfId="27335"/>
    <cellStyle name="Normal 6 2 4 2 2 2 3 3 2" xfId="27336"/>
    <cellStyle name="Normal 6 2 4 2 2 2 3 4" xfId="27337"/>
    <cellStyle name="Normal 6 2 4 2 2 2 4" xfId="27338"/>
    <cellStyle name="Normal 6 2 4 2 2 2 4 2" xfId="27339"/>
    <cellStyle name="Normal 6 2 4 2 2 2 4 2 2" xfId="27340"/>
    <cellStyle name="Normal 6 2 4 2 2 2 4 3" xfId="27341"/>
    <cellStyle name="Normal 6 2 4 2 2 2 5" xfId="27342"/>
    <cellStyle name="Normal 6 2 4 2 2 2 5 2" xfId="27343"/>
    <cellStyle name="Normal 6 2 4 2 2 2 6" xfId="27344"/>
    <cellStyle name="Normal 6 2 4 2 2 3" xfId="27345"/>
    <cellStyle name="Normal 6 2 4 2 2 3 2" xfId="27346"/>
    <cellStyle name="Normal 6 2 4 2 2 3 2 2" xfId="27347"/>
    <cellStyle name="Normal 6 2 4 2 2 3 2 2 2" xfId="27348"/>
    <cellStyle name="Normal 6 2 4 2 2 3 2 3" xfId="27349"/>
    <cellStyle name="Normal 6 2 4 2 2 3 3" xfId="27350"/>
    <cellStyle name="Normal 6 2 4 2 2 3 3 2" xfId="27351"/>
    <cellStyle name="Normal 6 2 4 2 2 3 4" xfId="27352"/>
    <cellStyle name="Normal 6 2 4 2 2 4" xfId="27353"/>
    <cellStyle name="Normal 6 2 4 2 2 4 2" xfId="27354"/>
    <cellStyle name="Normal 6 2 4 2 2 4 2 2" xfId="27355"/>
    <cellStyle name="Normal 6 2 4 2 2 4 2 2 2" xfId="27356"/>
    <cellStyle name="Normal 6 2 4 2 2 4 2 3" xfId="27357"/>
    <cellStyle name="Normal 6 2 4 2 2 4 3" xfId="27358"/>
    <cellStyle name="Normal 6 2 4 2 2 4 3 2" xfId="27359"/>
    <cellStyle name="Normal 6 2 4 2 2 4 4" xfId="27360"/>
    <cellStyle name="Normal 6 2 4 2 2 5" xfId="27361"/>
    <cellStyle name="Normal 6 2 4 2 2 5 2" xfId="27362"/>
    <cellStyle name="Normal 6 2 4 2 2 5 2 2" xfId="27363"/>
    <cellStyle name="Normal 6 2 4 2 2 5 3" xfId="27364"/>
    <cellStyle name="Normal 6 2 4 2 2 6" xfId="27365"/>
    <cellStyle name="Normal 6 2 4 2 2 6 2" xfId="27366"/>
    <cellStyle name="Normal 6 2 4 2 2 7" xfId="27367"/>
    <cellStyle name="Normal 6 2 4 2 3" xfId="27368"/>
    <cellStyle name="Normal 6 2 4 2 3 2" xfId="27369"/>
    <cellStyle name="Normal 6 2 4 2 3 2 2" xfId="27370"/>
    <cellStyle name="Normal 6 2 4 2 3 2 2 2" xfId="27371"/>
    <cellStyle name="Normal 6 2 4 2 3 2 2 2 2" xfId="27372"/>
    <cellStyle name="Normal 6 2 4 2 3 2 2 3" xfId="27373"/>
    <cellStyle name="Normal 6 2 4 2 3 2 3" xfId="27374"/>
    <cellStyle name="Normal 6 2 4 2 3 2 3 2" xfId="27375"/>
    <cellStyle name="Normal 6 2 4 2 3 2 4" xfId="27376"/>
    <cellStyle name="Normal 6 2 4 2 3 3" xfId="27377"/>
    <cellStyle name="Normal 6 2 4 2 3 3 2" xfId="27378"/>
    <cellStyle name="Normal 6 2 4 2 3 3 2 2" xfId="27379"/>
    <cellStyle name="Normal 6 2 4 2 3 3 2 2 2" xfId="27380"/>
    <cellStyle name="Normal 6 2 4 2 3 3 2 3" xfId="27381"/>
    <cellStyle name="Normal 6 2 4 2 3 3 3" xfId="27382"/>
    <cellStyle name="Normal 6 2 4 2 3 3 3 2" xfId="27383"/>
    <cellStyle name="Normal 6 2 4 2 3 3 4" xfId="27384"/>
    <cellStyle name="Normal 6 2 4 2 3 4" xfId="27385"/>
    <cellStyle name="Normal 6 2 4 2 3 4 2" xfId="27386"/>
    <cellStyle name="Normal 6 2 4 2 3 4 2 2" xfId="27387"/>
    <cellStyle name="Normal 6 2 4 2 3 4 3" xfId="27388"/>
    <cellStyle name="Normal 6 2 4 2 3 5" xfId="27389"/>
    <cellStyle name="Normal 6 2 4 2 3 5 2" xfId="27390"/>
    <cellStyle name="Normal 6 2 4 2 3 6" xfId="27391"/>
    <cellStyle name="Normal 6 2 4 2 4" xfId="27392"/>
    <cellStyle name="Normal 6 2 4 2 4 2" xfId="27393"/>
    <cellStyle name="Normal 6 2 4 2 4 2 2" xfId="27394"/>
    <cellStyle name="Normal 6 2 4 2 4 2 2 2" xfId="27395"/>
    <cellStyle name="Normal 6 2 4 2 4 2 3" xfId="27396"/>
    <cellStyle name="Normal 6 2 4 2 4 3" xfId="27397"/>
    <cellStyle name="Normal 6 2 4 2 4 3 2" xfId="27398"/>
    <cellStyle name="Normal 6 2 4 2 4 4" xfId="27399"/>
    <cellStyle name="Normal 6 2 4 2 5" xfId="27400"/>
    <cellStyle name="Normal 6 2 4 2 5 2" xfId="27401"/>
    <cellStyle name="Normal 6 2 4 2 5 2 2" xfId="27402"/>
    <cellStyle name="Normal 6 2 4 2 5 2 2 2" xfId="27403"/>
    <cellStyle name="Normal 6 2 4 2 5 2 3" xfId="27404"/>
    <cellStyle name="Normal 6 2 4 2 5 3" xfId="27405"/>
    <cellStyle name="Normal 6 2 4 2 5 3 2" xfId="27406"/>
    <cellStyle name="Normal 6 2 4 2 5 4" xfId="27407"/>
    <cellStyle name="Normal 6 2 4 2 6" xfId="27408"/>
    <cellStyle name="Normal 6 2 4 2 6 2" xfId="27409"/>
    <cellStyle name="Normal 6 2 4 2 6 2 2" xfId="27410"/>
    <cellStyle name="Normal 6 2 4 2 6 2 2 2" xfId="27411"/>
    <cellStyle name="Normal 6 2 4 2 6 2 3" xfId="27412"/>
    <cellStyle name="Normal 6 2 4 2 6 3" xfId="27413"/>
    <cellStyle name="Normal 6 2 4 2 6 3 2" xfId="27414"/>
    <cellStyle name="Normal 6 2 4 2 6 4" xfId="27415"/>
    <cellStyle name="Normal 6 2 4 2 7" xfId="27416"/>
    <cellStyle name="Normal 6 2 4 2 7 2" xfId="27417"/>
    <cellStyle name="Normal 6 2 4 2 7 2 2" xfId="27418"/>
    <cellStyle name="Normal 6 2 4 2 7 3" xfId="27419"/>
    <cellStyle name="Normal 6 2 4 2 8" xfId="27420"/>
    <cellStyle name="Normal 6 2 4 2 8 2" xfId="27421"/>
    <cellStyle name="Normal 6 2 4 2 9" xfId="27422"/>
    <cellStyle name="Normal 6 2 4 3" xfId="27423"/>
    <cellStyle name="Normal 6 2 4 3 2" xfId="27424"/>
    <cellStyle name="Normal 6 2 4 3 2 2" xfId="27425"/>
    <cellStyle name="Normal 6 2 4 3 2 2 2" xfId="27426"/>
    <cellStyle name="Normal 6 2 4 3 2 2 2 2" xfId="27427"/>
    <cellStyle name="Normal 6 2 4 3 2 2 2 2 2" xfId="27428"/>
    <cellStyle name="Normal 6 2 4 3 2 2 2 3" xfId="27429"/>
    <cellStyle name="Normal 6 2 4 3 2 2 3" xfId="27430"/>
    <cellStyle name="Normal 6 2 4 3 2 2 3 2" xfId="27431"/>
    <cellStyle name="Normal 6 2 4 3 2 2 4" xfId="27432"/>
    <cellStyle name="Normal 6 2 4 3 2 3" xfId="27433"/>
    <cellStyle name="Normal 6 2 4 3 2 3 2" xfId="27434"/>
    <cellStyle name="Normal 6 2 4 3 2 3 2 2" xfId="27435"/>
    <cellStyle name="Normal 6 2 4 3 2 3 2 2 2" xfId="27436"/>
    <cellStyle name="Normal 6 2 4 3 2 3 2 3" xfId="27437"/>
    <cellStyle name="Normal 6 2 4 3 2 3 3" xfId="27438"/>
    <cellStyle name="Normal 6 2 4 3 2 3 3 2" xfId="27439"/>
    <cellStyle name="Normal 6 2 4 3 2 3 4" xfId="27440"/>
    <cellStyle name="Normal 6 2 4 3 2 4" xfId="27441"/>
    <cellStyle name="Normal 6 2 4 3 2 4 2" xfId="27442"/>
    <cellStyle name="Normal 6 2 4 3 2 4 2 2" xfId="27443"/>
    <cellStyle name="Normal 6 2 4 3 2 4 3" xfId="27444"/>
    <cellStyle name="Normal 6 2 4 3 2 5" xfId="27445"/>
    <cellStyle name="Normal 6 2 4 3 2 5 2" xfId="27446"/>
    <cellStyle name="Normal 6 2 4 3 2 6" xfId="27447"/>
    <cellStyle name="Normal 6 2 4 3 3" xfId="27448"/>
    <cellStyle name="Normal 6 2 4 3 3 2" xfId="27449"/>
    <cellStyle name="Normal 6 2 4 3 3 2 2" xfId="27450"/>
    <cellStyle name="Normal 6 2 4 3 3 2 2 2" xfId="27451"/>
    <cellStyle name="Normal 6 2 4 3 3 2 3" xfId="27452"/>
    <cellStyle name="Normal 6 2 4 3 3 3" xfId="27453"/>
    <cellStyle name="Normal 6 2 4 3 3 3 2" xfId="27454"/>
    <cellStyle name="Normal 6 2 4 3 3 4" xfId="27455"/>
    <cellStyle name="Normal 6 2 4 3 4" xfId="27456"/>
    <cellStyle name="Normal 6 2 4 3 4 2" xfId="27457"/>
    <cellStyle name="Normal 6 2 4 3 4 2 2" xfId="27458"/>
    <cellStyle name="Normal 6 2 4 3 4 2 2 2" xfId="27459"/>
    <cellStyle name="Normal 6 2 4 3 4 2 3" xfId="27460"/>
    <cellStyle name="Normal 6 2 4 3 4 3" xfId="27461"/>
    <cellStyle name="Normal 6 2 4 3 4 3 2" xfId="27462"/>
    <cellStyle name="Normal 6 2 4 3 4 4" xfId="27463"/>
    <cellStyle name="Normal 6 2 4 3 5" xfId="27464"/>
    <cellStyle name="Normal 6 2 4 3 5 2" xfId="27465"/>
    <cellStyle name="Normal 6 2 4 3 5 2 2" xfId="27466"/>
    <cellStyle name="Normal 6 2 4 3 5 3" xfId="27467"/>
    <cellStyle name="Normal 6 2 4 3 6" xfId="27468"/>
    <cellStyle name="Normal 6 2 4 3 6 2" xfId="27469"/>
    <cellStyle name="Normal 6 2 4 3 7" xfId="27470"/>
    <cellStyle name="Normal 6 2 4 4" xfId="27471"/>
    <cellStyle name="Normal 6 2 4 4 2" xfId="27472"/>
    <cellStyle name="Normal 6 2 4 4 2 2" xfId="27473"/>
    <cellStyle name="Normal 6 2 4 4 2 2 2" xfId="27474"/>
    <cellStyle name="Normal 6 2 4 4 2 2 2 2" xfId="27475"/>
    <cellStyle name="Normal 6 2 4 4 2 2 3" xfId="27476"/>
    <cellStyle name="Normal 6 2 4 4 2 3" xfId="27477"/>
    <cellStyle name="Normal 6 2 4 4 2 3 2" xfId="27478"/>
    <cellStyle name="Normal 6 2 4 4 2 4" xfId="27479"/>
    <cellStyle name="Normal 6 2 4 4 3" xfId="27480"/>
    <cellStyle name="Normal 6 2 4 4 3 2" xfId="27481"/>
    <cellStyle name="Normal 6 2 4 4 3 2 2" xfId="27482"/>
    <cellStyle name="Normal 6 2 4 4 3 2 2 2" xfId="27483"/>
    <cellStyle name="Normal 6 2 4 4 3 2 3" xfId="27484"/>
    <cellStyle name="Normal 6 2 4 4 3 3" xfId="27485"/>
    <cellStyle name="Normal 6 2 4 4 3 3 2" xfId="27486"/>
    <cellStyle name="Normal 6 2 4 4 3 4" xfId="27487"/>
    <cellStyle name="Normal 6 2 4 4 4" xfId="27488"/>
    <cellStyle name="Normal 6 2 4 4 4 2" xfId="27489"/>
    <cellStyle name="Normal 6 2 4 4 4 2 2" xfId="27490"/>
    <cellStyle name="Normal 6 2 4 4 4 3" xfId="27491"/>
    <cellStyle name="Normal 6 2 4 4 5" xfId="27492"/>
    <cellStyle name="Normal 6 2 4 4 5 2" xfId="27493"/>
    <cellStyle name="Normal 6 2 4 4 6" xfId="27494"/>
    <cellStyle name="Normal 6 2 4 5" xfId="27495"/>
    <cellStyle name="Normal 6 2 4 5 2" xfId="27496"/>
    <cellStyle name="Normal 6 2 4 5 2 2" xfId="27497"/>
    <cellStyle name="Normal 6 2 4 5 2 2 2" xfId="27498"/>
    <cellStyle name="Normal 6 2 4 5 2 3" xfId="27499"/>
    <cellStyle name="Normal 6 2 4 5 3" xfId="27500"/>
    <cellStyle name="Normal 6 2 4 5 3 2" xfId="27501"/>
    <cellStyle name="Normal 6 2 4 5 4" xfId="27502"/>
    <cellStyle name="Normal 6 2 4 6" xfId="27503"/>
    <cellStyle name="Normal 6 2 4 6 2" xfId="27504"/>
    <cellStyle name="Normal 6 2 4 6 2 2" xfId="27505"/>
    <cellStyle name="Normal 6 2 4 6 2 2 2" xfId="27506"/>
    <cellStyle name="Normal 6 2 4 6 2 3" xfId="27507"/>
    <cellStyle name="Normal 6 2 4 6 3" xfId="27508"/>
    <cellStyle name="Normal 6 2 4 6 3 2" xfId="27509"/>
    <cellStyle name="Normal 6 2 4 6 4" xfId="27510"/>
    <cellStyle name="Normal 6 2 4 7" xfId="27511"/>
    <cellStyle name="Normal 6 2 4 7 2" xfId="27512"/>
    <cellStyle name="Normal 6 2 4 7 2 2" xfId="27513"/>
    <cellStyle name="Normal 6 2 4 7 2 2 2" xfId="27514"/>
    <cellStyle name="Normal 6 2 4 7 2 3" xfId="27515"/>
    <cellStyle name="Normal 6 2 4 7 3" xfId="27516"/>
    <cellStyle name="Normal 6 2 4 7 3 2" xfId="27517"/>
    <cellStyle name="Normal 6 2 4 7 4" xfId="27518"/>
    <cellStyle name="Normal 6 2 4 8" xfId="27519"/>
    <cellStyle name="Normal 6 2 4 8 2" xfId="27520"/>
    <cellStyle name="Normal 6 2 4 8 2 2" xfId="27521"/>
    <cellStyle name="Normal 6 2 4 8 3" xfId="27522"/>
    <cellStyle name="Normal 6 2 4 9" xfId="27523"/>
    <cellStyle name="Normal 6 2 4 9 2" xfId="27524"/>
    <cellStyle name="Normal 6 2 5" xfId="27525"/>
    <cellStyle name="Normal 6 2 5 2" xfId="27526"/>
    <cellStyle name="Normal 6 2 5 2 2" xfId="27527"/>
    <cellStyle name="Normal 6 2 5 2 2 2" xfId="27528"/>
    <cellStyle name="Normal 6 2 5 2 2 2 2" xfId="27529"/>
    <cellStyle name="Normal 6 2 5 2 2 2 2 2" xfId="27530"/>
    <cellStyle name="Normal 6 2 5 2 2 2 2 2 2" xfId="27531"/>
    <cellStyle name="Normal 6 2 5 2 2 2 2 3" xfId="27532"/>
    <cellStyle name="Normal 6 2 5 2 2 2 3" xfId="27533"/>
    <cellStyle name="Normal 6 2 5 2 2 2 3 2" xfId="27534"/>
    <cellStyle name="Normal 6 2 5 2 2 2 4" xfId="27535"/>
    <cellStyle name="Normal 6 2 5 2 2 3" xfId="27536"/>
    <cellStyle name="Normal 6 2 5 2 2 3 2" xfId="27537"/>
    <cellStyle name="Normal 6 2 5 2 2 3 2 2" xfId="27538"/>
    <cellStyle name="Normal 6 2 5 2 2 3 2 2 2" xfId="27539"/>
    <cellStyle name="Normal 6 2 5 2 2 3 2 3" xfId="27540"/>
    <cellStyle name="Normal 6 2 5 2 2 3 3" xfId="27541"/>
    <cellStyle name="Normal 6 2 5 2 2 3 3 2" xfId="27542"/>
    <cellStyle name="Normal 6 2 5 2 2 3 4" xfId="27543"/>
    <cellStyle name="Normal 6 2 5 2 2 4" xfId="27544"/>
    <cellStyle name="Normal 6 2 5 2 2 4 2" xfId="27545"/>
    <cellStyle name="Normal 6 2 5 2 2 4 2 2" xfId="27546"/>
    <cellStyle name="Normal 6 2 5 2 2 4 3" xfId="27547"/>
    <cellStyle name="Normal 6 2 5 2 2 5" xfId="27548"/>
    <cellStyle name="Normal 6 2 5 2 2 5 2" xfId="27549"/>
    <cellStyle name="Normal 6 2 5 2 2 6" xfId="27550"/>
    <cellStyle name="Normal 6 2 5 2 3" xfId="27551"/>
    <cellStyle name="Normal 6 2 5 2 3 2" xfId="27552"/>
    <cellStyle name="Normal 6 2 5 2 3 2 2" xfId="27553"/>
    <cellStyle name="Normal 6 2 5 2 3 2 2 2" xfId="27554"/>
    <cellStyle name="Normal 6 2 5 2 3 2 3" xfId="27555"/>
    <cellStyle name="Normal 6 2 5 2 3 3" xfId="27556"/>
    <cellStyle name="Normal 6 2 5 2 3 3 2" xfId="27557"/>
    <cellStyle name="Normal 6 2 5 2 3 4" xfId="27558"/>
    <cellStyle name="Normal 6 2 5 2 4" xfId="27559"/>
    <cellStyle name="Normal 6 2 5 2 4 2" xfId="27560"/>
    <cellStyle name="Normal 6 2 5 2 4 2 2" xfId="27561"/>
    <cellStyle name="Normal 6 2 5 2 4 2 2 2" xfId="27562"/>
    <cellStyle name="Normal 6 2 5 2 4 2 3" xfId="27563"/>
    <cellStyle name="Normal 6 2 5 2 4 3" xfId="27564"/>
    <cellStyle name="Normal 6 2 5 2 4 3 2" xfId="27565"/>
    <cellStyle name="Normal 6 2 5 2 4 4" xfId="27566"/>
    <cellStyle name="Normal 6 2 5 2 5" xfId="27567"/>
    <cellStyle name="Normal 6 2 5 2 5 2" xfId="27568"/>
    <cellStyle name="Normal 6 2 5 2 5 2 2" xfId="27569"/>
    <cellStyle name="Normal 6 2 5 2 5 3" xfId="27570"/>
    <cellStyle name="Normal 6 2 5 2 6" xfId="27571"/>
    <cellStyle name="Normal 6 2 5 2 6 2" xfId="27572"/>
    <cellStyle name="Normal 6 2 5 2 7" xfId="27573"/>
    <cellStyle name="Normal 6 2 5 3" xfId="27574"/>
    <cellStyle name="Normal 6 2 5 3 2" xfId="27575"/>
    <cellStyle name="Normal 6 2 5 3 2 2" xfId="27576"/>
    <cellStyle name="Normal 6 2 5 3 2 2 2" xfId="27577"/>
    <cellStyle name="Normal 6 2 5 3 2 2 2 2" xfId="27578"/>
    <cellStyle name="Normal 6 2 5 3 2 2 3" xfId="27579"/>
    <cellStyle name="Normal 6 2 5 3 2 3" xfId="27580"/>
    <cellStyle name="Normal 6 2 5 3 2 3 2" xfId="27581"/>
    <cellStyle name="Normal 6 2 5 3 2 4" xfId="27582"/>
    <cellStyle name="Normal 6 2 5 3 3" xfId="27583"/>
    <cellStyle name="Normal 6 2 5 3 3 2" xfId="27584"/>
    <cellStyle name="Normal 6 2 5 3 3 2 2" xfId="27585"/>
    <cellStyle name="Normal 6 2 5 3 3 2 2 2" xfId="27586"/>
    <cellStyle name="Normal 6 2 5 3 3 2 3" xfId="27587"/>
    <cellStyle name="Normal 6 2 5 3 3 3" xfId="27588"/>
    <cellStyle name="Normal 6 2 5 3 3 3 2" xfId="27589"/>
    <cellStyle name="Normal 6 2 5 3 3 4" xfId="27590"/>
    <cellStyle name="Normal 6 2 5 3 4" xfId="27591"/>
    <cellStyle name="Normal 6 2 5 3 4 2" xfId="27592"/>
    <cellStyle name="Normal 6 2 5 3 4 2 2" xfId="27593"/>
    <cellStyle name="Normal 6 2 5 3 4 3" xfId="27594"/>
    <cellStyle name="Normal 6 2 5 3 5" xfId="27595"/>
    <cellStyle name="Normal 6 2 5 3 5 2" xfId="27596"/>
    <cellStyle name="Normal 6 2 5 3 6" xfId="27597"/>
    <cellStyle name="Normal 6 2 5 4" xfId="27598"/>
    <cellStyle name="Normal 6 2 5 4 2" xfId="27599"/>
    <cellStyle name="Normal 6 2 5 4 2 2" xfId="27600"/>
    <cellStyle name="Normal 6 2 5 4 2 2 2" xfId="27601"/>
    <cellStyle name="Normal 6 2 5 4 2 3" xfId="27602"/>
    <cellStyle name="Normal 6 2 5 4 3" xfId="27603"/>
    <cellStyle name="Normal 6 2 5 4 3 2" xfId="27604"/>
    <cellStyle name="Normal 6 2 5 4 4" xfId="27605"/>
    <cellStyle name="Normal 6 2 5 5" xfId="27606"/>
    <cellStyle name="Normal 6 2 5 5 2" xfId="27607"/>
    <cellStyle name="Normal 6 2 5 5 2 2" xfId="27608"/>
    <cellStyle name="Normal 6 2 5 5 2 2 2" xfId="27609"/>
    <cellStyle name="Normal 6 2 5 5 2 3" xfId="27610"/>
    <cellStyle name="Normal 6 2 5 5 3" xfId="27611"/>
    <cellStyle name="Normal 6 2 5 5 3 2" xfId="27612"/>
    <cellStyle name="Normal 6 2 5 5 4" xfId="27613"/>
    <cellStyle name="Normal 6 2 5 6" xfId="27614"/>
    <cellStyle name="Normal 6 2 5 6 2" xfId="27615"/>
    <cellStyle name="Normal 6 2 5 6 2 2" xfId="27616"/>
    <cellStyle name="Normal 6 2 5 6 2 2 2" xfId="27617"/>
    <cellStyle name="Normal 6 2 5 6 2 3" xfId="27618"/>
    <cellStyle name="Normal 6 2 5 6 3" xfId="27619"/>
    <cellStyle name="Normal 6 2 5 6 3 2" xfId="27620"/>
    <cellStyle name="Normal 6 2 5 6 4" xfId="27621"/>
    <cellStyle name="Normal 6 2 5 7" xfId="27622"/>
    <cellStyle name="Normal 6 2 5 7 2" xfId="27623"/>
    <cellStyle name="Normal 6 2 5 7 2 2" xfId="27624"/>
    <cellStyle name="Normal 6 2 5 7 3" xfId="27625"/>
    <cellStyle name="Normal 6 2 5 8" xfId="27626"/>
    <cellStyle name="Normal 6 2 5 8 2" xfId="27627"/>
    <cellStyle name="Normal 6 2 5 9" xfId="27628"/>
    <cellStyle name="Normal 6 2 6" xfId="27629"/>
    <cellStyle name="Normal 6 2 6 2" xfId="27630"/>
    <cellStyle name="Normal 6 2 6 2 2" xfId="27631"/>
    <cellStyle name="Normal 6 2 6 2 2 2" xfId="27632"/>
    <cellStyle name="Normal 6 2 6 2 2 2 2" xfId="27633"/>
    <cellStyle name="Normal 6 2 6 2 2 2 2 2" xfId="27634"/>
    <cellStyle name="Normal 6 2 6 2 2 2 3" xfId="27635"/>
    <cellStyle name="Normal 6 2 6 2 2 3" xfId="27636"/>
    <cellStyle name="Normal 6 2 6 2 2 3 2" xfId="27637"/>
    <cellStyle name="Normal 6 2 6 2 2 4" xfId="27638"/>
    <cellStyle name="Normal 6 2 6 2 3" xfId="27639"/>
    <cellStyle name="Normal 6 2 6 2 3 2" xfId="27640"/>
    <cellStyle name="Normal 6 2 6 2 3 2 2" xfId="27641"/>
    <cellStyle name="Normal 6 2 6 2 3 2 2 2" xfId="27642"/>
    <cellStyle name="Normal 6 2 6 2 3 2 3" xfId="27643"/>
    <cellStyle name="Normal 6 2 6 2 3 3" xfId="27644"/>
    <cellStyle name="Normal 6 2 6 2 3 3 2" xfId="27645"/>
    <cellStyle name="Normal 6 2 6 2 3 4" xfId="27646"/>
    <cellStyle name="Normal 6 2 6 2 4" xfId="27647"/>
    <cellStyle name="Normal 6 2 6 2 4 2" xfId="27648"/>
    <cellStyle name="Normal 6 2 6 2 4 2 2" xfId="27649"/>
    <cellStyle name="Normal 6 2 6 2 4 3" xfId="27650"/>
    <cellStyle name="Normal 6 2 6 2 5" xfId="27651"/>
    <cellStyle name="Normal 6 2 6 2 5 2" xfId="27652"/>
    <cellStyle name="Normal 6 2 6 2 6" xfId="27653"/>
    <cellStyle name="Normal 6 2 6 3" xfId="27654"/>
    <cellStyle name="Normal 6 2 6 3 2" xfId="27655"/>
    <cellStyle name="Normal 6 2 6 3 2 2" xfId="27656"/>
    <cellStyle name="Normal 6 2 6 3 2 2 2" xfId="27657"/>
    <cellStyle name="Normal 6 2 6 3 2 3" xfId="27658"/>
    <cellStyle name="Normal 6 2 6 3 3" xfId="27659"/>
    <cellStyle name="Normal 6 2 6 3 3 2" xfId="27660"/>
    <cellStyle name="Normal 6 2 6 3 4" xfId="27661"/>
    <cellStyle name="Normal 6 2 6 4" xfId="27662"/>
    <cellStyle name="Normal 6 2 6 4 2" xfId="27663"/>
    <cellStyle name="Normal 6 2 6 4 2 2" xfId="27664"/>
    <cellStyle name="Normal 6 2 6 4 2 2 2" xfId="27665"/>
    <cellStyle name="Normal 6 2 6 4 2 3" xfId="27666"/>
    <cellStyle name="Normal 6 2 6 4 3" xfId="27667"/>
    <cellStyle name="Normal 6 2 6 4 3 2" xfId="27668"/>
    <cellStyle name="Normal 6 2 6 4 4" xfId="27669"/>
    <cellStyle name="Normal 6 2 6 5" xfId="27670"/>
    <cellStyle name="Normal 6 2 6 5 2" xfId="27671"/>
    <cellStyle name="Normal 6 2 6 5 2 2" xfId="27672"/>
    <cellStyle name="Normal 6 2 6 5 3" xfId="27673"/>
    <cellStyle name="Normal 6 2 6 6" xfId="27674"/>
    <cellStyle name="Normal 6 2 6 6 2" xfId="27675"/>
    <cellStyle name="Normal 6 2 6 7" xfId="27676"/>
    <cellStyle name="Normal 6 2 7" xfId="27677"/>
    <cellStyle name="Normal 6 2 7 2" xfId="27678"/>
    <cellStyle name="Normal 6 2 7 2 2" xfId="27679"/>
    <cellStyle name="Normal 6 2 7 2 2 2" xfId="27680"/>
    <cellStyle name="Normal 6 2 7 2 2 2 2" xfId="27681"/>
    <cellStyle name="Normal 6 2 7 2 2 3" xfId="27682"/>
    <cellStyle name="Normal 6 2 7 2 3" xfId="27683"/>
    <cellStyle name="Normal 6 2 7 2 3 2" xfId="27684"/>
    <cellStyle name="Normal 6 2 7 2 4" xfId="27685"/>
    <cellStyle name="Normal 6 2 7 3" xfId="27686"/>
    <cellStyle name="Normal 6 2 7 3 2" xfId="27687"/>
    <cellStyle name="Normal 6 2 7 3 2 2" xfId="27688"/>
    <cellStyle name="Normal 6 2 7 3 2 2 2" xfId="27689"/>
    <cellStyle name="Normal 6 2 7 3 2 3" xfId="27690"/>
    <cellStyle name="Normal 6 2 7 3 3" xfId="27691"/>
    <cellStyle name="Normal 6 2 7 3 3 2" xfId="27692"/>
    <cellStyle name="Normal 6 2 7 3 4" xfId="27693"/>
    <cellStyle name="Normal 6 2 7 4" xfId="27694"/>
    <cellStyle name="Normal 6 2 7 4 2" xfId="27695"/>
    <cellStyle name="Normal 6 2 7 4 2 2" xfId="27696"/>
    <cellStyle name="Normal 6 2 7 4 3" xfId="27697"/>
    <cellStyle name="Normal 6 2 7 5" xfId="27698"/>
    <cellStyle name="Normal 6 2 7 5 2" xfId="27699"/>
    <cellStyle name="Normal 6 2 7 6" xfId="27700"/>
    <cellStyle name="Normal 6 2 8" xfId="27701"/>
    <cellStyle name="Normal 6 2 8 2" xfId="27702"/>
    <cellStyle name="Normal 6 2 8 2 2" xfId="27703"/>
    <cellStyle name="Normal 6 2 8 2 2 2" xfId="27704"/>
    <cellStyle name="Normal 6 2 8 2 3" xfId="27705"/>
    <cellStyle name="Normal 6 2 8 3" xfId="27706"/>
    <cellStyle name="Normal 6 2 8 3 2" xfId="27707"/>
    <cellStyle name="Normal 6 2 8 4" xfId="27708"/>
    <cellStyle name="Normal 6 2 9" xfId="27709"/>
    <cellStyle name="Normal 6 2 9 2" xfId="27710"/>
    <cellStyle name="Normal 6 2 9 2 2" xfId="27711"/>
    <cellStyle name="Normal 6 2 9 2 2 2" xfId="27712"/>
    <cellStyle name="Normal 6 2 9 2 3" xfId="27713"/>
    <cellStyle name="Normal 6 2 9 3" xfId="27714"/>
    <cellStyle name="Normal 6 2 9 3 2" xfId="27715"/>
    <cellStyle name="Normal 6 2 9 4" xfId="27716"/>
    <cellStyle name="Normal 6 3" xfId="27717"/>
    <cellStyle name="Normal 6 3 10" xfId="27718"/>
    <cellStyle name="Normal 6 3 10 2" xfId="27719"/>
    <cellStyle name="Normal 6 3 11" xfId="27720"/>
    <cellStyle name="Normal 6 3 2" xfId="27721"/>
    <cellStyle name="Normal 6 3 2 10" xfId="27722"/>
    <cellStyle name="Normal 6 3 2 2" xfId="27723"/>
    <cellStyle name="Normal 6 3 2 2 2" xfId="27724"/>
    <cellStyle name="Normal 6 3 2 2 2 2" xfId="27725"/>
    <cellStyle name="Normal 6 3 2 2 2 2 2" xfId="27726"/>
    <cellStyle name="Normal 6 3 2 2 2 2 2 2" xfId="27727"/>
    <cellStyle name="Normal 6 3 2 2 2 2 2 2 2" xfId="27728"/>
    <cellStyle name="Normal 6 3 2 2 2 2 2 2 2 2" xfId="27729"/>
    <cellStyle name="Normal 6 3 2 2 2 2 2 2 3" xfId="27730"/>
    <cellStyle name="Normal 6 3 2 2 2 2 2 3" xfId="27731"/>
    <cellStyle name="Normal 6 3 2 2 2 2 2 3 2" xfId="27732"/>
    <cellStyle name="Normal 6 3 2 2 2 2 2 4" xfId="27733"/>
    <cellStyle name="Normal 6 3 2 2 2 2 3" xfId="27734"/>
    <cellStyle name="Normal 6 3 2 2 2 2 3 2" xfId="27735"/>
    <cellStyle name="Normal 6 3 2 2 2 2 3 2 2" xfId="27736"/>
    <cellStyle name="Normal 6 3 2 2 2 2 3 2 2 2" xfId="27737"/>
    <cellStyle name="Normal 6 3 2 2 2 2 3 2 3" xfId="27738"/>
    <cellStyle name="Normal 6 3 2 2 2 2 3 3" xfId="27739"/>
    <cellStyle name="Normal 6 3 2 2 2 2 3 3 2" xfId="27740"/>
    <cellStyle name="Normal 6 3 2 2 2 2 3 4" xfId="27741"/>
    <cellStyle name="Normal 6 3 2 2 2 2 4" xfId="27742"/>
    <cellStyle name="Normal 6 3 2 2 2 2 4 2" xfId="27743"/>
    <cellStyle name="Normal 6 3 2 2 2 2 4 2 2" xfId="27744"/>
    <cellStyle name="Normal 6 3 2 2 2 2 4 3" xfId="27745"/>
    <cellStyle name="Normal 6 3 2 2 2 2 5" xfId="27746"/>
    <cellStyle name="Normal 6 3 2 2 2 2 5 2" xfId="27747"/>
    <cellStyle name="Normal 6 3 2 2 2 2 6" xfId="27748"/>
    <cellStyle name="Normal 6 3 2 2 2 3" xfId="27749"/>
    <cellStyle name="Normal 6 3 2 2 2 3 2" xfId="27750"/>
    <cellStyle name="Normal 6 3 2 2 2 3 2 2" xfId="27751"/>
    <cellStyle name="Normal 6 3 2 2 2 3 2 2 2" xfId="27752"/>
    <cellStyle name="Normal 6 3 2 2 2 3 2 3" xfId="27753"/>
    <cellStyle name="Normal 6 3 2 2 2 3 3" xfId="27754"/>
    <cellStyle name="Normal 6 3 2 2 2 3 3 2" xfId="27755"/>
    <cellStyle name="Normal 6 3 2 2 2 3 4" xfId="27756"/>
    <cellStyle name="Normal 6 3 2 2 2 4" xfId="27757"/>
    <cellStyle name="Normal 6 3 2 2 2 4 2" xfId="27758"/>
    <cellStyle name="Normal 6 3 2 2 2 4 2 2" xfId="27759"/>
    <cellStyle name="Normal 6 3 2 2 2 4 2 2 2" xfId="27760"/>
    <cellStyle name="Normal 6 3 2 2 2 4 2 3" xfId="27761"/>
    <cellStyle name="Normal 6 3 2 2 2 4 3" xfId="27762"/>
    <cellStyle name="Normal 6 3 2 2 2 4 3 2" xfId="27763"/>
    <cellStyle name="Normal 6 3 2 2 2 4 4" xfId="27764"/>
    <cellStyle name="Normal 6 3 2 2 2 5" xfId="27765"/>
    <cellStyle name="Normal 6 3 2 2 2 5 2" xfId="27766"/>
    <cellStyle name="Normal 6 3 2 2 2 5 2 2" xfId="27767"/>
    <cellStyle name="Normal 6 3 2 2 2 5 3" xfId="27768"/>
    <cellStyle name="Normal 6 3 2 2 2 6" xfId="27769"/>
    <cellStyle name="Normal 6 3 2 2 2 6 2" xfId="27770"/>
    <cellStyle name="Normal 6 3 2 2 2 7" xfId="27771"/>
    <cellStyle name="Normal 6 3 2 2 3" xfId="27772"/>
    <cellStyle name="Normal 6 3 2 2 3 2" xfId="27773"/>
    <cellStyle name="Normal 6 3 2 2 3 2 2" xfId="27774"/>
    <cellStyle name="Normal 6 3 2 2 3 2 2 2" xfId="27775"/>
    <cellStyle name="Normal 6 3 2 2 3 2 2 2 2" xfId="27776"/>
    <cellStyle name="Normal 6 3 2 2 3 2 2 3" xfId="27777"/>
    <cellStyle name="Normal 6 3 2 2 3 2 3" xfId="27778"/>
    <cellStyle name="Normal 6 3 2 2 3 2 3 2" xfId="27779"/>
    <cellStyle name="Normal 6 3 2 2 3 2 4" xfId="27780"/>
    <cellStyle name="Normal 6 3 2 2 3 3" xfId="27781"/>
    <cellStyle name="Normal 6 3 2 2 3 3 2" xfId="27782"/>
    <cellStyle name="Normal 6 3 2 2 3 3 2 2" xfId="27783"/>
    <cellStyle name="Normal 6 3 2 2 3 3 2 2 2" xfId="27784"/>
    <cellStyle name="Normal 6 3 2 2 3 3 2 3" xfId="27785"/>
    <cellStyle name="Normal 6 3 2 2 3 3 3" xfId="27786"/>
    <cellStyle name="Normal 6 3 2 2 3 3 3 2" xfId="27787"/>
    <cellStyle name="Normal 6 3 2 2 3 3 4" xfId="27788"/>
    <cellStyle name="Normal 6 3 2 2 3 4" xfId="27789"/>
    <cellStyle name="Normal 6 3 2 2 3 4 2" xfId="27790"/>
    <cellStyle name="Normal 6 3 2 2 3 4 2 2" xfId="27791"/>
    <cellStyle name="Normal 6 3 2 2 3 4 3" xfId="27792"/>
    <cellStyle name="Normal 6 3 2 2 3 5" xfId="27793"/>
    <cellStyle name="Normal 6 3 2 2 3 5 2" xfId="27794"/>
    <cellStyle name="Normal 6 3 2 2 3 6" xfId="27795"/>
    <cellStyle name="Normal 6 3 2 2 4" xfId="27796"/>
    <cellStyle name="Normal 6 3 2 2 4 2" xfId="27797"/>
    <cellStyle name="Normal 6 3 2 2 4 2 2" xfId="27798"/>
    <cellStyle name="Normal 6 3 2 2 4 2 2 2" xfId="27799"/>
    <cellStyle name="Normal 6 3 2 2 4 2 3" xfId="27800"/>
    <cellStyle name="Normal 6 3 2 2 4 3" xfId="27801"/>
    <cellStyle name="Normal 6 3 2 2 4 3 2" xfId="27802"/>
    <cellStyle name="Normal 6 3 2 2 4 4" xfId="27803"/>
    <cellStyle name="Normal 6 3 2 2 5" xfId="27804"/>
    <cellStyle name="Normal 6 3 2 2 5 2" xfId="27805"/>
    <cellStyle name="Normal 6 3 2 2 5 2 2" xfId="27806"/>
    <cellStyle name="Normal 6 3 2 2 5 2 2 2" xfId="27807"/>
    <cellStyle name="Normal 6 3 2 2 5 2 3" xfId="27808"/>
    <cellStyle name="Normal 6 3 2 2 5 3" xfId="27809"/>
    <cellStyle name="Normal 6 3 2 2 5 3 2" xfId="27810"/>
    <cellStyle name="Normal 6 3 2 2 5 4" xfId="27811"/>
    <cellStyle name="Normal 6 3 2 2 6" xfId="27812"/>
    <cellStyle name="Normal 6 3 2 2 6 2" xfId="27813"/>
    <cellStyle name="Normal 6 3 2 2 6 2 2" xfId="27814"/>
    <cellStyle name="Normal 6 3 2 2 6 2 2 2" xfId="27815"/>
    <cellStyle name="Normal 6 3 2 2 6 2 3" xfId="27816"/>
    <cellStyle name="Normal 6 3 2 2 6 3" xfId="27817"/>
    <cellStyle name="Normal 6 3 2 2 6 3 2" xfId="27818"/>
    <cellStyle name="Normal 6 3 2 2 6 4" xfId="27819"/>
    <cellStyle name="Normal 6 3 2 2 7" xfId="27820"/>
    <cellStyle name="Normal 6 3 2 2 7 2" xfId="27821"/>
    <cellStyle name="Normal 6 3 2 2 7 2 2" xfId="27822"/>
    <cellStyle name="Normal 6 3 2 2 7 3" xfId="27823"/>
    <cellStyle name="Normal 6 3 2 2 8" xfId="27824"/>
    <cellStyle name="Normal 6 3 2 2 8 2" xfId="27825"/>
    <cellStyle name="Normal 6 3 2 2 9" xfId="27826"/>
    <cellStyle name="Normal 6 3 2 3" xfId="27827"/>
    <cellStyle name="Normal 6 3 2 3 2" xfId="27828"/>
    <cellStyle name="Normal 6 3 2 3 2 2" xfId="27829"/>
    <cellStyle name="Normal 6 3 2 3 2 2 2" xfId="27830"/>
    <cellStyle name="Normal 6 3 2 3 2 2 2 2" xfId="27831"/>
    <cellStyle name="Normal 6 3 2 3 2 2 2 2 2" xfId="27832"/>
    <cellStyle name="Normal 6 3 2 3 2 2 2 3" xfId="27833"/>
    <cellStyle name="Normal 6 3 2 3 2 2 3" xfId="27834"/>
    <cellStyle name="Normal 6 3 2 3 2 2 3 2" xfId="27835"/>
    <cellStyle name="Normal 6 3 2 3 2 2 4" xfId="27836"/>
    <cellStyle name="Normal 6 3 2 3 2 3" xfId="27837"/>
    <cellStyle name="Normal 6 3 2 3 2 3 2" xfId="27838"/>
    <cellStyle name="Normal 6 3 2 3 2 3 2 2" xfId="27839"/>
    <cellStyle name="Normal 6 3 2 3 2 3 2 2 2" xfId="27840"/>
    <cellStyle name="Normal 6 3 2 3 2 3 2 3" xfId="27841"/>
    <cellStyle name="Normal 6 3 2 3 2 3 3" xfId="27842"/>
    <cellStyle name="Normal 6 3 2 3 2 3 3 2" xfId="27843"/>
    <cellStyle name="Normal 6 3 2 3 2 3 4" xfId="27844"/>
    <cellStyle name="Normal 6 3 2 3 2 4" xfId="27845"/>
    <cellStyle name="Normal 6 3 2 3 2 4 2" xfId="27846"/>
    <cellStyle name="Normal 6 3 2 3 2 4 2 2" xfId="27847"/>
    <cellStyle name="Normal 6 3 2 3 2 4 3" xfId="27848"/>
    <cellStyle name="Normal 6 3 2 3 2 5" xfId="27849"/>
    <cellStyle name="Normal 6 3 2 3 2 5 2" xfId="27850"/>
    <cellStyle name="Normal 6 3 2 3 2 6" xfId="27851"/>
    <cellStyle name="Normal 6 3 2 3 3" xfId="27852"/>
    <cellStyle name="Normal 6 3 2 3 3 2" xfId="27853"/>
    <cellStyle name="Normal 6 3 2 3 3 2 2" xfId="27854"/>
    <cellStyle name="Normal 6 3 2 3 3 2 2 2" xfId="27855"/>
    <cellStyle name="Normal 6 3 2 3 3 2 3" xfId="27856"/>
    <cellStyle name="Normal 6 3 2 3 3 3" xfId="27857"/>
    <cellStyle name="Normal 6 3 2 3 3 3 2" xfId="27858"/>
    <cellStyle name="Normal 6 3 2 3 3 4" xfId="27859"/>
    <cellStyle name="Normal 6 3 2 3 4" xfId="27860"/>
    <cellStyle name="Normal 6 3 2 3 4 2" xfId="27861"/>
    <cellStyle name="Normal 6 3 2 3 4 2 2" xfId="27862"/>
    <cellStyle name="Normal 6 3 2 3 4 2 2 2" xfId="27863"/>
    <cellStyle name="Normal 6 3 2 3 4 2 3" xfId="27864"/>
    <cellStyle name="Normal 6 3 2 3 4 3" xfId="27865"/>
    <cellStyle name="Normal 6 3 2 3 4 3 2" xfId="27866"/>
    <cellStyle name="Normal 6 3 2 3 4 4" xfId="27867"/>
    <cellStyle name="Normal 6 3 2 3 5" xfId="27868"/>
    <cellStyle name="Normal 6 3 2 3 5 2" xfId="27869"/>
    <cellStyle name="Normal 6 3 2 3 5 2 2" xfId="27870"/>
    <cellStyle name="Normal 6 3 2 3 5 3" xfId="27871"/>
    <cellStyle name="Normal 6 3 2 3 6" xfId="27872"/>
    <cellStyle name="Normal 6 3 2 3 6 2" xfId="27873"/>
    <cellStyle name="Normal 6 3 2 3 7" xfId="27874"/>
    <cellStyle name="Normal 6 3 2 4" xfId="27875"/>
    <cellStyle name="Normal 6 3 2 4 2" xfId="27876"/>
    <cellStyle name="Normal 6 3 2 4 2 2" xfId="27877"/>
    <cellStyle name="Normal 6 3 2 4 2 2 2" xfId="27878"/>
    <cellStyle name="Normal 6 3 2 4 2 2 2 2" xfId="27879"/>
    <cellStyle name="Normal 6 3 2 4 2 2 3" xfId="27880"/>
    <cellStyle name="Normal 6 3 2 4 2 3" xfId="27881"/>
    <cellStyle name="Normal 6 3 2 4 2 3 2" xfId="27882"/>
    <cellStyle name="Normal 6 3 2 4 2 4" xfId="27883"/>
    <cellStyle name="Normal 6 3 2 4 3" xfId="27884"/>
    <cellStyle name="Normal 6 3 2 4 3 2" xfId="27885"/>
    <cellStyle name="Normal 6 3 2 4 3 2 2" xfId="27886"/>
    <cellStyle name="Normal 6 3 2 4 3 2 2 2" xfId="27887"/>
    <cellStyle name="Normal 6 3 2 4 3 2 3" xfId="27888"/>
    <cellStyle name="Normal 6 3 2 4 3 3" xfId="27889"/>
    <cellStyle name="Normal 6 3 2 4 3 3 2" xfId="27890"/>
    <cellStyle name="Normal 6 3 2 4 3 4" xfId="27891"/>
    <cellStyle name="Normal 6 3 2 4 4" xfId="27892"/>
    <cellStyle name="Normal 6 3 2 4 4 2" xfId="27893"/>
    <cellStyle name="Normal 6 3 2 4 4 2 2" xfId="27894"/>
    <cellStyle name="Normal 6 3 2 4 4 3" xfId="27895"/>
    <cellStyle name="Normal 6 3 2 4 5" xfId="27896"/>
    <cellStyle name="Normal 6 3 2 4 5 2" xfId="27897"/>
    <cellStyle name="Normal 6 3 2 4 6" xfId="27898"/>
    <cellStyle name="Normal 6 3 2 5" xfId="27899"/>
    <cellStyle name="Normal 6 3 2 5 2" xfId="27900"/>
    <cellStyle name="Normal 6 3 2 5 2 2" xfId="27901"/>
    <cellStyle name="Normal 6 3 2 5 2 2 2" xfId="27902"/>
    <cellStyle name="Normal 6 3 2 5 2 3" xfId="27903"/>
    <cellStyle name="Normal 6 3 2 5 3" xfId="27904"/>
    <cellStyle name="Normal 6 3 2 5 3 2" xfId="27905"/>
    <cellStyle name="Normal 6 3 2 5 4" xfId="27906"/>
    <cellStyle name="Normal 6 3 2 6" xfId="27907"/>
    <cellStyle name="Normal 6 3 2 6 2" xfId="27908"/>
    <cellStyle name="Normal 6 3 2 6 2 2" xfId="27909"/>
    <cellStyle name="Normal 6 3 2 6 2 2 2" xfId="27910"/>
    <cellStyle name="Normal 6 3 2 6 2 3" xfId="27911"/>
    <cellStyle name="Normal 6 3 2 6 3" xfId="27912"/>
    <cellStyle name="Normal 6 3 2 6 3 2" xfId="27913"/>
    <cellStyle name="Normal 6 3 2 6 4" xfId="27914"/>
    <cellStyle name="Normal 6 3 2 7" xfId="27915"/>
    <cellStyle name="Normal 6 3 2 7 2" xfId="27916"/>
    <cellStyle name="Normal 6 3 2 7 2 2" xfId="27917"/>
    <cellStyle name="Normal 6 3 2 7 2 2 2" xfId="27918"/>
    <cellStyle name="Normal 6 3 2 7 2 3" xfId="27919"/>
    <cellStyle name="Normal 6 3 2 7 3" xfId="27920"/>
    <cellStyle name="Normal 6 3 2 7 3 2" xfId="27921"/>
    <cellStyle name="Normal 6 3 2 7 4" xfId="27922"/>
    <cellStyle name="Normal 6 3 2 8" xfId="27923"/>
    <cellStyle name="Normal 6 3 2 8 2" xfId="27924"/>
    <cellStyle name="Normal 6 3 2 8 2 2" xfId="27925"/>
    <cellStyle name="Normal 6 3 2 8 3" xfId="27926"/>
    <cellStyle name="Normal 6 3 2 9" xfId="27927"/>
    <cellStyle name="Normal 6 3 2 9 2" xfId="27928"/>
    <cellStyle name="Normal 6 3 3" xfId="27929"/>
    <cellStyle name="Normal 6 3 3 2" xfId="27930"/>
    <cellStyle name="Normal 6 3 3 2 2" xfId="27931"/>
    <cellStyle name="Normal 6 3 3 2 2 2" xfId="27932"/>
    <cellStyle name="Normal 6 3 3 2 2 2 2" xfId="27933"/>
    <cellStyle name="Normal 6 3 3 2 2 2 2 2" xfId="27934"/>
    <cellStyle name="Normal 6 3 3 2 2 2 2 2 2" xfId="27935"/>
    <cellStyle name="Normal 6 3 3 2 2 2 2 3" xfId="27936"/>
    <cellStyle name="Normal 6 3 3 2 2 2 3" xfId="27937"/>
    <cellStyle name="Normal 6 3 3 2 2 2 3 2" xfId="27938"/>
    <cellStyle name="Normal 6 3 3 2 2 2 4" xfId="27939"/>
    <cellStyle name="Normal 6 3 3 2 2 3" xfId="27940"/>
    <cellStyle name="Normal 6 3 3 2 2 3 2" xfId="27941"/>
    <cellStyle name="Normal 6 3 3 2 2 3 2 2" xfId="27942"/>
    <cellStyle name="Normal 6 3 3 2 2 3 2 2 2" xfId="27943"/>
    <cellStyle name="Normal 6 3 3 2 2 3 2 3" xfId="27944"/>
    <cellStyle name="Normal 6 3 3 2 2 3 3" xfId="27945"/>
    <cellStyle name="Normal 6 3 3 2 2 3 3 2" xfId="27946"/>
    <cellStyle name="Normal 6 3 3 2 2 3 4" xfId="27947"/>
    <cellStyle name="Normal 6 3 3 2 2 4" xfId="27948"/>
    <cellStyle name="Normal 6 3 3 2 2 4 2" xfId="27949"/>
    <cellStyle name="Normal 6 3 3 2 2 4 2 2" xfId="27950"/>
    <cellStyle name="Normal 6 3 3 2 2 4 3" xfId="27951"/>
    <cellStyle name="Normal 6 3 3 2 2 5" xfId="27952"/>
    <cellStyle name="Normal 6 3 3 2 2 5 2" xfId="27953"/>
    <cellStyle name="Normal 6 3 3 2 2 6" xfId="27954"/>
    <cellStyle name="Normal 6 3 3 2 3" xfId="27955"/>
    <cellStyle name="Normal 6 3 3 2 3 2" xfId="27956"/>
    <cellStyle name="Normal 6 3 3 2 3 2 2" xfId="27957"/>
    <cellStyle name="Normal 6 3 3 2 3 2 2 2" xfId="27958"/>
    <cellStyle name="Normal 6 3 3 2 3 2 3" xfId="27959"/>
    <cellStyle name="Normal 6 3 3 2 3 3" xfId="27960"/>
    <cellStyle name="Normal 6 3 3 2 3 3 2" xfId="27961"/>
    <cellStyle name="Normal 6 3 3 2 3 4" xfId="27962"/>
    <cellStyle name="Normal 6 3 3 2 4" xfId="27963"/>
    <cellStyle name="Normal 6 3 3 2 4 2" xfId="27964"/>
    <cellStyle name="Normal 6 3 3 2 4 2 2" xfId="27965"/>
    <cellStyle name="Normal 6 3 3 2 4 2 2 2" xfId="27966"/>
    <cellStyle name="Normal 6 3 3 2 4 2 3" xfId="27967"/>
    <cellStyle name="Normal 6 3 3 2 4 3" xfId="27968"/>
    <cellStyle name="Normal 6 3 3 2 4 3 2" xfId="27969"/>
    <cellStyle name="Normal 6 3 3 2 4 4" xfId="27970"/>
    <cellStyle name="Normal 6 3 3 2 5" xfId="27971"/>
    <cellStyle name="Normal 6 3 3 2 5 2" xfId="27972"/>
    <cellStyle name="Normal 6 3 3 2 5 2 2" xfId="27973"/>
    <cellStyle name="Normal 6 3 3 2 5 3" xfId="27974"/>
    <cellStyle name="Normal 6 3 3 2 6" xfId="27975"/>
    <cellStyle name="Normal 6 3 3 2 6 2" xfId="27976"/>
    <cellStyle name="Normal 6 3 3 2 7" xfId="27977"/>
    <cellStyle name="Normal 6 3 3 3" xfId="27978"/>
    <cellStyle name="Normal 6 3 3 3 2" xfId="27979"/>
    <cellStyle name="Normal 6 3 3 3 2 2" xfId="27980"/>
    <cellStyle name="Normal 6 3 3 3 2 2 2" xfId="27981"/>
    <cellStyle name="Normal 6 3 3 3 2 2 2 2" xfId="27982"/>
    <cellStyle name="Normal 6 3 3 3 2 2 3" xfId="27983"/>
    <cellStyle name="Normal 6 3 3 3 2 3" xfId="27984"/>
    <cellStyle name="Normal 6 3 3 3 2 3 2" xfId="27985"/>
    <cellStyle name="Normal 6 3 3 3 2 4" xfId="27986"/>
    <cellStyle name="Normal 6 3 3 3 3" xfId="27987"/>
    <cellStyle name="Normal 6 3 3 3 3 2" xfId="27988"/>
    <cellStyle name="Normal 6 3 3 3 3 2 2" xfId="27989"/>
    <cellStyle name="Normal 6 3 3 3 3 2 2 2" xfId="27990"/>
    <cellStyle name="Normal 6 3 3 3 3 2 3" xfId="27991"/>
    <cellStyle name="Normal 6 3 3 3 3 3" xfId="27992"/>
    <cellStyle name="Normal 6 3 3 3 3 3 2" xfId="27993"/>
    <cellStyle name="Normal 6 3 3 3 3 4" xfId="27994"/>
    <cellStyle name="Normal 6 3 3 3 4" xfId="27995"/>
    <cellStyle name="Normal 6 3 3 3 4 2" xfId="27996"/>
    <cellStyle name="Normal 6 3 3 3 4 2 2" xfId="27997"/>
    <cellStyle name="Normal 6 3 3 3 4 3" xfId="27998"/>
    <cellStyle name="Normal 6 3 3 3 5" xfId="27999"/>
    <cellStyle name="Normal 6 3 3 3 5 2" xfId="28000"/>
    <cellStyle name="Normal 6 3 3 3 6" xfId="28001"/>
    <cellStyle name="Normal 6 3 3 4" xfId="28002"/>
    <cellStyle name="Normal 6 3 3 4 2" xfId="28003"/>
    <cellStyle name="Normal 6 3 3 4 2 2" xfId="28004"/>
    <cellStyle name="Normal 6 3 3 4 2 2 2" xfId="28005"/>
    <cellStyle name="Normal 6 3 3 4 2 3" xfId="28006"/>
    <cellStyle name="Normal 6 3 3 4 3" xfId="28007"/>
    <cellStyle name="Normal 6 3 3 4 3 2" xfId="28008"/>
    <cellStyle name="Normal 6 3 3 4 4" xfId="28009"/>
    <cellStyle name="Normal 6 3 3 5" xfId="28010"/>
    <cellStyle name="Normal 6 3 3 5 2" xfId="28011"/>
    <cellStyle name="Normal 6 3 3 5 2 2" xfId="28012"/>
    <cellStyle name="Normal 6 3 3 5 2 2 2" xfId="28013"/>
    <cellStyle name="Normal 6 3 3 5 2 3" xfId="28014"/>
    <cellStyle name="Normal 6 3 3 5 3" xfId="28015"/>
    <cellStyle name="Normal 6 3 3 5 3 2" xfId="28016"/>
    <cellStyle name="Normal 6 3 3 5 4" xfId="28017"/>
    <cellStyle name="Normal 6 3 3 6" xfId="28018"/>
    <cellStyle name="Normal 6 3 3 6 2" xfId="28019"/>
    <cellStyle name="Normal 6 3 3 6 2 2" xfId="28020"/>
    <cellStyle name="Normal 6 3 3 6 2 2 2" xfId="28021"/>
    <cellStyle name="Normal 6 3 3 6 2 3" xfId="28022"/>
    <cellStyle name="Normal 6 3 3 6 3" xfId="28023"/>
    <cellStyle name="Normal 6 3 3 6 3 2" xfId="28024"/>
    <cellStyle name="Normal 6 3 3 6 4" xfId="28025"/>
    <cellStyle name="Normal 6 3 3 7" xfId="28026"/>
    <cellStyle name="Normal 6 3 3 7 2" xfId="28027"/>
    <cellStyle name="Normal 6 3 3 7 2 2" xfId="28028"/>
    <cellStyle name="Normal 6 3 3 7 3" xfId="28029"/>
    <cellStyle name="Normal 6 3 3 8" xfId="28030"/>
    <cellStyle name="Normal 6 3 3 8 2" xfId="28031"/>
    <cellStyle name="Normal 6 3 3 9" xfId="28032"/>
    <cellStyle name="Normal 6 3 4" xfId="28033"/>
    <cellStyle name="Normal 6 3 4 2" xfId="28034"/>
    <cellStyle name="Normal 6 3 4 2 2" xfId="28035"/>
    <cellStyle name="Normal 6 3 4 2 2 2" xfId="28036"/>
    <cellStyle name="Normal 6 3 4 2 2 2 2" xfId="28037"/>
    <cellStyle name="Normal 6 3 4 2 2 2 2 2" xfId="28038"/>
    <cellStyle name="Normal 6 3 4 2 2 2 3" xfId="28039"/>
    <cellStyle name="Normal 6 3 4 2 2 3" xfId="28040"/>
    <cellStyle name="Normal 6 3 4 2 2 3 2" xfId="28041"/>
    <cellStyle name="Normal 6 3 4 2 2 4" xfId="28042"/>
    <cellStyle name="Normal 6 3 4 2 3" xfId="28043"/>
    <cellStyle name="Normal 6 3 4 2 3 2" xfId="28044"/>
    <cellStyle name="Normal 6 3 4 2 3 2 2" xfId="28045"/>
    <cellStyle name="Normal 6 3 4 2 3 2 2 2" xfId="28046"/>
    <cellStyle name="Normal 6 3 4 2 3 2 3" xfId="28047"/>
    <cellStyle name="Normal 6 3 4 2 3 3" xfId="28048"/>
    <cellStyle name="Normal 6 3 4 2 3 3 2" xfId="28049"/>
    <cellStyle name="Normal 6 3 4 2 3 4" xfId="28050"/>
    <cellStyle name="Normal 6 3 4 2 4" xfId="28051"/>
    <cellStyle name="Normal 6 3 4 2 4 2" xfId="28052"/>
    <cellStyle name="Normal 6 3 4 2 4 2 2" xfId="28053"/>
    <cellStyle name="Normal 6 3 4 2 4 3" xfId="28054"/>
    <cellStyle name="Normal 6 3 4 2 5" xfId="28055"/>
    <cellStyle name="Normal 6 3 4 2 5 2" xfId="28056"/>
    <cellStyle name="Normal 6 3 4 2 6" xfId="28057"/>
    <cellStyle name="Normal 6 3 4 3" xfId="28058"/>
    <cellStyle name="Normal 6 3 4 3 2" xfId="28059"/>
    <cellStyle name="Normal 6 3 4 3 2 2" xfId="28060"/>
    <cellStyle name="Normal 6 3 4 3 2 2 2" xfId="28061"/>
    <cellStyle name="Normal 6 3 4 3 2 3" xfId="28062"/>
    <cellStyle name="Normal 6 3 4 3 3" xfId="28063"/>
    <cellStyle name="Normal 6 3 4 3 3 2" xfId="28064"/>
    <cellStyle name="Normal 6 3 4 3 4" xfId="28065"/>
    <cellStyle name="Normal 6 3 4 4" xfId="28066"/>
    <cellStyle name="Normal 6 3 4 4 2" xfId="28067"/>
    <cellStyle name="Normal 6 3 4 4 2 2" xfId="28068"/>
    <cellStyle name="Normal 6 3 4 4 2 2 2" xfId="28069"/>
    <cellStyle name="Normal 6 3 4 4 2 3" xfId="28070"/>
    <cellStyle name="Normal 6 3 4 4 3" xfId="28071"/>
    <cellStyle name="Normal 6 3 4 4 3 2" xfId="28072"/>
    <cellStyle name="Normal 6 3 4 4 4" xfId="28073"/>
    <cellStyle name="Normal 6 3 4 5" xfId="28074"/>
    <cellStyle name="Normal 6 3 4 5 2" xfId="28075"/>
    <cellStyle name="Normal 6 3 4 5 2 2" xfId="28076"/>
    <cellStyle name="Normal 6 3 4 5 3" xfId="28077"/>
    <cellStyle name="Normal 6 3 4 6" xfId="28078"/>
    <cellStyle name="Normal 6 3 4 6 2" xfId="28079"/>
    <cellStyle name="Normal 6 3 4 7" xfId="28080"/>
    <cellStyle name="Normal 6 3 5" xfId="28081"/>
    <cellStyle name="Normal 6 3 5 2" xfId="28082"/>
    <cellStyle name="Normal 6 3 5 2 2" xfId="28083"/>
    <cellStyle name="Normal 6 3 5 2 2 2" xfId="28084"/>
    <cellStyle name="Normal 6 3 5 2 2 2 2" xfId="28085"/>
    <cellStyle name="Normal 6 3 5 2 2 3" xfId="28086"/>
    <cellStyle name="Normal 6 3 5 2 3" xfId="28087"/>
    <cellStyle name="Normal 6 3 5 2 3 2" xfId="28088"/>
    <cellStyle name="Normal 6 3 5 2 4" xfId="28089"/>
    <cellStyle name="Normal 6 3 5 3" xfId="28090"/>
    <cellStyle name="Normal 6 3 5 3 2" xfId="28091"/>
    <cellStyle name="Normal 6 3 5 3 2 2" xfId="28092"/>
    <cellStyle name="Normal 6 3 5 3 2 2 2" xfId="28093"/>
    <cellStyle name="Normal 6 3 5 3 2 3" xfId="28094"/>
    <cellStyle name="Normal 6 3 5 3 3" xfId="28095"/>
    <cellStyle name="Normal 6 3 5 3 3 2" xfId="28096"/>
    <cellStyle name="Normal 6 3 5 3 4" xfId="28097"/>
    <cellStyle name="Normal 6 3 5 4" xfId="28098"/>
    <cellStyle name="Normal 6 3 5 4 2" xfId="28099"/>
    <cellStyle name="Normal 6 3 5 4 2 2" xfId="28100"/>
    <cellStyle name="Normal 6 3 5 4 3" xfId="28101"/>
    <cellStyle name="Normal 6 3 5 5" xfId="28102"/>
    <cellStyle name="Normal 6 3 5 5 2" xfId="28103"/>
    <cellStyle name="Normal 6 3 5 6" xfId="28104"/>
    <cellStyle name="Normal 6 3 6" xfId="28105"/>
    <cellStyle name="Normal 6 3 6 2" xfId="28106"/>
    <cellStyle name="Normal 6 3 6 2 2" xfId="28107"/>
    <cellStyle name="Normal 6 3 6 2 2 2" xfId="28108"/>
    <cellStyle name="Normal 6 3 6 2 3" xfId="28109"/>
    <cellStyle name="Normal 6 3 6 3" xfId="28110"/>
    <cellStyle name="Normal 6 3 6 3 2" xfId="28111"/>
    <cellStyle name="Normal 6 3 6 4" xfId="28112"/>
    <cellStyle name="Normal 6 3 7" xfId="28113"/>
    <cellStyle name="Normal 6 3 7 2" xfId="28114"/>
    <cellStyle name="Normal 6 3 7 2 2" xfId="28115"/>
    <cellStyle name="Normal 6 3 7 2 2 2" xfId="28116"/>
    <cellStyle name="Normal 6 3 7 2 3" xfId="28117"/>
    <cellStyle name="Normal 6 3 7 3" xfId="28118"/>
    <cellStyle name="Normal 6 3 7 3 2" xfId="28119"/>
    <cellStyle name="Normal 6 3 7 4" xfId="28120"/>
    <cellStyle name="Normal 6 3 8" xfId="28121"/>
    <cellStyle name="Normal 6 3 8 2" xfId="28122"/>
    <cellStyle name="Normal 6 3 8 2 2" xfId="28123"/>
    <cellStyle name="Normal 6 3 8 2 2 2" xfId="28124"/>
    <cellStyle name="Normal 6 3 8 2 3" xfId="28125"/>
    <cellStyle name="Normal 6 3 8 3" xfId="28126"/>
    <cellStyle name="Normal 6 3 8 3 2" xfId="28127"/>
    <cellStyle name="Normal 6 3 8 4" xfId="28128"/>
    <cellStyle name="Normal 6 3 9" xfId="28129"/>
    <cellStyle name="Normal 6 3 9 2" xfId="28130"/>
    <cellStyle name="Normal 6 3 9 2 2" xfId="28131"/>
    <cellStyle name="Normal 6 3 9 3" xfId="28132"/>
    <cellStyle name="Normal 6 4" xfId="28133"/>
    <cellStyle name="Normal 6 4 10" xfId="28134"/>
    <cellStyle name="Normal 6 4 2" xfId="28135"/>
    <cellStyle name="Normal 6 4 2 2" xfId="28136"/>
    <cellStyle name="Normal 6 4 2 2 2" xfId="28137"/>
    <cellStyle name="Normal 6 4 2 2 2 2" xfId="28138"/>
    <cellStyle name="Normal 6 4 2 2 2 2 2" xfId="28139"/>
    <cellStyle name="Normal 6 4 2 2 2 2 2 2" xfId="28140"/>
    <cellStyle name="Normal 6 4 2 2 2 2 2 2 2" xfId="28141"/>
    <cellStyle name="Normal 6 4 2 2 2 2 2 3" xfId="28142"/>
    <cellStyle name="Normal 6 4 2 2 2 2 3" xfId="28143"/>
    <cellStyle name="Normal 6 4 2 2 2 2 3 2" xfId="28144"/>
    <cellStyle name="Normal 6 4 2 2 2 2 4" xfId="28145"/>
    <cellStyle name="Normal 6 4 2 2 2 3" xfId="28146"/>
    <cellStyle name="Normal 6 4 2 2 2 3 2" xfId="28147"/>
    <cellStyle name="Normal 6 4 2 2 2 3 2 2" xfId="28148"/>
    <cellStyle name="Normal 6 4 2 2 2 3 2 2 2" xfId="28149"/>
    <cellStyle name="Normal 6 4 2 2 2 3 2 3" xfId="28150"/>
    <cellStyle name="Normal 6 4 2 2 2 3 3" xfId="28151"/>
    <cellStyle name="Normal 6 4 2 2 2 3 3 2" xfId="28152"/>
    <cellStyle name="Normal 6 4 2 2 2 3 4" xfId="28153"/>
    <cellStyle name="Normal 6 4 2 2 2 4" xfId="28154"/>
    <cellStyle name="Normal 6 4 2 2 2 4 2" xfId="28155"/>
    <cellStyle name="Normal 6 4 2 2 2 4 2 2" xfId="28156"/>
    <cellStyle name="Normal 6 4 2 2 2 4 3" xfId="28157"/>
    <cellStyle name="Normal 6 4 2 2 2 5" xfId="28158"/>
    <cellStyle name="Normal 6 4 2 2 2 5 2" xfId="28159"/>
    <cellStyle name="Normal 6 4 2 2 2 6" xfId="28160"/>
    <cellStyle name="Normal 6 4 2 2 3" xfId="28161"/>
    <cellStyle name="Normal 6 4 2 2 3 2" xfId="28162"/>
    <cellStyle name="Normal 6 4 2 2 3 2 2" xfId="28163"/>
    <cellStyle name="Normal 6 4 2 2 3 2 2 2" xfId="28164"/>
    <cellStyle name="Normal 6 4 2 2 3 2 3" xfId="28165"/>
    <cellStyle name="Normal 6 4 2 2 3 3" xfId="28166"/>
    <cellStyle name="Normal 6 4 2 2 3 3 2" xfId="28167"/>
    <cellStyle name="Normal 6 4 2 2 3 4" xfId="28168"/>
    <cellStyle name="Normal 6 4 2 2 4" xfId="28169"/>
    <cellStyle name="Normal 6 4 2 2 4 2" xfId="28170"/>
    <cellStyle name="Normal 6 4 2 2 4 2 2" xfId="28171"/>
    <cellStyle name="Normal 6 4 2 2 4 2 2 2" xfId="28172"/>
    <cellStyle name="Normal 6 4 2 2 4 2 3" xfId="28173"/>
    <cellStyle name="Normal 6 4 2 2 4 3" xfId="28174"/>
    <cellStyle name="Normal 6 4 2 2 4 3 2" xfId="28175"/>
    <cellStyle name="Normal 6 4 2 2 4 4" xfId="28176"/>
    <cellStyle name="Normal 6 4 2 2 5" xfId="28177"/>
    <cellStyle name="Normal 6 4 2 2 5 2" xfId="28178"/>
    <cellStyle name="Normal 6 4 2 2 5 2 2" xfId="28179"/>
    <cellStyle name="Normal 6 4 2 2 5 3" xfId="28180"/>
    <cellStyle name="Normal 6 4 2 2 6" xfId="28181"/>
    <cellStyle name="Normal 6 4 2 2 6 2" xfId="28182"/>
    <cellStyle name="Normal 6 4 2 2 7" xfId="28183"/>
    <cellStyle name="Normal 6 4 2 3" xfId="28184"/>
    <cellStyle name="Normal 6 4 2 3 2" xfId="28185"/>
    <cellStyle name="Normal 6 4 2 3 2 2" xfId="28186"/>
    <cellStyle name="Normal 6 4 2 3 2 2 2" xfId="28187"/>
    <cellStyle name="Normal 6 4 2 3 2 2 2 2" xfId="28188"/>
    <cellStyle name="Normal 6 4 2 3 2 2 3" xfId="28189"/>
    <cellStyle name="Normal 6 4 2 3 2 3" xfId="28190"/>
    <cellStyle name="Normal 6 4 2 3 2 3 2" xfId="28191"/>
    <cellStyle name="Normal 6 4 2 3 2 4" xfId="28192"/>
    <cellStyle name="Normal 6 4 2 3 3" xfId="28193"/>
    <cellStyle name="Normal 6 4 2 3 3 2" xfId="28194"/>
    <cellStyle name="Normal 6 4 2 3 3 2 2" xfId="28195"/>
    <cellStyle name="Normal 6 4 2 3 3 2 2 2" xfId="28196"/>
    <cellStyle name="Normal 6 4 2 3 3 2 3" xfId="28197"/>
    <cellStyle name="Normal 6 4 2 3 3 3" xfId="28198"/>
    <cellStyle name="Normal 6 4 2 3 3 3 2" xfId="28199"/>
    <cellStyle name="Normal 6 4 2 3 3 4" xfId="28200"/>
    <cellStyle name="Normal 6 4 2 3 4" xfId="28201"/>
    <cellStyle name="Normal 6 4 2 3 4 2" xfId="28202"/>
    <cellStyle name="Normal 6 4 2 3 4 2 2" xfId="28203"/>
    <cellStyle name="Normal 6 4 2 3 4 3" xfId="28204"/>
    <cellStyle name="Normal 6 4 2 3 5" xfId="28205"/>
    <cellStyle name="Normal 6 4 2 3 5 2" xfId="28206"/>
    <cellStyle name="Normal 6 4 2 3 6" xfId="28207"/>
    <cellStyle name="Normal 6 4 2 4" xfId="28208"/>
    <cellStyle name="Normal 6 4 2 4 2" xfId="28209"/>
    <cellStyle name="Normal 6 4 2 4 2 2" xfId="28210"/>
    <cellStyle name="Normal 6 4 2 4 2 2 2" xfId="28211"/>
    <cellStyle name="Normal 6 4 2 4 2 3" xfId="28212"/>
    <cellStyle name="Normal 6 4 2 4 3" xfId="28213"/>
    <cellStyle name="Normal 6 4 2 4 3 2" xfId="28214"/>
    <cellStyle name="Normal 6 4 2 4 4" xfId="28215"/>
    <cellStyle name="Normal 6 4 2 5" xfId="28216"/>
    <cellStyle name="Normal 6 4 2 5 2" xfId="28217"/>
    <cellStyle name="Normal 6 4 2 5 2 2" xfId="28218"/>
    <cellStyle name="Normal 6 4 2 5 2 2 2" xfId="28219"/>
    <cellStyle name="Normal 6 4 2 5 2 3" xfId="28220"/>
    <cellStyle name="Normal 6 4 2 5 3" xfId="28221"/>
    <cellStyle name="Normal 6 4 2 5 3 2" xfId="28222"/>
    <cellStyle name="Normal 6 4 2 5 4" xfId="28223"/>
    <cellStyle name="Normal 6 4 2 6" xfId="28224"/>
    <cellStyle name="Normal 6 4 2 6 2" xfId="28225"/>
    <cellStyle name="Normal 6 4 2 6 2 2" xfId="28226"/>
    <cellStyle name="Normal 6 4 2 6 2 2 2" xfId="28227"/>
    <cellStyle name="Normal 6 4 2 6 2 3" xfId="28228"/>
    <cellStyle name="Normal 6 4 2 6 3" xfId="28229"/>
    <cellStyle name="Normal 6 4 2 6 3 2" xfId="28230"/>
    <cellStyle name="Normal 6 4 2 6 4" xfId="28231"/>
    <cellStyle name="Normal 6 4 2 7" xfId="28232"/>
    <cellStyle name="Normal 6 4 2 7 2" xfId="28233"/>
    <cellStyle name="Normal 6 4 2 7 2 2" xfId="28234"/>
    <cellStyle name="Normal 6 4 2 7 3" xfId="28235"/>
    <cellStyle name="Normal 6 4 2 8" xfId="28236"/>
    <cellStyle name="Normal 6 4 2 8 2" xfId="28237"/>
    <cellStyle name="Normal 6 4 2 9" xfId="28238"/>
    <cellStyle name="Normal 6 4 3" xfId="28239"/>
    <cellStyle name="Normal 6 4 3 2" xfId="28240"/>
    <cellStyle name="Normal 6 4 3 2 2" xfId="28241"/>
    <cellStyle name="Normal 6 4 3 2 2 2" xfId="28242"/>
    <cellStyle name="Normal 6 4 3 2 2 2 2" xfId="28243"/>
    <cellStyle name="Normal 6 4 3 2 2 2 2 2" xfId="28244"/>
    <cellStyle name="Normal 6 4 3 2 2 2 3" xfId="28245"/>
    <cellStyle name="Normal 6 4 3 2 2 3" xfId="28246"/>
    <cellStyle name="Normal 6 4 3 2 2 3 2" xfId="28247"/>
    <cellStyle name="Normal 6 4 3 2 2 4" xfId="28248"/>
    <cellStyle name="Normal 6 4 3 2 3" xfId="28249"/>
    <cellStyle name="Normal 6 4 3 2 3 2" xfId="28250"/>
    <cellStyle name="Normal 6 4 3 2 3 2 2" xfId="28251"/>
    <cellStyle name="Normal 6 4 3 2 3 2 2 2" xfId="28252"/>
    <cellStyle name="Normal 6 4 3 2 3 2 3" xfId="28253"/>
    <cellStyle name="Normal 6 4 3 2 3 3" xfId="28254"/>
    <cellStyle name="Normal 6 4 3 2 3 3 2" xfId="28255"/>
    <cellStyle name="Normal 6 4 3 2 3 4" xfId="28256"/>
    <cellStyle name="Normal 6 4 3 2 4" xfId="28257"/>
    <cellStyle name="Normal 6 4 3 2 4 2" xfId="28258"/>
    <cellStyle name="Normal 6 4 3 2 4 2 2" xfId="28259"/>
    <cellStyle name="Normal 6 4 3 2 4 3" xfId="28260"/>
    <cellStyle name="Normal 6 4 3 2 5" xfId="28261"/>
    <cellStyle name="Normal 6 4 3 2 5 2" xfId="28262"/>
    <cellStyle name="Normal 6 4 3 2 6" xfId="28263"/>
    <cellStyle name="Normal 6 4 3 3" xfId="28264"/>
    <cellStyle name="Normal 6 4 3 3 2" xfId="28265"/>
    <cellStyle name="Normal 6 4 3 3 2 2" xfId="28266"/>
    <cellStyle name="Normal 6 4 3 3 2 2 2" xfId="28267"/>
    <cellStyle name="Normal 6 4 3 3 2 3" xfId="28268"/>
    <cellStyle name="Normal 6 4 3 3 3" xfId="28269"/>
    <cellStyle name="Normal 6 4 3 3 3 2" xfId="28270"/>
    <cellStyle name="Normal 6 4 3 3 4" xfId="28271"/>
    <cellStyle name="Normal 6 4 3 4" xfId="28272"/>
    <cellStyle name="Normal 6 4 3 4 2" xfId="28273"/>
    <cellStyle name="Normal 6 4 3 4 2 2" xfId="28274"/>
    <cellStyle name="Normal 6 4 3 4 2 2 2" xfId="28275"/>
    <cellStyle name="Normal 6 4 3 4 2 3" xfId="28276"/>
    <cellStyle name="Normal 6 4 3 4 3" xfId="28277"/>
    <cellStyle name="Normal 6 4 3 4 3 2" xfId="28278"/>
    <cellStyle name="Normal 6 4 3 4 4" xfId="28279"/>
    <cellStyle name="Normal 6 4 3 5" xfId="28280"/>
    <cellStyle name="Normal 6 4 3 5 2" xfId="28281"/>
    <cellStyle name="Normal 6 4 3 5 2 2" xfId="28282"/>
    <cellStyle name="Normal 6 4 3 5 3" xfId="28283"/>
    <cellStyle name="Normal 6 4 3 6" xfId="28284"/>
    <cellStyle name="Normal 6 4 3 6 2" xfId="28285"/>
    <cellStyle name="Normal 6 4 3 7" xfId="28286"/>
    <cellStyle name="Normal 6 4 4" xfId="28287"/>
    <cellStyle name="Normal 6 4 4 2" xfId="28288"/>
    <cellStyle name="Normal 6 4 4 2 2" xfId="28289"/>
    <cellStyle name="Normal 6 4 4 2 2 2" xfId="28290"/>
    <cellStyle name="Normal 6 4 4 2 2 2 2" xfId="28291"/>
    <cellStyle name="Normal 6 4 4 2 2 3" xfId="28292"/>
    <cellStyle name="Normal 6 4 4 2 3" xfId="28293"/>
    <cellStyle name="Normal 6 4 4 2 3 2" xfId="28294"/>
    <cellStyle name="Normal 6 4 4 2 4" xfId="28295"/>
    <cellStyle name="Normal 6 4 4 3" xfId="28296"/>
    <cellStyle name="Normal 6 4 4 3 2" xfId="28297"/>
    <cellStyle name="Normal 6 4 4 3 2 2" xfId="28298"/>
    <cellStyle name="Normal 6 4 4 3 2 2 2" xfId="28299"/>
    <cellStyle name="Normal 6 4 4 3 2 3" xfId="28300"/>
    <cellStyle name="Normal 6 4 4 3 3" xfId="28301"/>
    <cellStyle name="Normal 6 4 4 3 3 2" xfId="28302"/>
    <cellStyle name="Normal 6 4 4 3 4" xfId="28303"/>
    <cellStyle name="Normal 6 4 4 4" xfId="28304"/>
    <cellStyle name="Normal 6 4 4 4 2" xfId="28305"/>
    <cellStyle name="Normal 6 4 4 4 2 2" xfId="28306"/>
    <cellStyle name="Normal 6 4 4 4 3" xfId="28307"/>
    <cellStyle name="Normal 6 4 4 5" xfId="28308"/>
    <cellStyle name="Normal 6 4 4 5 2" xfId="28309"/>
    <cellStyle name="Normal 6 4 4 6" xfId="28310"/>
    <cellStyle name="Normal 6 4 5" xfId="28311"/>
    <cellStyle name="Normal 6 4 5 2" xfId="28312"/>
    <cellStyle name="Normal 6 4 5 2 2" xfId="28313"/>
    <cellStyle name="Normal 6 4 5 2 2 2" xfId="28314"/>
    <cellStyle name="Normal 6 4 5 2 3" xfId="28315"/>
    <cellStyle name="Normal 6 4 5 3" xfId="28316"/>
    <cellStyle name="Normal 6 4 5 3 2" xfId="28317"/>
    <cellStyle name="Normal 6 4 5 4" xfId="28318"/>
    <cellStyle name="Normal 6 4 6" xfId="28319"/>
    <cellStyle name="Normal 6 4 6 2" xfId="28320"/>
    <cellStyle name="Normal 6 4 6 2 2" xfId="28321"/>
    <cellStyle name="Normal 6 4 6 2 2 2" xfId="28322"/>
    <cellStyle name="Normal 6 4 6 2 3" xfId="28323"/>
    <cellStyle name="Normal 6 4 6 3" xfId="28324"/>
    <cellStyle name="Normal 6 4 6 3 2" xfId="28325"/>
    <cellStyle name="Normal 6 4 6 4" xfId="28326"/>
    <cellStyle name="Normal 6 4 7" xfId="28327"/>
    <cellStyle name="Normal 6 4 7 2" xfId="28328"/>
    <cellStyle name="Normal 6 4 7 2 2" xfId="28329"/>
    <cellStyle name="Normal 6 4 7 2 2 2" xfId="28330"/>
    <cellStyle name="Normal 6 4 7 2 3" xfId="28331"/>
    <cellStyle name="Normal 6 4 7 3" xfId="28332"/>
    <cellStyle name="Normal 6 4 7 3 2" xfId="28333"/>
    <cellStyle name="Normal 6 4 7 4" xfId="28334"/>
    <cellStyle name="Normal 6 4 8" xfId="28335"/>
    <cellStyle name="Normal 6 4 8 2" xfId="28336"/>
    <cellStyle name="Normal 6 4 8 2 2" xfId="28337"/>
    <cellStyle name="Normal 6 4 8 3" xfId="28338"/>
    <cellStyle name="Normal 6 4 9" xfId="28339"/>
    <cellStyle name="Normal 6 4 9 2" xfId="28340"/>
    <cellStyle name="Normal 6 5" xfId="28341"/>
    <cellStyle name="Normal 6 5 10" xfId="28342"/>
    <cellStyle name="Normal 6 5 2" xfId="28343"/>
    <cellStyle name="Normal 6 5 2 2" xfId="28344"/>
    <cellStyle name="Normal 6 5 2 2 2" xfId="28345"/>
    <cellStyle name="Normal 6 5 2 2 2 2" xfId="28346"/>
    <cellStyle name="Normal 6 5 2 2 2 2 2" xfId="28347"/>
    <cellStyle name="Normal 6 5 2 2 2 2 2 2" xfId="28348"/>
    <cellStyle name="Normal 6 5 2 2 2 2 2 2 2" xfId="28349"/>
    <cellStyle name="Normal 6 5 2 2 2 2 2 3" xfId="28350"/>
    <cellStyle name="Normal 6 5 2 2 2 2 3" xfId="28351"/>
    <cellStyle name="Normal 6 5 2 2 2 2 3 2" xfId="28352"/>
    <cellStyle name="Normal 6 5 2 2 2 2 4" xfId="28353"/>
    <cellStyle name="Normal 6 5 2 2 2 3" xfId="28354"/>
    <cellStyle name="Normal 6 5 2 2 2 3 2" xfId="28355"/>
    <cellStyle name="Normal 6 5 2 2 2 3 2 2" xfId="28356"/>
    <cellStyle name="Normal 6 5 2 2 2 3 2 2 2" xfId="28357"/>
    <cellStyle name="Normal 6 5 2 2 2 3 2 3" xfId="28358"/>
    <cellStyle name="Normal 6 5 2 2 2 3 3" xfId="28359"/>
    <cellStyle name="Normal 6 5 2 2 2 3 3 2" xfId="28360"/>
    <cellStyle name="Normal 6 5 2 2 2 3 4" xfId="28361"/>
    <cellStyle name="Normal 6 5 2 2 2 4" xfId="28362"/>
    <cellStyle name="Normal 6 5 2 2 2 4 2" xfId="28363"/>
    <cellStyle name="Normal 6 5 2 2 2 4 2 2" xfId="28364"/>
    <cellStyle name="Normal 6 5 2 2 2 4 3" xfId="28365"/>
    <cellStyle name="Normal 6 5 2 2 2 5" xfId="28366"/>
    <cellStyle name="Normal 6 5 2 2 2 5 2" xfId="28367"/>
    <cellStyle name="Normal 6 5 2 2 2 6" xfId="28368"/>
    <cellStyle name="Normal 6 5 2 2 3" xfId="28369"/>
    <cellStyle name="Normal 6 5 2 2 3 2" xfId="28370"/>
    <cellStyle name="Normal 6 5 2 2 3 2 2" xfId="28371"/>
    <cellStyle name="Normal 6 5 2 2 3 2 2 2" xfId="28372"/>
    <cellStyle name="Normal 6 5 2 2 3 2 3" xfId="28373"/>
    <cellStyle name="Normal 6 5 2 2 3 3" xfId="28374"/>
    <cellStyle name="Normal 6 5 2 2 3 3 2" xfId="28375"/>
    <cellStyle name="Normal 6 5 2 2 3 4" xfId="28376"/>
    <cellStyle name="Normal 6 5 2 2 4" xfId="28377"/>
    <cellStyle name="Normal 6 5 2 2 4 2" xfId="28378"/>
    <cellStyle name="Normal 6 5 2 2 4 2 2" xfId="28379"/>
    <cellStyle name="Normal 6 5 2 2 4 2 2 2" xfId="28380"/>
    <cellStyle name="Normal 6 5 2 2 4 2 3" xfId="28381"/>
    <cellStyle name="Normal 6 5 2 2 4 3" xfId="28382"/>
    <cellStyle name="Normal 6 5 2 2 4 3 2" xfId="28383"/>
    <cellStyle name="Normal 6 5 2 2 4 4" xfId="28384"/>
    <cellStyle name="Normal 6 5 2 2 5" xfId="28385"/>
    <cellStyle name="Normal 6 5 2 2 5 2" xfId="28386"/>
    <cellStyle name="Normal 6 5 2 2 5 2 2" xfId="28387"/>
    <cellStyle name="Normal 6 5 2 2 5 3" xfId="28388"/>
    <cellStyle name="Normal 6 5 2 2 6" xfId="28389"/>
    <cellStyle name="Normal 6 5 2 2 6 2" xfId="28390"/>
    <cellStyle name="Normal 6 5 2 2 7" xfId="28391"/>
    <cellStyle name="Normal 6 5 2 3" xfId="28392"/>
    <cellStyle name="Normal 6 5 2 3 2" xfId="28393"/>
    <cellStyle name="Normal 6 5 2 3 2 2" xfId="28394"/>
    <cellStyle name="Normal 6 5 2 3 2 2 2" xfId="28395"/>
    <cellStyle name="Normal 6 5 2 3 2 2 2 2" xfId="28396"/>
    <cellStyle name="Normal 6 5 2 3 2 2 3" xfId="28397"/>
    <cellStyle name="Normal 6 5 2 3 2 3" xfId="28398"/>
    <cellStyle name="Normal 6 5 2 3 2 3 2" xfId="28399"/>
    <cellStyle name="Normal 6 5 2 3 2 4" xfId="28400"/>
    <cellStyle name="Normal 6 5 2 3 3" xfId="28401"/>
    <cellStyle name="Normal 6 5 2 3 3 2" xfId="28402"/>
    <cellStyle name="Normal 6 5 2 3 3 2 2" xfId="28403"/>
    <cellStyle name="Normal 6 5 2 3 3 2 2 2" xfId="28404"/>
    <cellStyle name="Normal 6 5 2 3 3 2 3" xfId="28405"/>
    <cellStyle name="Normal 6 5 2 3 3 3" xfId="28406"/>
    <cellStyle name="Normal 6 5 2 3 3 3 2" xfId="28407"/>
    <cellStyle name="Normal 6 5 2 3 3 4" xfId="28408"/>
    <cellStyle name="Normal 6 5 2 3 4" xfId="28409"/>
    <cellStyle name="Normal 6 5 2 3 4 2" xfId="28410"/>
    <cellStyle name="Normal 6 5 2 3 4 2 2" xfId="28411"/>
    <cellStyle name="Normal 6 5 2 3 4 3" xfId="28412"/>
    <cellStyle name="Normal 6 5 2 3 5" xfId="28413"/>
    <cellStyle name="Normal 6 5 2 3 5 2" xfId="28414"/>
    <cellStyle name="Normal 6 5 2 3 6" xfId="28415"/>
    <cellStyle name="Normal 6 5 2 4" xfId="28416"/>
    <cellStyle name="Normal 6 5 2 4 2" xfId="28417"/>
    <cellStyle name="Normal 6 5 2 4 2 2" xfId="28418"/>
    <cellStyle name="Normal 6 5 2 4 2 2 2" xfId="28419"/>
    <cellStyle name="Normal 6 5 2 4 2 3" xfId="28420"/>
    <cellStyle name="Normal 6 5 2 4 3" xfId="28421"/>
    <cellStyle name="Normal 6 5 2 4 3 2" xfId="28422"/>
    <cellStyle name="Normal 6 5 2 4 4" xfId="28423"/>
    <cellStyle name="Normal 6 5 2 5" xfId="28424"/>
    <cellStyle name="Normal 6 5 2 5 2" xfId="28425"/>
    <cellStyle name="Normal 6 5 2 5 2 2" xfId="28426"/>
    <cellStyle name="Normal 6 5 2 5 2 2 2" xfId="28427"/>
    <cellStyle name="Normal 6 5 2 5 2 3" xfId="28428"/>
    <cellStyle name="Normal 6 5 2 5 3" xfId="28429"/>
    <cellStyle name="Normal 6 5 2 5 3 2" xfId="28430"/>
    <cellStyle name="Normal 6 5 2 5 4" xfId="28431"/>
    <cellStyle name="Normal 6 5 2 6" xfId="28432"/>
    <cellStyle name="Normal 6 5 2 6 2" xfId="28433"/>
    <cellStyle name="Normal 6 5 2 6 2 2" xfId="28434"/>
    <cellStyle name="Normal 6 5 2 6 2 2 2" xfId="28435"/>
    <cellStyle name="Normal 6 5 2 6 2 3" xfId="28436"/>
    <cellStyle name="Normal 6 5 2 6 3" xfId="28437"/>
    <cellStyle name="Normal 6 5 2 6 3 2" xfId="28438"/>
    <cellStyle name="Normal 6 5 2 6 4" xfId="28439"/>
    <cellStyle name="Normal 6 5 2 7" xfId="28440"/>
    <cellStyle name="Normal 6 5 2 7 2" xfId="28441"/>
    <cellStyle name="Normal 6 5 2 7 2 2" xfId="28442"/>
    <cellStyle name="Normal 6 5 2 7 3" xfId="28443"/>
    <cellStyle name="Normal 6 5 2 8" xfId="28444"/>
    <cellStyle name="Normal 6 5 2 8 2" xfId="28445"/>
    <cellStyle name="Normal 6 5 2 9" xfId="28446"/>
    <cellStyle name="Normal 6 5 3" xfId="28447"/>
    <cellStyle name="Normal 6 5 3 2" xfId="28448"/>
    <cellStyle name="Normal 6 5 3 2 2" xfId="28449"/>
    <cellStyle name="Normal 6 5 3 2 2 2" xfId="28450"/>
    <cellStyle name="Normal 6 5 3 2 2 2 2" xfId="28451"/>
    <cellStyle name="Normal 6 5 3 2 2 2 2 2" xfId="28452"/>
    <cellStyle name="Normal 6 5 3 2 2 2 3" xfId="28453"/>
    <cellStyle name="Normal 6 5 3 2 2 3" xfId="28454"/>
    <cellStyle name="Normal 6 5 3 2 2 3 2" xfId="28455"/>
    <cellStyle name="Normal 6 5 3 2 2 4" xfId="28456"/>
    <cellStyle name="Normal 6 5 3 2 3" xfId="28457"/>
    <cellStyle name="Normal 6 5 3 2 3 2" xfId="28458"/>
    <cellStyle name="Normal 6 5 3 2 3 2 2" xfId="28459"/>
    <cellStyle name="Normal 6 5 3 2 3 2 2 2" xfId="28460"/>
    <cellStyle name="Normal 6 5 3 2 3 2 3" xfId="28461"/>
    <cellStyle name="Normal 6 5 3 2 3 3" xfId="28462"/>
    <cellStyle name="Normal 6 5 3 2 3 3 2" xfId="28463"/>
    <cellStyle name="Normal 6 5 3 2 3 4" xfId="28464"/>
    <cellStyle name="Normal 6 5 3 2 4" xfId="28465"/>
    <cellStyle name="Normal 6 5 3 2 4 2" xfId="28466"/>
    <cellStyle name="Normal 6 5 3 2 4 2 2" xfId="28467"/>
    <cellStyle name="Normal 6 5 3 2 4 3" xfId="28468"/>
    <cellStyle name="Normal 6 5 3 2 5" xfId="28469"/>
    <cellStyle name="Normal 6 5 3 2 5 2" xfId="28470"/>
    <cellStyle name="Normal 6 5 3 2 6" xfId="28471"/>
    <cellStyle name="Normal 6 5 3 3" xfId="28472"/>
    <cellStyle name="Normal 6 5 3 3 2" xfId="28473"/>
    <cellStyle name="Normal 6 5 3 3 2 2" xfId="28474"/>
    <cellStyle name="Normal 6 5 3 3 2 2 2" xfId="28475"/>
    <cellStyle name="Normal 6 5 3 3 2 3" xfId="28476"/>
    <cellStyle name="Normal 6 5 3 3 3" xfId="28477"/>
    <cellStyle name="Normal 6 5 3 3 3 2" xfId="28478"/>
    <cellStyle name="Normal 6 5 3 3 4" xfId="28479"/>
    <cellStyle name="Normal 6 5 3 4" xfId="28480"/>
    <cellStyle name="Normal 6 5 3 4 2" xfId="28481"/>
    <cellStyle name="Normal 6 5 3 4 2 2" xfId="28482"/>
    <cellStyle name="Normal 6 5 3 4 2 2 2" xfId="28483"/>
    <cellStyle name="Normal 6 5 3 4 2 3" xfId="28484"/>
    <cellStyle name="Normal 6 5 3 4 3" xfId="28485"/>
    <cellStyle name="Normal 6 5 3 4 3 2" xfId="28486"/>
    <cellStyle name="Normal 6 5 3 4 4" xfId="28487"/>
    <cellStyle name="Normal 6 5 3 5" xfId="28488"/>
    <cellStyle name="Normal 6 5 3 5 2" xfId="28489"/>
    <cellStyle name="Normal 6 5 3 5 2 2" xfId="28490"/>
    <cellStyle name="Normal 6 5 3 5 3" xfId="28491"/>
    <cellStyle name="Normal 6 5 3 6" xfId="28492"/>
    <cellStyle name="Normal 6 5 3 6 2" xfId="28493"/>
    <cellStyle name="Normal 6 5 3 7" xfId="28494"/>
    <cellStyle name="Normal 6 5 4" xfId="28495"/>
    <cellStyle name="Normal 6 5 4 2" xfId="28496"/>
    <cellStyle name="Normal 6 5 4 2 2" xfId="28497"/>
    <cellStyle name="Normal 6 5 4 2 2 2" xfId="28498"/>
    <cellStyle name="Normal 6 5 4 2 2 2 2" xfId="28499"/>
    <cellStyle name="Normal 6 5 4 2 2 3" xfId="28500"/>
    <cellStyle name="Normal 6 5 4 2 3" xfId="28501"/>
    <cellStyle name="Normal 6 5 4 2 3 2" xfId="28502"/>
    <cellStyle name="Normal 6 5 4 2 4" xfId="28503"/>
    <cellStyle name="Normal 6 5 4 3" xfId="28504"/>
    <cellStyle name="Normal 6 5 4 3 2" xfId="28505"/>
    <cellStyle name="Normal 6 5 4 3 2 2" xfId="28506"/>
    <cellStyle name="Normal 6 5 4 3 2 2 2" xfId="28507"/>
    <cellStyle name="Normal 6 5 4 3 2 3" xfId="28508"/>
    <cellStyle name="Normal 6 5 4 3 3" xfId="28509"/>
    <cellStyle name="Normal 6 5 4 3 3 2" xfId="28510"/>
    <cellStyle name="Normal 6 5 4 3 4" xfId="28511"/>
    <cellStyle name="Normal 6 5 4 4" xfId="28512"/>
    <cellStyle name="Normal 6 5 4 4 2" xfId="28513"/>
    <cellStyle name="Normal 6 5 4 4 2 2" xfId="28514"/>
    <cellStyle name="Normal 6 5 4 4 3" xfId="28515"/>
    <cellStyle name="Normal 6 5 4 5" xfId="28516"/>
    <cellStyle name="Normal 6 5 4 5 2" xfId="28517"/>
    <cellStyle name="Normal 6 5 4 6" xfId="28518"/>
    <cellStyle name="Normal 6 5 5" xfId="28519"/>
    <cellStyle name="Normal 6 5 5 2" xfId="28520"/>
    <cellStyle name="Normal 6 5 5 2 2" xfId="28521"/>
    <cellStyle name="Normal 6 5 5 2 2 2" xfId="28522"/>
    <cellStyle name="Normal 6 5 5 2 3" xfId="28523"/>
    <cellStyle name="Normal 6 5 5 3" xfId="28524"/>
    <cellStyle name="Normal 6 5 5 3 2" xfId="28525"/>
    <cellStyle name="Normal 6 5 5 4" xfId="28526"/>
    <cellStyle name="Normal 6 5 6" xfId="28527"/>
    <cellStyle name="Normal 6 5 6 2" xfId="28528"/>
    <cellStyle name="Normal 6 5 6 2 2" xfId="28529"/>
    <cellStyle name="Normal 6 5 6 2 2 2" xfId="28530"/>
    <cellStyle name="Normal 6 5 6 2 3" xfId="28531"/>
    <cellStyle name="Normal 6 5 6 3" xfId="28532"/>
    <cellStyle name="Normal 6 5 6 3 2" xfId="28533"/>
    <cellStyle name="Normal 6 5 6 4" xfId="28534"/>
    <cellStyle name="Normal 6 5 7" xfId="28535"/>
    <cellStyle name="Normal 6 5 7 2" xfId="28536"/>
    <cellStyle name="Normal 6 5 7 2 2" xfId="28537"/>
    <cellStyle name="Normal 6 5 7 2 2 2" xfId="28538"/>
    <cellStyle name="Normal 6 5 7 2 3" xfId="28539"/>
    <cellStyle name="Normal 6 5 7 3" xfId="28540"/>
    <cellStyle name="Normal 6 5 7 3 2" xfId="28541"/>
    <cellStyle name="Normal 6 5 7 4" xfId="28542"/>
    <cellStyle name="Normal 6 5 8" xfId="28543"/>
    <cellStyle name="Normal 6 5 8 2" xfId="28544"/>
    <cellStyle name="Normal 6 5 8 2 2" xfId="28545"/>
    <cellStyle name="Normal 6 5 8 3" xfId="28546"/>
    <cellStyle name="Normal 6 5 9" xfId="28547"/>
    <cellStyle name="Normal 6 5 9 2" xfId="28548"/>
    <cellStyle name="Normal 6 6" xfId="28549"/>
    <cellStyle name="Normal 6 6 2" xfId="28550"/>
    <cellStyle name="Normal 6 6 2 2" xfId="28551"/>
    <cellStyle name="Normal 6 6 2 2 2" xfId="28552"/>
    <cellStyle name="Normal 6 6 2 2 2 2" xfId="28553"/>
    <cellStyle name="Normal 6 6 2 2 2 2 2" xfId="28554"/>
    <cellStyle name="Normal 6 6 2 2 2 2 2 2" xfId="28555"/>
    <cellStyle name="Normal 6 6 2 2 2 2 3" xfId="28556"/>
    <cellStyle name="Normal 6 6 2 2 2 3" xfId="28557"/>
    <cellStyle name="Normal 6 6 2 2 2 3 2" xfId="28558"/>
    <cellStyle name="Normal 6 6 2 2 2 4" xfId="28559"/>
    <cellStyle name="Normal 6 6 2 2 3" xfId="28560"/>
    <cellStyle name="Normal 6 6 2 2 3 2" xfId="28561"/>
    <cellStyle name="Normal 6 6 2 2 3 2 2" xfId="28562"/>
    <cellStyle name="Normal 6 6 2 2 3 2 2 2" xfId="28563"/>
    <cellStyle name="Normal 6 6 2 2 3 2 3" xfId="28564"/>
    <cellStyle name="Normal 6 6 2 2 3 3" xfId="28565"/>
    <cellStyle name="Normal 6 6 2 2 3 3 2" xfId="28566"/>
    <cellStyle name="Normal 6 6 2 2 3 4" xfId="28567"/>
    <cellStyle name="Normal 6 6 2 2 4" xfId="28568"/>
    <cellStyle name="Normal 6 6 2 2 4 2" xfId="28569"/>
    <cellStyle name="Normal 6 6 2 2 4 2 2" xfId="28570"/>
    <cellStyle name="Normal 6 6 2 2 4 3" xfId="28571"/>
    <cellStyle name="Normal 6 6 2 2 5" xfId="28572"/>
    <cellStyle name="Normal 6 6 2 2 5 2" xfId="28573"/>
    <cellStyle name="Normal 6 6 2 2 6" xfId="28574"/>
    <cellStyle name="Normal 6 6 2 3" xfId="28575"/>
    <cellStyle name="Normal 6 6 2 3 2" xfId="28576"/>
    <cellStyle name="Normal 6 6 2 3 2 2" xfId="28577"/>
    <cellStyle name="Normal 6 6 2 3 2 2 2" xfId="28578"/>
    <cellStyle name="Normal 6 6 2 3 2 3" xfId="28579"/>
    <cellStyle name="Normal 6 6 2 3 3" xfId="28580"/>
    <cellStyle name="Normal 6 6 2 3 3 2" xfId="28581"/>
    <cellStyle name="Normal 6 6 2 3 4" xfId="28582"/>
    <cellStyle name="Normal 6 6 2 4" xfId="28583"/>
    <cellStyle name="Normal 6 6 2 4 2" xfId="28584"/>
    <cellStyle name="Normal 6 6 2 4 2 2" xfId="28585"/>
    <cellStyle name="Normal 6 6 2 4 2 2 2" xfId="28586"/>
    <cellStyle name="Normal 6 6 2 4 2 3" xfId="28587"/>
    <cellStyle name="Normal 6 6 2 4 3" xfId="28588"/>
    <cellStyle name="Normal 6 6 2 4 3 2" xfId="28589"/>
    <cellStyle name="Normal 6 6 2 4 4" xfId="28590"/>
    <cellStyle name="Normal 6 6 2 5" xfId="28591"/>
    <cellStyle name="Normal 6 6 2 5 2" xfId="28592"/>
    <cellStyle name="Normal 6 6 2 5 2 2" xfId="28593"/>
    <cellStyle name="Normal 6 6 2 5 3" xfId="28594"/>
    <cellStyle name="Normal 6 6 2 6" xfId="28595"/>
    <cellStyle name="Normal 6 6 2 6 2" xfId="28596"/>
    <cellStyle name="Normal 6 6 2 7" xfId="28597"/>
    <cellStyle name="Normal 6 6 3" xfId="28598"/>
    <cellStyle name="Normal 6 6 3 2" xfId="28599"/>
    <cellStyle name="Normal 6 6 3 2 2" xfId="28600"/>
    <cellStyle name="Normal 6 6 3 2 2 2" xfId="28601"/>
    <cellStyle name="Normal 6 6 3 2 2 2 2" xfId="28602"/>
    <cellStyle name="Normal 6 6 3 2 2 3" xfId="28603"/>
    <cellStyle name="Normal 6 6 3 2 3" xfId="28604"/>
    <cellStyle name="Normal 6 6 3 2 3 2" xfId="28605"/>
    <cellStyle name="Normal 6 6 3 2 4" xfId="28606"/>
    <cellStyle name="Normal 6 6 3 3" xfId="28607"/>
    <cellStyle name="Normal 6 6 3 3 2" xfId="28608"/>
    <cellStyle name="Normal 6 6 3 3 2 2" xfId="28609"/>
    <cellStyle name="Normal 6 6 3 3 2 2 2" xfId="28610"/>
    <cellStyle name="Normal 6 6 3 3 2 3" xfId="28611"/>
    <cellStyle name="Normal 6 6 3 3 3" xfId="28612"/>
    <cellStyle name="Normal 6 6 3 3 3 2" xfId="28613"/>
    <cellStyle name="Normal 6 6 3 3 4" xfId="28614"/>
    <cellStyle name="Normal 6 6 3 4" xfId="28615"/>
    <cellStyle name="Normal 6 6 3 4 2" xfId="28616"/>
    <cellStyle name="Normal 6 6 3 4 2 2" xfId="28617"/>
    <cellStyle name="Normal 6 6 3 4 3" xfId="28618"/>
    <cellStyle name="Normal 6 6 3 5" xfId="28619"/>
    <cellStyle name="Normal 6 6 3 5 2" xfId="28620"/>
    <cellStyle name="Normal 6 6 3 6" xfId="28621"/>
    <cellStyle name="Normal 6 6 4" xfId="28622"/>
    <cellStyle name="Normal 6 6 4 2" xfId="28623"/>
    <cellStyle name="Normal 6 6 4 2 2" xfId="28624"/>
    <cellStyle name="Normal 6 6 4 2 2 2" xfId="28625"/>
    <cellStyle name="Normal 6 6 4 2 3" xfId="28626"/>
    <cellStyle name="Normal 6 6 4 3" xfId="28627"/>
    <cellStyle name="Normal 6 6 4 3 2" xfId="28628"/>
    <cellStyle name="Normal 6 6 4 4" xfId="28629"/>
    <cellStyle name="Normal 6 6 5" xfId="28630"/>
    <cellStyle name="Normal 6 6 5 2" xfId="28631"/>
    <cellStyle name="Normal 6 6 5 2 2" xfId="28632"/>
    <cellStyle name="Normal 6 6 5 2 2 2" xfId="28633"/>
    <cellStyle name="Normal 6 6 5 2 3" xfId="28634"/>
    <cellStyle name="Normal 6 6 5 3" xfId="28635"/>
    <cellStyle name="Normal 6 6 5 3 2" xfId="28636"/>
    <cellStyle name="Normal 6 6 5 4" xfId="28637"/>
    <cellStyle name="Normal 6 6 6" xfId="28638"/>
    <cellStyle name="Normal 6 6 6 2" xfId="28639"/>
    <cellStyle name="Normal 6 6 6 2 2" xfId="28640"/>
    <cellStyle name="Normal 6 6 6 2 2 2" xfId="28641"/>
    <cellStyle name="Normal 6 6 6 2 3" xfId="28642"/>
    <cellStyle name="Normal 6 6 6 3" xfId="28643"/>
    <cellStyle name="Normal 6 6 6 3 2" xfId="28644"/>
    <cellStyle name="Normal 6 6 6 4" xfId="28645"/>
    <cellStyle name="Normal 6 6 7" xfId="28646"/>
    <cellStyle name="Normal 6 6 7 2" xfId="28647"/>
    <cellStyle name="Normal 6 6 7 2 2" xfId="28648"/>
    <cellStyle name="Normal 6 6 7 3" xfId="28649"/>
    <cellStyle name="Normal 6 6 8" xfId="28650"/>
    <cellStyle name="Normal 6 6 8 2" xfId="28651"/>
    <cellStyle name="Normal 6 6 9" xfId="28652"/>
    <cellStyle name="Normal 6 7" xfId="28653"/>
    <cellStyle name="Normal 6 7 2" xfId="28654"/>
    <cellStyle name="Normal 6 7 2 2" xfId="28655"/>
    <cellStyle name="Normal 6 7 2 2 2" xfId="28656"/>
    <cellStyle name="Normal 6 7 2 2 2 2" xfId="28657"/>
    <cellStyle name="Normal 6 7 2 2 2 2 2" xfId="28658"/>
    <cellStyle name="Normal 6 7 2 2 2 3" xfId="28659"/>
    <cellStyle name="Normal 6 7 2 2 3" xfId="28660"/>
    <cellStyle name="Normal 6 7 2 2 3 2" xfId="28661"/>
    <cellStyle name="Normal 6 7 2 2 4" xfId="28662"/>
    <cellStyle name="Normal 6 7 2 3" xfId="28663"/>
    <cellStyle name="Normal 6 7 2 3 2" xfId="28664"/>
    <cellStyle name="Normal 6 7 2 3 2 2" xfId="28665"/>
    <cellStyle name="Normal 6 7 2 3 2 2 2" xfId="28666"/>
    <cellStyle name="Normal 6 7 2 3 2 3" xfId="28667"/>
    <cellStyle name="Normal 6 7 2 3 3" xfId="28668"/>
    <cellStyle name="Normal 6 7 2 3 3 2" xfId="28669"/>
    <cellStyle name="Normal 6 7 2 3 4" xfId="28670"/>
    <cellStyle name="Normal 6 7 2 4" xfId="28671"/>
    <cellStyle name="Normal 6 7 2 4 2" xfId="28672"/>
    <cellStyle name="Normal 6 7 2 4 2 2" xfId="28673"/>
    <cellStyle name="Normal 6 7 2 4 3" xfId="28674"/>
    <cellStyle name="Normal 6 7 2 5" xfId="28675"/>
    <cellStyle name="Normal 6 7 2 5 2" xfId="28676"/>
    <cellStyle name="Normal 6 7 2 6" xfId="28677"/>
    <cellStyle name="Normal 6 7 3" xfId="28678"/>
    <cellStyle name="Normal 6 7 3 2" xfId="28679"/>
    <cellStyle name="Normal 6 7 3 2 2" xfId="28680"/>
    <cellStyle name="Normal 6 7 3 2 2 2" xfId="28681"/>
    <cellStyle name="Normal 6 7 3 2 3" xfId="28682"/>
    <cellStyle name="Normal 6 7 3 3" xfId="28683"/>
    <cellStyle name="Normal 6 7 3 3 2" xfId="28684"/>
    <cellStyle name="Normal 6 7 3 4" xfId="28685"/>
    <cellStyle name="Normal 6 7 4" xfId="28686"/>
    <cellStyle name="Normal 6 7 4 2" xfId="28687"/>
    <cellStyle name="Normal 6 7 4 2 2" xfId="28688"/>
    <cellStyle name="Normal 6 7 4 2 2 2" xfId="28689"/>
    <cellStyle name="Normal 6 7 4 2 3" xfId="28690"/>
    <cellStyle name="Normal 6 7 4 3" xfId="28691"/>
    <cellStyle name="Normal 6 7 4 3 2" xfId="28692"/>
    <cellStyle name="Normal 6 7 4 4" xfId="28693"/>
    <cellStyle name="Normal 6 7 5" xfId="28694"/>
    <cellStyle name="Normal 6 7 5 2" xfId="28695"/>
    <cellStyle name="Normal 6 7 5 2 2" xfId="28696"/>
    <cellStyle name="Normal 6 7 5 3" xfId="28697"/>
    <cellStyle name="Normal 6 7 6" xfId="28698"/>
    <cellStyle name="Normal 6 7 6 2" xfId="28699"/>
    <cellStyle name="Normal 6 7 7" xfId="28700"/>
    <cellStyle name="Normal 6 8" xfId="28701"/>
    <cellStyle name="Normal 6 8 2" xfId="28702"/>
    <cellStyle name="Normal 6 8 2 2" xfId="28703"/>
    <cellStyle name="Normal 6 8 2 2 2" xfId="28704"/>
    <cellStyle name="Normal 6 8 2 2 2 2" xfId="28705"/>
    <cellStyle name="Normal 6 8 2 2 3" xfId="28706"/>
    <cellStyle name="Normal 6 8 2 3" xfId="28707"/>
    <cellStyle name="Normal 6 8 2 3 2" xfId="28708"/>
    <cellStyle name="Normal 6 8 2 4" xfId="28709"/>
    <cellStyle name="Normal 6 8 3" xfId="28710"/>
    <cellStyle name="Normal 6 8 3 2" xfId="28711"/>
    <cellStyle name="Normal 6 8 3 2 2" xfId="28712"/>
    <cellStyle name="Normal 6 8 3 2 2 2" xfId="28713"/>
    <cellStyle name="Normal 6 8 3 2 3" xfId="28714"/>
    <cellStyle name="Normal 6 8 3 3" xfId="28715"/>
    <cellStyle name="Normal 6 8 3 3 2" xfId="28716"/>
    <cellStyle name="Normal 6 8 3 4" xfId="28717"/>
    <cellStyle name="Normal 6 8 4" xfId="28718"/>
    <cellStyle name="Normal 6 8 4 2" xfId="28719"/>
    <cellStyle name="Normal 6 8 4 2 2" xfId="28720"/>
    <cellStyle name="Normal 6 8 4 3" xfId="28721"/>
    <cellStyle name="Normal 6 8 5" xfId="28722"/>
    <cellStyle name="Normal 6 8 5 2" xfId="28723"/>
    <cellStyle name="Normal 6 8 6" xfId="28724"/>
    <cellStyle name="Normal 6 9" xfId="28725"/>
    <cellStyle name="Normal 6 9 2" xfId="28726"/>
    <cellStyle name="Normal 6 9 2 2" xfId="28727"/>
    <cellStyle name="Normal 6 9 2 2 2" xfId="28728"/>
    <cellStyle name="Normal 6 9 2 3" xfId="28729"/>
    <cellStyle name="Normal 6 9 3" xfId="28730"/>
    <cellStyle name="Normal 6 9 3 2" xfId="28731"/>
    <cellStyle name="Normal 6 9 4" xfId="28732"/>
    <cellStyle name="Normal 7" xfId="28733"/>
    <cellStyle name="Normal 7 10" xfId="28734"/>
    <cellStyle name="Normal 7 10 2" xfId="28735"/>
    <cellStyle name="Normal 7 10 2 2" xfId="28736"/>
    <cellStyle name="Normal 7 10 2 2 2" xfId="28737"/>
    <cellStyle name="Normal 7 10 2 3" xfId="28738"/>
    <cellStyle name="Normal 7 10 3" xfId="28739"/>
    <cellStyle name="Normal 7 10 3 2" xfId="28740"/>
    <cellStyle name="Normal 7 10 4" xfId="28741"/>
    <cellStyle name="Normal 7 11" xfId="28742"/>
    <cellStyle name="Normal 7 11 2" xfId="28743"/>
    <cellStyle name="Normal 7 11 2 2" xfId="28744"/>
    <cellStyle name="Normal 7 11 2 2 2" xfId="28745"/>
    <cellStyle name="Normal 7 11 2 3" xfId="28746"/>
    <cellStyle name="Normal 7 11 3" xfId="28747"/>
    <cellStyle name="Normal 7 11 3 2" xfId="28748"/>
    <cellStyle name="Normal 7 11 4" xfId="28749"/>
    <cellStyle name="Normal 7 12" xfId="28750"/>
    <cellStyle name="Normal 7 12 2" xfId="28751"/>
    <cellStyle name="Normal 7 12 2 2" xfId="28752"/>
    <cellStyle name="Normal 7 12 3" xfId="28753"/>
    <cellStyle name="Normal 7 13" xfId="28754"/>
    <cellStyle name="Normal 7 13 2" xfId="28755"/>
    <cellStyle name="Normal 7 14" xfId="28756"/>
    <cellStyle name="Normal 7 2" xfId="28757"/>
    <cellStyle name="Normal 7 2 10" xfId="28758"/>
    <cellStyle name="Normal 7 2 10 2" xfId="28759"/>
    <cellStyle name="Normal 7 2 10 2 2" xfId="28760"/>
    <cellStyle name="Normal 7 2 10 2 2 2" xfId="28761"/>
    <cellStyle name="Normal 7 2 10 2 3" xfId="28762"/>
    <cellStyle name="Normal 7 2 10 3" xfId="28763"/>
    <cellStyle name="Normal 7 2 10 3 2" xfId="28764"/>
    <cellStyle name="Normal 7 2 10 4" xfId="28765"/>
    <cellStyle name="Normal 7 2 11" xfId="28766"/>
    <cellStyle name="Normal 7 2 11 2" xfId="28767"/>
    <cellStyle name="Normal 7 2 11 2 2" xfId="28768"/>
    <cellStyle name="Normal 7 2 11 3" xfId="28769"/>
    <cellStyle name="Normal 7 2 12" xfId="28770"/>
    <cellStyle name="Normal 7 2 12 2" xfId="28771"/>
    <cellStyle name="Normal 7 2 13" xfId="28772"/>
    <cellStyle name="Normal 7 2 2" xfId="28773"/>
    <cellStyle name="Normal 7 2 2 10" xfId="28774"/>
    <cellStyle name="Normal 7 2 2 10 2" xfId="28775"/>
    <cellStyle name="Normal 7 2 2 11" xfId="28776"/>
    <cellStyle name="Normal 7 2 2 2" xfId="28777"/>
    <cellStyle name="Normal 7 2 2 2 10" xfId="28778"/>
    <cellStyle name="Normal 7 2 2 2 2" xfId="28779"/>
    <cellStyle name="Normal 7 2 2 2 2 2" xfId="28780"/>
    <cellStyle name="Normal 7 2 2 2 2 2 2" xfId="28781"/>
    <cellStyle name="Normal 7 2 2 2 2 2 2 2" xfId="28782"/>
    <cellStyle name="Normal 7 2 2 2 2 2 2 2 2" xfId="28783"/>
    <cellStyle name="Normal 7 2 2 2 2 2 2 2 2 2" xfId="28784"/>
    <cellStyle name="Normal 7 2 2 2 2 2 2 2 2 2 2" xfId="28785"/>
    <cellStyle name="Normal 7 2 2 2 2 2 2 2 2 3" xfId="28786"/>
    <cellStyle name="Normal 7 2 2 2 2 2 2 2 3" xfId="28787"/>
    <cellStyle name="Normal 7 2 2 2 2 2 2 2 3 2" xfId="28788"/>
    <cellStyle name="Normal 7 2 2 2 2 2 2 2 4" xfId="28789"/>
    <cellStyle name="Normal 7 2 2 2 2 2 2 3" xfId="28790"/>
    <cellStyle name="Normal 7 2 2 2 2 2 2 3 2" xfId="28791"/>
    <cellStyle name="Normal 7 2 2 2 2 2 2 3 2 2" xfId="28792"/>
    <cellStyle name="Normal 7 2 2 2 2 2 2 3 2 2 2" xfId="28793"/>
    <cellStyle name="Normal 7 2 2 2 2 2 2 3 2 3" xfId="28794"/>
    <cellStyle name="Normal 7 2 2 2 2 2 2 3 3" xfId="28795"/>
    <cellStyle name="Normal 7 2 2 2 2 2 2 3 3 2" xfId="28796"/>
    <cellStyle name="Normal 7 2 2 2 2 2 2 3 4" xfId="28797"/>
    <cellStyle name="Normal 7 2 2 2 2 2 2 4" xfId="28798"/>
    <cellStyle name="Normal 7 2 2 2 2 2 2 4 2" xfId="28799"/>
    <cellStyle name="Normal 7 2 2 2 2 2 2 4 2 2" xfId="28800"/>
    <cellStyle name="Normal 7 2 2 2 2 2 2 4 3" xfId="28801"/>
    <cellStyle name="Normal 7 2 2 2 2 2 2 5" xfId="28802"/>
    <cellStyle name="Normal 7 2 2 2 2 2 2 5 2" xfId="28803"/>
    <cellStyle name="Normal 7 2 2 2 2 2 2 6" xfId="28804"/>
    <cellStyle name="Normal 7 2 2 2 2 2 3" xfId="28805"/>
    <cellStyle name="Normal 7 2 2 2 2 2 3 2" xfId="28806"/>
    <cellStyle name="Normal 7 2 2 2 2 2 3 2 2" xfId="28807"/>
    <cellStyle name="Normal 7 2 2 2 2 2 3 2 2 2" xfId="28808"/>
    <cellStyle name="Normal 7 2 2 2 2 2 3 2 3" xfId="28809"/>
    <cellStyle name="Normal 7 2 2 2 2 2 3 3" xfId="28810"/>
    <cellStyle name="Normal 7 2 2 2 2 2 3 3 2" xfId="28811"/>
    <cellStyle name="Normal 7 2 2 2 2 2 3 4" xfId="28812"/>
    <cellStyle name="Normal 7 2 2 2 2 2 4" xfId="28813"/>
    <cellStyle name="Normal 7 2 2 2 2 2 4 2" xfId="28814"/>
    <cellStyle name="Normal 7 2 2 2 2 2 4 2 2" xfId="28815"/>
    <cellStyle name="Normal 7 2 2 2 2 2 4 2 2 2" xfId="28816"/>
    <cellStyle name="Normal 7 2 2 2 2 2 4 2 3" xfId="28817"/>
    <cellStyle name="Normal 7 2 2 2 2 2 4 3" xfId="28818"/>
    <cellStyle name="Normal 7 2 2 2 2 2 4 3 2" xfId="28819"/>
    <cellStyle name="Normal 7 2 2 2 2 2 4 4" xfId="28820"/>
    <cellStyle name="Normal 7 2 2 2 2 2 5" xfId="28821"/>
    <cellStyle name="Normal 7 2 2 2 2 2 5 2" xfId="28822"/>
    <cellStyle name="Normal 7 2 2 2 2 2 5 2 2" xfId="28823"/>
    <cellStyle name="Normal 7 2 2 2 2 2 5 3" xfId="28824"/>
    <cellStyle name="Normal 7 2 2 2 2 2 6" xfId="28825"/>
    <cellStyle name="Normal 7 2 2 2 2 2 6 2" xfId="28826"/>
    <cellStyle name="Normal 7 2 2 2 2 2 7" xfId="28827"/>
    <cellStyle name="Normal 7 2 2 2 2 3" xfId="28828"/>
    <cellStyle name="Normal 7 2 2 2 2 3 2" xfId="28829"/>
    <cellStyle name="Normal 7 2 2 2 2 3 2 2" xfId="28830"/>
    <cellStyle name="Normal 7 2 2 2 2 3 2 2 2" xfId="28831"/>
    <cellStyle name="Normal 7 2 2 2 2 3 2 2 2 2" xfId="28832"/>
    <cellStyle name="Normal 7 2 2 2 2 3 2 2 3" xfId="28833"/>
    <cellStyle name="Normal 7 2 2 2 2 3 2 3" xfId="28834"/>
    <cellStyle name="Normal 7 2 2 2 2 3 2 3 2" xfId="28835"/>
    <cellStyle name="Normal 7 2 2 2 2 3 2 4" xfId="28836"/>
    <cellStyle name="Normal 7 2 2 2 2 3 3" xfId="28837"/>
    <cellStyle name="Normal 7 2 2 2 2 3 3 2" xfId="28838"/>
    <cellStyle name="Normal 7 2 2 2 2 3 3 2 2" xfId="28839"/>
    <cellStyle name="Normal 7 2 2 2 2 3 3 2 2 2" xfId="28840"/>
    <cellStyle name="Normal 7 2 2 2 2 3 3 2 3" xfId="28841"/>
    <cellStyle name="Normal 7 2 2 2 2 3 3 3" xfId="28842"/>
    <cellStyle name="Normal 7 2 2 2 2 3 3 3 2" xfId="28843"/>
    <cellStyle name="Normal 7 2 2 2 2 3 3 4" xfId="28844"/>
    <cellStyle name="Normal 7 2 2 2 2 3 4" xfId="28845"/>
    <cellStyle name="Normal 7 2 2 2 2 3 4 2" xfId="28846"/>
    <cellStyle name="Normal 7 2 2 2 2 3 4 2 2" xfId="28847"/>
    <cellStyle name="Normal 7 2 2 2 2 3 4 3" xfId="28848"/>
    <cellStyle name="Normal 7 2 2 2 2 3 5" xfId="28849"/>
    <cellStyle name="Normal 7 2 2 2 2 3 5 2" xfId="28850"/>
    <cellStyle name="Normal 7 2 2 2 2 3 6" xfId="28851"/>
    <cellStyle name="Normal 7 2 2 2 2 4" xfId="28852"/>
    <cellStyle name="Normal 7 2 2 2 2 4 2" xfId="28853"/>
    <cellStyle name="Normal 7 2 2 2 2 4 2 2" xfId="28854"/>
    <cellStyle name="Normal 7 2 2 2 2 4 2 2 2" xfId="28855"/>
    <cellStyle name="Normal 7 2 2 2 2 4 2 3" xfId="28856"/>
    <cellStyle name="Normal 7 2 2 2 2 4 3" xfId="28857"/>
    <cellStyle name="Normal 7 2 2 2 2 4 3 2" xfId="28858"/>
    <cellStyle name="Normal 7 2 2 2 2 4 4" xfId="28859"/>
    <cellStyle name="Normal 7 2 2 2 2 5" xfId="28860"/>
    <cellStyle name="Normal 7 2 2 2 2 5 2" xfId="28861"/>
    <cellStyle name="Normal 7 2 2 2 2 5 2 2" xfId="28862"/>
    <cellStyle name="Normal 7 2 2 2 2 5 2 2 2" xfId="28863"/>
    <cellStyle name="Normal 7 2 2 2 2 5 2 3" xfId="28864"/>
    <cellStyle name="Normal 7 2 2 2 2 5 3" xfId="28865"/>
    <cellStyle name="Normal 7 2 2 2 2 5 3 2" xfId="28866"/>
    <cellStyle name="Normal 7 2 2 2 2 5 4" xfId="28867"/>
    <cellStyle name="Normal 7 2 2 2 2 6" xfId="28868"/>
    <cellStyle name="Normal 7 2 2 2 2 6 2" xfId="28869"/>
    <cellStyle name="Normal 7 2 2 2 2 6 2 2" xfId="28870"/>
    <cellStyle name="Normal 7 2 2 2 2 6 2 2 2" xfId="28871"/>
    <cellStyle name="Normal 7 2 2 2 2 6 2 3" xfId="28872"/>
    <cellStyle name="Normal 7 2 2 2 2 6 3" xfId="28873"/>
    <cellStyle name="Normal 7 2 2 2 2 6 3 2" xfId="28874"/>
    <cellStyle name="Normal 7 2 2 2 2 6 4" xfId="28875"/>
    <cellStyle name="Normal 7 2 2 2 2 7" xfId="28876"/>
    <cellStyle name="Normal 7 2 2 2 2 7 2" xfId="28877"/>
    <cellStyle name="Normal 7 2 2 2 2 7 2 2" xfId="28878"/>
    <cellStyle name="Normal 7 2 2 2 2 7 3" xfId="28879"/>
    <cellStyle name="Normal 7 2 2 2 2 8" xfId="28880"/>
    <cellStyle name="Normal 7 2 2 2 2 8 2" xfId="28881"/>
    <cellStyle name="Normal 7 2 2 2 2 9" xfId="28882"/>
    <cellStyle name="Normal 7 2 2 2 3" xfId="28883"/>
    <cellStyle name="Normal 7 2 2 2 3 2" xfId="28884"/>
    <cellStyle name="Normal 7 2 2 2 3 2 2" xfId="28885"/>
    <cellStyle name="Normal 7 2 2 2 3 2 2 2" xfId="28886"/>
    <cellStyle name="Normal 7 2 2 2 3 2 2 2 2" xfId="28887"/>
    <cellStyle name="Normal 7 2 2 2 3 2 2 2 2 2" xfId="28888"/>
    <cellStyle name="Normal 7 2 2 2 3 2 2 2 3" xfId="28889"/>
    <cellStyle name="Normal 7 2 2 2 3 2 2 3" xfId="28890"/>
    <cellStyle name="Normal 7 2 2 2 3 2 2 3 2" xfId="28891"/>
    <cellStyle name="Normal 7 2 2 2 3 2 2 4" xfId="28892"/>
    <cellStyle name="Normal 7 2 2 2 3 2 3" xfId="28893"/>
    <cellStyle name="Normal 7 2 2 2 3 2 3 2" xfId="28894"/>
    <cellStyle name="Normal 7 2 2 2 3 2 3 2 2" xfId="28895"/>
    <cellStyle name="Normal 7 2 2 2 3 2 3 2 2 2" xfId="28896"/>
    <cellStyle name="Normal 7 2 2 2 3 2 3 2 3" xfId="28897"/>
    <cellStyle name="Normal 7 2 2 2 3 2 3 3" xfId="28898"/>
    <cellStyle name="Normal 7 2 2 2 3 2 3 3 2" xfId="28899"/>
    <cellStyle name="Normal 7 2 2 2 3 2 3 4" xfId="28900"/>
    <cellStyle name="Normal 7 2 2 2 3 2 4" xfId="28901"/>
    <cellStyle name="Normal 7 2 2 2 3 2 4 2" xfId="28902"/>
    <cellStyle name="Normal 7 2 2 2 3 2 4 2 2" xfId="28903"/>
    <cellStyle name="Normal 7 2 2 2 3 2 4 3" xfId="28904"/>
    <cellStyle name="Normal 7 2 2 2 3 2 5" xfId="28905"/>
    <cellStyle name="Normal 7 2 2 2 3 2 5 2" xfId="28906"/>
    <cellStyle name="Normal 7 2 2 2 3 2 6" xfId="28907"/>
    <cellStyle name="Normal 7 2 2 2 3 3" xfId="28908"/>
    <cellStyle name="Normal 7 2 2 2 3 3 2" xfId="28909"/>
    <cellStyle name="Normal 7 2 2 2 3 3 2 2" xfId="28910"/>
    <cellStyle name="Normal 7 2 2 2 3 3 2 2 2" xfId="28911"/>
    <cellStyle name="Normal 7 2 2 2 3 3 2 3" xfId="28912"/>
    <cellStyle name="Normal 7 2 2 2 3 3 3" xfId="28913"/>
    <cellStyle name="Normal 7 2 2 2 3 3 3 2" xfId="28914"/>
    <cellStyle name="Normal 7 2 2 2 3 3 4" xfId="28915"/>
    <cellStyle name="Normal 7 2 2 2 3 4" xfId="28916"/>
    <cellStyle name="Normal 7 2 2 2 3 4 2" xfId="28917"/>
    <cellStyle name="Normal 7 2 2 2 3 4 2 2" xfId="28918"/>
    <cellStyle name="Normal 7 2 2 2 3 4 2 2 2" xfId="28919"/>
    <cellStyle name="Normal 7 2 2 2 3 4 2 3" xfId="28920"/>
    <cellStyle name="Normal 7 2 2 2 3 4 3" xfId="28921"/>
    <cellStyle name="Normal 7 2 2 2 3 4 3 2" xfId="28922"/>
    <cellStyle name="Normal 7 2 2 2 3 4 4" xfId="28923"/>
    <cellStyle name="Normal 7 2 2 2 3 5" xfId="28924"/>
    <cellStyle name="Normal 7 2 2 2 3 5 2" xfId="28925"/>
    <cellStyle name="Normal 7 2 2 2 3 5 2 2" xfId="28926"/>
    <cellStyle name="Normal 7 2 2 2 3 5 3" xfId="28927"/>
    <cellStyle name="Normal 7 2 2 2 3 6" xfId="28928"/>
    <cellStyle name="Normal 7 2 2 2 3 6 2" xfId="28929"/>
    <cellStyle name="Normal 7 2 2 2 3 7" xfId="28930"/>
    <cellStyle name="Normal 7 2 2 2 4" xfId="28931"/>
    <cellStyle name="Normal 7 2 2 2 4 2" xfId="28932"/>
    <cellStyle name="Normal 7 2 2 2 4 2 2" xfId="28933"/>
    <cellStyle name="Normal 7 2 2 2 4 2 2 2" xfId="28934"/>
    <cellStyle name="Normal 7 2 2 2 4 2 2 2 2" xfId="28935"/>
    <cellStyle name="Normal 7 2 2 2 4 2 2 3" xfId="28936"/>
    <cellStyle name="Normal 7 2 2 2 4 2 3" xfId="28937"/>
    <cellStyle name="Normal 7 2 2 2 4 2 3 2" xfId="28938"/>
    <cellStyle name="Normal 7 2 2 2 4 2 4" xfId="28939"/>
    <cellStyle name="Normal 7 2 2 2 4 3" xfId="28940"/>
    <cellStyle name="Normal 7 2 2 2 4 3 2" xfId="28941"/>
    <cellStyle name="Normal 7 2 2 2 4 3 2 2" xfId="28942"/>
    <cellStyle name="Normal 7 2 2 2 4 3 2 2 2" xfId="28943"/>
    <cellStyle name="Normal 7 2 2 2 4 3 2 3" xfId="28944"/>
    <cellStyle name="Normal 7 2 2 2 4 3 3" xfId="28945"/>
    <cellStyle name="Normal 7 2 2 2 4 3 3 2" xfId="28946"/>
    <cellStyle name="Normal 7 2 2 2 4 3 4" xfId="28947"/>
    <cellStyle name="Normal 7 2 2 2 4 4" xfId="28948"/>
    <cellStyle name="Normal 7 2 2 2 4 4 2" xfId="28949"/>
    <cellStyle name="Normal 7 2 2 2 4 4 2 2" xfId="28950"/>
    <cellStyle name="Normal 7 2 2 2 4 4 3" xfId="28951"/>
    <cellStyle name="Normal 7 2 2 2 4 5" xfId="28952"/>
    <cellStyle name="Normal 7 2 2 2 4 5 2" xfId="28953"/>
    <cellStyle name="Normal 7 2 2 2 4 6" xfId="28954"/>
    <cellStyle name="Normal 7 2 2 2 5" xfId="28955"/>
    <cellStyle name="Normal 7 2 2 2 5 2" xfId="28956"/>
    <cellStyle name="Normal 7 2 2 2 5 2 2" xfId="28957"/>
    <cellStyle name="Normal 7 2 2 2 5 2 2 2" xfId="28958"/>
    <cellStyle name="Normal 7 2 2 2 5 2 3" xfId="28959"/>
    <cellStyle name="Normal 7 2 2 2 5 3" xfId="28960"/>
    <cellStyle name="Normal 7 2 2 2 5 3 2" xfId="28961"/>
    <cellStyle name="Normal 7 2 2 2 5 4" xfId="28962"/>
    <cellStyle name="Normal 7 2 2 2 6" xfId="28963"/>
    <cellStyle name="Normal 7 2 2 2 6 2" xfId="28964"/>
    <cellStyle name="Normal 7 2 2 2 6 2 2" xfId="28965"/>
    <cellStyle name="Normal 7 2 2 2 6 2 2 2" xfId="28966"/>
    <cellStyle name="Normal 7 2 2 2 6 2 3" xfId="28967"/>
    <cellStyle name="Normal 7 2 2 2 6 3" xfId="28968"/>
    <cellStyle name="Normal 7 2 2 2 6 3 2" xfId="28969"/>
    <cellStyle name="Normal 7 2 2 2 6 4" xfId="28970"/>
    <cellStyle name="Normal 7 2 2 2 7" xfId="28971"/>
    <cellStyle name="Normal 7 2 2 2 7 2" xfId="28972"/>
    <cellStyle name="Normal 7 2 2 2 7 2 2" xfId="28973"/>
    <cellStyle name="Normal 7 2 2 2 7 2 2 2" xfId="28974"/>
    <cellStyle name="Normal 7 2 2 2 7 2 3" xfId="28975"/>
    <cellStyle name="Normal 7 2 2 2 7 3" xfId="28976"/>
    <cellStyle name="Normal 7 2 2 2 7 3 2" xfId="28977"/>
    <cellStyle name="Normal 7 2 2 2 7 4" xfId="28978"/>
    <cellStyle name="Normal 7 2 2 2 8" xfId="28979"/>
    <cellStyle name="Normal 7 2 2 2 8 2" xfId="28980"/>
    <cellStyle name="Normal 7 2 2 2 8 2 2" xfId="28981"/>
    <cellStyle name="Normal 7 2 2 2 8 3" xfId="28982"/>
    <cellStyle name="Normal 7 2 2 2 9" xfId="28983"/>
    <cellStyle name="Normal 7 2 2 2 9 2" xfId="28984"/>
    <cellStyle name="Normal 7 2 2 3" xfId="28985"/>
    <cellStyle name="Normal 7 2 2 3 2" xfId="28986"/>
    <cellStyle name="Normal 7 2 2 3 2 2" xfId="28987"/>
    <cellStyle name="Normal 7 2 2 3 2 2 2" xfId="28988"/>
    <cellStyle name="Normal 7 2 2 3 2 2 2 2" xfId="28989"/>
    <cellStyle name="Normal 7 2 2 3 2 2 2 2 2" xfId="28990"/>
    <cellStyle name="Normal 7 2 2 3 2 2 2 2 2 2" xfId="28991"/>
    <cellStyle name="Normal 7 2 2 3 2 2 2 2 3" xfId="28992"/>
    <cellStyle name="Normal 7 2 2 3 2 2 2 3" xfId="28993"/>
    <cellStyle name="Normal 7 2 2 3 2 2 2 3 2" xfId="28994"/>
    <cellStyle name="Normal 7 2 2 3 2 2 2 4" xfId="28995"/>
    <cellStyle name="Normal 7 2 2 3 2 2 3" xfId="28996"/>
    <cellStyle name="Normal 7 2 2 3 2 2 3 2" xfId="28997"/>
    <cellStyle name="Normal 7 2 2 3 2 2 3 2 2" xfId="28998"/>
    <cellStyle name="Normal 7 2 2 3 2 2 3 2 2 2" xfId="28999"/>
    <cellStyle name="Normal 7 2 2 3 2 2 3 2 3" xfId="29000"/>
    <cellStyle name="Normal 7 2 2 3 2 2 3 3" xfId="29001"/>
    <cellStyle name="Normal 7 2 2 3 2 2 3 3 2" xfId="29002"/>
    <cellStyle name="Normal 7 2 2 3 2 2 3 4" xfId="29003"/>
    <cellStyle name="Normal 7 2 2 3 2 2 4" xfId="29004"/>
    <cellStyle name="Normal 7 2 2 3 2 2 4 2" xfId="29005"/>
    <cellStyle name="Normal 7 2 2 3 2 2 4 2 2" xfId="29006"/>
    <cellStyle name="Normal 7 2 2 3 2 2 4 3" xfId="29007"/>
    <cellStyle name="Normal 7 2 2 3 2 2 5" xfId="29008"/>
    <cellStyle name="Normal 7 2 2 3 2 2 5 2" xfId="29009"/>
    <cellStyle name="Normal 7 2 2 3 2 2 6" xfId="29010"/>
    <cellStyle name="Normal 7 2 2 3 2 3" xfId="29011"/>
    <cellStyle name="Normal 7 2 2 3 2 3 2" xfId="29012"/>
    <cellStyle name="Normal 7 2 2 3 2 3 2 2" xfId="29013"/>
    <cellStyle name="Normal 7 2 2 3 2 3 2 2 2" xfId="29014"/>
    <cellStyle name="Normal 7 2 2 3 2 3 2 3" xfId="29015"/>
    <cellStyle name="Normal 7 2 2 3 2 3 3" xfId="29016"/>
    <cellStyle name="Normal 7 2 2 3 2 3 3 2" xfId="29017"/>
    <cellStyle name="Normal 7 2 2 3 2 3 4" xfId="29018"/>
    <cellStyle name="Normal 7 2 2 3 2 4" xfId="29019"/>
    <cellStyle name="Normal 7 2 2 3 2 4 2" xfId="29020"/>
    <cellStyle name="Normal 7 2 2 3 2 4 2 2" xfId="29021"/>
    <cellStyle name="Normal 7 2 2 3 2 4 2 2 2" xfId="29022"/>
    <cellStyle name="Normal 7 2 2 3 2 4 2 3" xfId="29023"/>
    <cellStyle name="Normal 7 2 2 3 2 4 3" xfId="29024"/>
    <cellStyle name="Normal 7 2 2 3 2 4 3 2" xfId="29025"/>
    <cellStyle name="Normal 7 2 2 3 2 4 4" xfId="29026"/>
    <cellStyle name="Normal 7 2 2 3 2 5" xfId="29027"/>
    <cellStyle name="Normal 7 2 2 3 2 5 2" xfId="29028"/>
    <cellStyle name="Normal 7 2 2 3 2 5 2 2" xfId="29029"/>
    <cellStyle name="Normal 7 2 2 3 2 5 3" xfId="29030"/>
    <cellStyle name="Normal 7 2 2 3 2 6" xfId="29031"/>
    <cellStyle name="Normal 7 2 2 3 2 6 2" xfId="29032"/>
    <cellStyle name="Normal 7 2 2 3 2 7" xfId="29033"/>
    <cellStyle name="Normal 7 2 2 3 3" xfId="29034"/>
    <cellStyle name="Normal 7 2 2 3 3 2" xfId="29035"/>
    <cellStyle name="Normal 7 2 2 3 3 2 2" xfId="29036"/>
    <cellStyle name="Normal 7 2 2 3 3 2 2 2" xfId="29037"/>
    <cellStyle name="Normal 7 2 2 3 3 2 2 2 2" xfId="29038"/>
    <cellStyle name="Normal 7 2 2 3 3 2 2 3" xfId="29039"/>
    <cellStyle name="Normal 7 2 2 3 3 2 3" xfId="29040"/>
    <cellStyle name="Normal 7 2 2 3 3 2 3 2" xfId="29041"/>
    <cellStyle name="Normal 7 2 2 3 3 2 4" xfId="29042"/>
    <cellStyle name="Normal 7 2 2 3 3 3" xfId="29043"/>
    <cellStyle name="Normal 7 2 2 3 3 3 2" xfId="29044"/>
    <cellStyle name="Normal 7 2 2 3 3 3 2 2" xfId="29045"/>
    <cellStyle name="Normal 7 2 2 3 3 3 2 2 2" xfId="29046"/>
    <cellStyle name="Normal 7 2 2 3 3 3 2 3" xfId="29047"/>
    <cellStyle name="Normal 7 2 2 3 3 3 3" xfId="29048"/>
    <cellStyle name="Normal 7 2 2 3 3 3 3 2" xfId="29049"/>
    <cellStyle name="Normal 7 2 2 3 3 3 4" xfId="29050"/>
    <cellStyle name="Normal 7 2 2 3 3 4" xfId="29051"/>
    <cellStyle name="Normal 7 2 2 3 3 4 2" xfId="29052"/>
    <cellStyle name="Normal 7 2 2 3 3 4 2 2" xfId="29053"/>
    <cellStyle name="Normal 7 2 2 3 3 4 3" xfId="29054"/>
    <cellStyle name="Normal 7 2 2 3 3 5" xfId="29055"/>
    <cellStyle name="Normal 7 2 2 3 3 5 2" xfId="29056"/>
    <cellStyle name="Normal 7 2 2 3 3 6" xfId="29057"/>
    <cellStyle name="Normal 7 2 2 3 4" xfId="29058"/>
    <cellStyle name="Normal 7 2 2 3 4 2" xfId="29059"/>
    <cellStyle name="Normal 7 2 2 3 4 2 2" xfId="29060"/>
    <cellStyle name="Normal 7 2 2 3 4 2 2 2" xfId="29061"/>
    <cellStyle name="Normal 7 2 2 3 4 2 3" xfId="29062"/>
    <cellStyle name="Normal 7 2 2 3 4 3" xfId="29063"/>
    <cellStyle name="Normal 7 2 2 3 4 3 2" xfId="29064"/>
    <cellStyle name="Normal 7 2 2 3 4 4" xfId="29065"/>
    <cellStyle name="Normal 7 2 2 3 5" xfId="29066"/>
    <cellStyle name="Normal 7 2 2 3 5 2" xfId="29067"/>
    <cellStyle name="Normal 7 2 2 3 5 2 2" xfId="29068"/>
    <cellStyle name="Normal 7 2 2 3 5 2 2 2" xfId="29069"/>
    <cellStyle name="Normal 7 2 2 3 5 2 3" xfId="29070"/>
    <cellStyle name="Normal 7 2 2 3 5 3" xfId="29071"/>
    <cellStyle name="Normal 7 2 2 3 5 3 2" xfId="29072"/>
    <cellStyle name="Normal 7 2 2 3 5 4" xfId="29073"/>
    <cellStyle name="Normal 7 2 2 3 6" xfId="29074"/>
    <cellStyle name="Normal 7 2 2 3 6 2" xfId="29075"/>
    <cellStyle name="Normal 7 2 2 3 6 2 2" xfId="29076"/>
    <cellStyle name="Normal 7 2 2 3 6 2 2 2" xfId="29077"/>
    <cellStyle name="Normal 7 2 2 3 6 2 3" xfId="29078"/>
    <cellStyle name="Normal 7 2 2 3 6 3" xfId="29079"/>
    <cellStyle name="Normal 7 2 2 3 6 3 2" xfId="29080"/>
    <cellStyle name="Normal 7 2 2 3 6 4" xfId="29081"/>
    <cellStyle name="Normal 7 2 2 3 7" xfId="29082"/>
    <cellStyle name="Normal 7 2 2 3 7 2" xfId="29083"/>
    <cellStyle name="Normal 7 2 2 3 7 2 2" xfId="29084"/>
    <cellStyle name="Normal 7 2 2 3 7 3" xfId="29085"/>
    <cellStyle name="Normal 7 2 2 3 8" xfId="29086"/>
    <cellStyle name="Normal 7 2 2 3 8 2" xfId="29087"/>
    <cellStyle name="Normal 7 2 2 3 9" xfId="29088"/>
    <cellStyle name="Normal 7 2 2 4" xfId="29089"/>
    <cellStyle name="Normal 7 2 2 4 2" xfId="29090"/>
    <cellStyle name="Normal 7 2 2 4 2 2" xfId="29091"/>
    <cellStyle name="Normal 7 2 2 4 2 2 2" xfId="29092"/>
    <cellStyle name="Normal 7 2 2 4 2 2 2 2" xfId="29093"/>
    <cellStyle name="Normal 7 2 2 4 2 2 2 2 2" xfId="29094"/>
    <cellStyle name="Normal 7 2 2 4 2 2 2 3" xfId="29095"/>
    <cellStyle name="Normal 7 2 2 4 2 2 3" xfId="29096"/>
    <cellStyle name="Normal 7 2 2 4 2 2 3 2" xfId="29097"/>
    <cellStyle name="Normal 7 2 2 4 2 2 4" xfId="29098"/>
    <cellStyle name="Normal 7 2 2 4 2 3" xfId="29099"/>
    <cellStyle name="Normal 7 2 2 4 2 3 2" xfId="29100"/>
    <cellStyle name="Normal 7 2 2 4 2 3 2 2" xfId="29101"/>
    <cellStyle name="Normal 7 2 2 4 2 3 2 2 2" xfId="29102"/>
    <cellStyle name="Normal 7 2 2 4 2 3 2 3" xfId="29103"/>
    <cellStyle name="Normal 7 2 2 4 2 3 3" xfId="29104"/>
    <cellStyle name="Normal 7 2 2 4 2 3 3 2" xfId="29105"/>
    <cellStyle name="Normal 7 2 2 4 2 3 4" xfId="29106"/>
    <cellStyle name="Normal 7 2 2 4 2 4" xfId="29107"/>
    <cellStyle name="Normal 7 2 2 4 2 4 2" xfId="29108"/>
    <cellStyle name="Normal 7 2 2 4 2 4 2 2" xfId="29109"/>
    <cellStyle name="Normal 7 2 2 4 2 4 3" xfId="29110"/>
    <cellStyle name="Normal 7 2 2 4 2 5" xfId="29111"/>
    <cellStyle name="Normal 7 2 2 4 2 5 2" xfId="29112"/>
    <cellStyle name="Normal 7 2 2 4 2 6" xfId="29113"/>
    <cellStyle name="Normal 7 2 2 4 3" xfId="29114"/>
    <cellStyle name="Normal 7 2 2 4 3 2" xfId="29115"/>
    <cellStyle name="Normal 7 2 2 4 3 2 2" xfId="29116"/>
    <cellStyle name="Normal 7 2 2 4 3 2 2 2" xfId="29117"/>
    <cellStyle name="Normal 7 2 2 4 3 2 3" xfId="29118"/>
    <cellStyle name="Normal 7 2 2 4 3 3" xfId="29119"/>
    <cellStyle name="Normal 7 2 2 4 3 3 2" xfId="29120"/>
    <cellStyle name="Normal 7 2 2 4 3 4" xfId="29121"/>
    <cellStyle name="Normal 7 2 2 4 4" xfId="29122"/>
    <cellStyle name="Normal 7 2 2 4 4 2" xfId="29123"/>
    <cellStyle name="Normal 7 2 2 4 4 2 2" xfId="29124"/>
    <cellStyle name="Normal 7 2 2 4 4 2 2 2" xfId="29125"/>
    <cellStyle name="Normal 7 2 2 4 4 2 3" xfId="29126"/>
    <cellStyle name="Normal 7 2 2 4 4 3" xfId="29127"/>
    <cellStyle name="Normal 7 2 2 4 4 3 2" xfId="29128"/>
    <cellStyle name="Normal 7 2 2 4 4 4" xfId="29129"/>
    <cellStyle name="Normal 7 2 2 4 5" xfId="29130"/>
    <cellStyle name="Normal 7 2 2 4 5 2" xfId="29131"/>
    <cellStyle name="Normal 7 2 2 4 5 2 2" xfId="29132"/>
    <cellStyle name="Normal 7 2 2 4 5 3" xfId="29133"/>
    <cellStyle name="Normal 7 2 2 4 6" xfId="29134"/>
    <cellStyle name="Normal 7 2 2 4 6 2" xfId="29135"/>
    <cellStyle name="Normal 7 2 2 4 7" xfId="29136"/>
    <cellStyle name="Normal 7 2 2 5" xfId="29137"/>
    <cellStyle name="Normal 7 2 2 5 2" xfId="29138"/>
    <cellStyle name="Normal 7 2 2 5 2 2" xfId="29139"/>
    <cellStyle name="Normal 7 2 2 5 2 2 2" xfId="29140"/>
    <cellStyle name="Normal 7 2 2 5 2 2 2 2" xfId="29141"/>
    <cellStyle name="Normal 7 2 2 5 2 2 3" xfId="29142"/>
    <cellStyle name="Normal 7 2 2 5 2 3" xfId="29143"/>
    <cellStyle name="Normal 7 2 2 5 2 3 2" xfId="29144"/>
    <cellStyle name="Normal 7 2 2 5 2 4" xfId="29145"/>
    <cellStyle name="Normal 7 2 2 5 3" xfId="29146"/>
    <cellStyle name="Normal 7 2 2 5 3 2" xfId="29147"/>
    <cellStyle name="Normal 7 2 2 5 3 2 2" xfId="29148"/>
    <cellStyle name="Normal 7 2 2 5 3 2 2 2" xfId="29149"/>
    <cellStyle name="Normal 7 2 2 5 3 2 3" xfId="29150"/>
    <cellStyle name="Normal 7 2 2 5 3 3" xfId="29151"/>
    <cellStyle name="Normal 7 2 2 5 3 3 2" xfId="29152"/>
    <cellStyle name="Normal 7 2 2 5 3 4" xfId="29153"/>
    <cellStyle name="Normal 7 2 2 5 4" xfId="29154"/>
    <cellStyle name="Normal 7 2 2 5 4 2" xfId="29155"/>
    <cellStyle name="Normal 7 2 2 5 4 2 2" xfId="29156"/>
    <cellStyle name="Normal 7 2 2 5 4 3" xfId="29157"/>
    <cellStyle name="Normal 7 2 2 5 5" xfId="29158"/>
    <cellStyle name="Normal 7 2 2 5 5 2" xfId="29159"/>
    <cellStyle name="Normal 7 2 2 5 6" xfId="29160"/>
    <cellStyle name="Normal 7 2 2 6" xfId="29161"/>
    <cellStyle name="Normal 7 2 2 6 2" xfId="29162"/>
    <cellStyle name="Normal 7 2 2 6 2 2" xfId="29163"/>
    <cellStyle name="Normal 7 2 2 6 2 2 2" xfId="29164"/>
    <cellStyle name="Normal 7 2 2 6 2 3" xfId="29165"/>
    <cellStyle name="Normal 7 2 2 6 3" xfId="29166"/>
    <cellStyle name="Normal 7 2 2 6 3 2" xfId="29167"/>
    <cellStyle name="Normal 7 2 2 6 4" xfId="29168"/>
    <cellStyle name="Normal 7 2 2 7" xfId="29169"/>
    <cellStyle name="Normal 7 2 2 7 2" xfId="29170"/>
    <cellStyle name="Normal 7 2 2 7 2 2" xfId="29171"/>
    <cellStyle name="Normal 7 2 2 7 2 2 2" xfId="29172"/>
    <cellStyle name="Normal 7 2 2 7 2 3" xfId="29173"/>
    <cellStyle name="Normal 7 2 2 7 3" xfId="29174"/>
    <cellStyle name="Normal 7 2 2 7 3 2" xfId="29175"/>
    <cellStyle name="Normal 7 2 2 7 4" xfId="29176"/>
    <cellStyle name="Normal 7 2 2 8" xfId="29177"/>
    <cellStyle name="Normal 7 2 2 8 2" xfId="29178"/>
    <cellStyle name="Normal 7 2 2 8 2 2" xfId="29179"/>
    <cellStyle name="Normal 7 2 2 8 2 2 2" xfId="29180"/>
    <cellStyle name="Normal 7 2 2 8 2 3" xfId="29181"/>
    <cellStyle name="Normal 7 2 2 8 3" xfId="29182"/>
    <cellStyle name="Normal 7 2 2 8 3 2" xfId="29183"/>
    <cellStyle name="Normal 7 2 2 8 4" xfId="29184"/>
    <cellStyle name="Normal 7 2 2 9" xfId="29185"/>
    <cellStyle name="Normal 7 2 2 9 2" xfId="29186"/>
    <cellStyle name="Normal 7 2 2 9 2 2" xfId="29187"/>
    <cellStyle name="Normal 7 2 2 9 3" xfId="29188"/>
    <cellStyle name="Normal 7 2 3" xfId="29189"/>
    <cellStyle name="Normal 7 2 3 10" xfId="29190"/>
    <cellStyle name="Normal 7 2 3 2" xfId="29191"/>
    <cellStyle name="Normal 7 2 3 2 2" xfId="29192"/>
    <cellStyle name="Normal 7 2 3 2 2 2" xfId="29193"/>
    <cellStyle name="Normal 7 2 3 2 2 2 2" xfId="29194"/>
    <cellStyle name="Normal 7 2 3 2 2 2 2 2" xfId="29195"/>
    <cellStyle name="Normal 7 2 3 2 2 2 2 2 2" xfId="29196"/>
    <cellStyle name="Normal 7 2 3 2 2 2 2 2 2 2" xfId="29197"/>
    <cellStyle name="Normal 7 2 3 2 2 2 2 2 3" xfId="29198"/>
    <cellStyle name="Normal 7 2 3 2 2 2 2 3" xfId="29199"/>
    <cellStyle name="Normal 7 2 3 2 2 2 2 3 2" xfId="29200"/>
    <cellStyle name="Normal 7 2 3 2 2 2 2 4" xfId="29201"/>
    <cellStyle name="Normal 7 2 3 2 2 2 3" xfId="29202"/>
    <cellStyle name="Normal 7 2 3 2 2 2 3 2" xfId="29203"/>
    <cellStyle name="Normal 7 2 3 2 2 2 3 2 2" xfId="29204"/>
    <cellStyle name="Normal 7 2 3 2 2 2 3 2 2 2" xfId="29205"/>
    <cellStyle name="Normal 7 2 3 2 2 2 3 2 3" xfId="29206"/>
    <cellStyle name="Normal 7 2 3 2 2 2 3 3" xfId="29207"/>
    <cellStyle name="Normal 7 2 3 2 2 2 3 3 2" xfId="29208"/>
    <cellStyle name="Normal 7 2 3 2 2 2 3 4" xfId="29209"/>
    <cellStyle name="Normal 7 2 3 2 2 2 4" xfId="29210"/>
    <cellStyle name="Normal 7 2 3 2 2 2 4 2" xfId="29211"/>
    <cellStyle name="Normal 7 2 3 2 2 2 4 2 2" xfId="29212"/>
    <cellStyle name="Normal 7 2 3 2 2 2 4 3" xfId="29213"/>
    <cellStyle name="Normal 7 2 3 2 2 2 5" xfId="29214"/>
    <cellStyle name="Normal 7 2 3 2 2 2 5 2" xfId="29215"/>
    <cellStyle name="Normal 7 2 3 2 2 2 6" xfId="29216"/>
    <cellStyle name="Normal 7 2 3 2 2 3" xfId="29217"/>
    <cellStyle name="Normal 7 2 3 2 2 3 2" xfId="29218"/>
    <cellStyle name="Normal 7 2 3 2 2 3 2 2" xfId="29219"/>
    <cellStyle name="Normal 7 2 3 2 2 3 2 2 2" xfId="29220"/>
    <cellStyle name="Normal 7 2 3 2 2 3 2 3" xfId="29221"/>
    <cellStyle name="Normal 7 2 3 2 2 3 3" xfId="29222"/>
    <cellStyle name="Normal 7 2 3 2 2 3 3 2" xfId="29223"/>
    <cellStyle name="Normal 7 2 3 2 2 3 4" xfId="29224"/>
    <cellStyle name="Normal 7 2 3 2 2 4" xfId="29225"/>
    <cellStyle name="Normal 7 2 3 2 2 4 2" xfId="29226"/>
    <cellStyle name="Normal 7 2 3 2 2 4 2 2" xfId="29227"/>
    <cellStyle name="Normal 7 2 3 2 2 4 2 2 2" xfId="29228"/>
    <cellStyle name="Normal 7 2 3 2 2 4 2 3" xfId="29229"/>
    <cellStyle name="Normal 7 2 3 2 2 4 3" xfId="29230"/>
    <cellStyle name="Normal 7 2 3 2 2 4 3 2" xfId="29231"/>
    <cellStyle name="Normal 7 2 3 2 2 4 4" xfId="29232"/>
    <cellStyle name="Normal 7 2 3 2 2 5" xfId="29233"/>
    <cellStyle name="Normal 7 2 3 2 2 5 2" xfId="29234"/>
    <cellStyle name="Normal 7 2 3 2 2 5 2 2" xfId="29235"/>
    <cellStyle name="Normal 7 2 3 2 2 5 3" xfId="29236"/>
    <cellStyle name="Normal 7 2 3 2 2 6" xfId="29237"/>
    <cellStyle name="Normal 7 2 3 2 2 6 2" xfId="29238"/>
    <cellStyle name="Normal 7 2 3 2 2 7" xfId="29239"/>
    <cellStyle name="Normal 7 2 3 2 3" xfId="29240"/>
    <cellStyle name="Normal 7 2 3 2 3 2" xfId="29241"/>
    <cellStyle name="Normal 7 2 3 2 3 2 2" xfId="29242"/>
    <cellStyle name="Normal 7 2 3 2 3 2 2 2" xfId="29243"/>
    <cellStyle name="Normal 7 2 3 2 3 2 2 2 2" xfId="29244"/>
    <cellStyle name="Normal 7 2 3 2 3 2 2 3" xfId="29245"/>
    <cellStyle name="Normal 7 2 3 2 3 2 3" xfId="29246"/>
    <cellStyle name="Normal 7 2 3 2 3 2 3 2" xfId="29247"/>
    <cellStyle name="Normal 7 2 3 2 3 2 4" xfId="29248"/>
    <cellStyle name="Normal 7 2 3 2 3 3" xfId="29249"/>
    <cellStyle name="Normal 7 2 3 2 3 3 2" xfId="29250"/>
    <cellStyle name="Normal 7 2 3 2 3 3 2 2" xfId="29251"/>
    <cellStyle name="Normal 7 2 3 2 3 3 2 2 2" xfId="29252"/>
    <cellStyle name="Normal 7 2 3 2 3 3 2 3" xfId="29253"/>
    <cellStyle name="Normal 7 2 3 2 3 3 3" xfId="29254"/>
    <cellStyle name="Normal 7 2 3 2 3 3 3 2" xfId="29255"/>
    <cellStyle name="Normal 7 2 3 2 3 3 4" xfId="29256"/>
    <cellStyle name="Normal 7 2 3 2 3 4" xfId="29257"/>
    <cellStyle name="Normal 7 2 3 2 3 4 2" xfId="29258"/>
    <cellStyle name="Normal 7 2 3 2 3 4 2 2" xfId="29259"/>
    <cellStyle name="Normal 7 2 3 2 3 4 3" xfId="29260"/>
    <cellStyle name="Normal 7 2 3 2 3 5" xfId="29261"/>
    <cellStyle name="Normal 7 2 3 2 3 5 2" xfId="29262"/>
    <cellStyle name="Normal 7 2 3 2 3 6" xfId="29263"/>
    <cellStyle name="Normal 7 2 3 2 4" xfId="29264"/>
    <cellStyle name="Normal 7 2 3 2 4 2" xfId="29265"/>
    <cellStyle name="Normal 7 2 3 2 4 2 2" xfId="29266"/>
    <cellStyle name="Normal 7 2 3 2 4 2 2 2" xfId="29267"/>
    <cellStyle name="Normal 7 2 3 2 4 2 3" xfId="29268"/>
    <cellStyle name="Normal 7 2 3 2 4 3" xfId="29269"/>
    <cellStyle name="Normal 7 2 3 2 4 3 2" xfId="29270"/>
    <cellStyle name="Normal 7 2 3 2 4 4" xfId="29271"/>
    <cellStyle name="Normal 7 2 3 2 5" xfId="29272"/>
    <cellStyle name="Normal 7 2 3 2 5 2" xfId="29273"/>
    <cellStyle name="Normal 7 2 3 2 5 2 2" xfId="29274"/>
    <cellStyle name="Normal 7 2 3 2 5 2 2 2" xfId="29275"/>
    <cellStyle name="Normal 7 2 3 2 5 2 3" xfId="29276"/>
    <cellStyle name="Normal 7 2 3 2 5 3" xfId="29277"/>
    <cellStyle name="Normal 7 2 3 2 5 3 2" xfId="29278"/>
    <cellStyle name="Normal 7 2 3 2 5 4" xfId="29279"/>
    <cellStyle name="Normal 7 2 3 2 6" xfId="29280"/>
    <cellStyle name="Normal 7 2 3 2 6 2" xfId="29281"/>
    <cellStyle name="Normal 7 2 3 2 6 2 2" xfId="29282"/>
    <cellStyle name="Normal 7 2 3 2 6 2 2 2" xfId="29283"/>
    <cellStyle name="Normal 7 2 3 2 6 2 3" xfId="29284"/>
    <cellStyle name="Normal 7 2 3 2 6 3" xfId="29285"/>
    <cellStyle name="Normal 7 2 3 2 6 3 2" xfId="29286"/>
    <cellStyle name="Normal 7 2 3 2 6 4" xfId="29287"/>
    <cellStyle name="Normal 7 2 3 2 7" xfId="29288"/>
    <cellStyle name="Normal 7 2 3 2 7 2" xfId="29289"/>
    <cellStyle name="Normal 7 2 3 2 7 2 2" xfId="29290"/>
    <cellStyle name="Normal 7 2 3 2 7 3" xfId="29291"/>
    <cellStyle name="Normal 7 2 3 2 8" xfId="29292"/>
    <cellStyle name="Normal 7 2 3 2 8 2" xfId="29293"/>
    <cellStyle name="Normal 7 2 3 2 9" xfId="29294"/>
    <cellStyle name="Normal 7 2 3 3" xfId="29295"/>
    <cellStyle name="Normal 7 2 3 3 2" xfId="29296"/>
    <cellStyle name="Normal 7 2 3 3 2 2" xfId="29297"/>
    <cellStyle name="Normal 7 2 3 3 2 2 2" xfId="29298"/>
    <cellStyle name="Normal 7 2 3 3 2 2 2 2" xfId="29299"/>
    <cellStyle name="Normal 7 2 3 3 2 2 2 2 2" xfId="29300"/>
    <cellStyle name="Normal 7 2 3 3 2 2 2 3" xfId="29301"/>
    <cellStyle name="Normal 7 2 3 3 2 2 3" xfId="29302"/>
    <cellStyle name="Normal 7 2 3 3 2 2 3 2" xfId="29303"/>
    <cellStyle name="Normal 7 2 3 3 2 2 4" xfId="29304"/>
    <cellStyle name="Normal 7 2 3 3 2 3" xfId="29305"/>
    <cellStyle name="Normal 7 2 3 3 2 3 2" xfId="29306"/>
    <cellStyle name="Normal 7 2 3 3 2 3 2 2" xfId="29307"/>
    <cellStyle name="Normal 7 2 3 3 2 3 2 2 2" xfId="29308"/>
    <cellStyle name="Normal 7 2 3 3 2 3 2 3" xfId="29309"/>
    <cellStyle name="Normal 7 2 3 3 2 3 3" xfId="29310"/>
    <cellStyle name="Normal 7 2 3 3 2 3 3 2" xfId="29311"/>
    <cellStyle name="Normal 7 2 3 3 2 3 4" xfId="29312"/>
    <cellStyle name="Normal 7 2 3 3 2 4" xfId="29313"/>
    <cellStyle name="Normal 7 2 3 3 2 4 2" xfId="29314"/>
    <cellStyle name="Normal 7 2 3 3 2 4 2 2" xfId="29315"/>
    <cellStyle name="Normal 7 2 3 3 2 4 3" xfId="29316"/>
    <cellStyle name="Normal 7 2 3 3 2 5" xfId="29317"/>
    <cellStyle name="Normal 7 2 3 3 2 5 2" xfId="29318"/>
    <cellStyle name="Normal 7 2 3 3 2 6" xfId="29319"/>
    <cellStyle name="Normal 7 2 3 3 3" xfId="29320"/>
    <cellStyle name="Normal 7 2 3 3 3 2" xfId="29321"/>
    <cellStyle name="Normal 7 2 3 3 3 2 2" xfId="29322"/>
    <cellStyle name="Normal 7 2 3 3 3 2 2 2" xfId="29323"/>
    <cellStyle name="Normal 7 2 3 3 3 2 3" xfId="29324"/>
    <cellStyle name="Normal 7 2 3 3 3 3" xfId="29325"/>
    <cellStyle name="Normal 7 2 3 3 3 3 2" xfId="29326"/>
    <cellStyle name="Normal 7 2 3 3 3 4" xfId="29327"/>
    <cellStyle name="Normal 7 2 3 3 4" xfId="29328"/>
    <cellStyle name="Normal 7 2 3 3 4 2" xfId="29329"/>
    <cellStyle name="Normal 7 2 3 3 4 2 2" xfId="29330"/>
    <cellStyle name="Normal 7 2 3 3 4 2 2 2" xfId="29331"/>
    <cellStyle name="Normal 7 2 3 3 4 2 3" xfId="29332"/>
    <cellStyle name="Normal 7 2 3 3 4 3" xfId="29333"/>
    <cellStyle name="Normal 7 2 3 3 4 3 2" xfId="29334"/>
    <cellStyle name="Normal 7 2 3 3 4 4" xfId="29335"/>
    <cellStyle name="Normal 7 2 3 3 5" xfId="29336"/>
    <cellStyle name="Normal 7 2 3 3 5 2" xfId="29337"/>
    <cellStyle name="Normal 7 2 3 3 5 2 2" xfId="29338"/>
    <cellStyle name="Normal 7 2 3 3 5 3" xfId="29339"/>
    <cellStyle name="Normal 7 2 3 3 6" xfId="29340"/>
    <cellStyle name="Normal 7 2 3 3 6 2" xfId="29341"/>
    <cellStyle name="Normal 7 2 3 3 7" xfId="29342"/>
    <cellStyle name="Normal 7 2 3 4" xfId="29343"/>
    <cellStyle name="Normal 7 2 3 4 2" xfId="29344"/>
    <cellStyle name="Normal 7 2 3 4 2 2" xfId="29345"/>
    <cellStyle name="Normal 7 2 3 4 2 2 2" xfId="29346"/>
    <cellStyle name="Normal 7 2 3 4 2 2 2 2" xfId="29347"/>
    <cellStyle name="Normal 7 2 3 4 2 2 3" xfId="29348"/>
    <cellStyle name="Normal 7 2 3 4 2 3" xfId="29349"/>
    <cellStyle name="Normal 7 2 3 4 2 3 2" xfId="29350"/>
    <cellStyle name="Normal 7 2 3 4 2 4" xfId="29351"/>
    <cellStyle name="Normal 7 2 3 4 3" xfId="29352"/>
    <cellStyle name="Normal 7 2 3 4 3 2" xfId="29353"/>
    <cellStyle name="Normal 7 2 3 4 3 2 2" xfId="29354"/>
    <cellStyle name="Normal 7 2 3 4 3 2 2 2" xfId="29355"/>
    <cellStyle name="Normal 7 2 3 4 3 2 3" xfId="29356"/>
    <cellStyle name="Normal 7 2 3 4 3 3" xfId="29357"/>
    <cellStyle name="Normal 7 2 3 4 3 3 2" xfId="29358"/>
    <cellStyle name="Normal 7 2 3 4 3 4" xfId="29359"/>
    <cellStyle name="Normal 7 2 3 4 4" xfId="29360"/>
    <cellStyle name="Normal 7 2 3 4 4 2" xfId="29361"/>
    <cellStyle name="Normal 7 2 3 4 4 2 2" xfId="29362"/>
    <cellStyle name="Normal 7 2 3 4 4 3" xfId="29363"/>
    <cellStyle name="Normal 7 2 3 4 5" xfId="29364"/>
    <cellStyle name="Normal 7 2 3 4 5 2" xfId="29365"/>
    <cellStyle name="Normal 7 2 3 4 6" xfId="29366"/>
    <cellStyle name="Normal 7 2 3 5" xfId="29367"/>
    <cellStyle name="Normal 7 2 3 5 2" xfId="29368"/>
    <cellStyle name="Normal 7 2 3 5 2 2" xfId="29369"/>
    <cellStyle name="Normal 7 2 3 5 2 2 2" xfId="29370"/>
    <cellStyle name="Normal 7 2 3 5 2 3" xfId="29371"/>
    <cellStyle name="Normal 7 2 3 5 3" xfId="29372"/>
    <cellStyle name="Normal 7 2 3 5 3 2" xfId="29373"/>
    <cellStyle name="Normal 7 2 3 5 4" xfId="29374"/>
    <cellStyle name="Normal 7 2 3 6" xfId="29375"/>
    <cellStyle name="Normal 7 2 3 6 2" xfId="29376"/>
    <cellStyle name="Normal 7 2 3 6 2 2" xfId="29377"/>
    <cellStyle name="Normal 7 2 3 6 2 2 2" xfId="29378"/>
    <cellStyle name="Normal 7 2 3 6 2 3" xfId="29379"/>
    <cellStyle name="Normal 7 2 3 6 3" xfId="29380"/>
    <cellStyle name="Normal 7 2 3 6 3 2" xfId="29381"/>
    <cellStyle name="Normal 7 2 3 6 4" xfId="29382"/>
    <cellStyle name="Normal 7 2 3 7" xfId="29383"/>
    <cellStyle name="Normal 7 2 3 7 2" xfId="29384"/>
    <cellStyle name="Normal 7 2 3 7 2 2" xfId="29385"/>
    <cellStyle name="Normal 7 2 3 7 2 2 2" xfId="29386"/>
    <cellStyle name="Normal 7 2 3 7 2 3" xfId="29387"/>
    <cellStyle name="Normal 7 2 3 7 3" xfId="29388"/>
    <cellStyle name="Normal 7 2 3 7 3 2" xfId="29389"/>
    <cellStyle name="Normal 7 2 3 7 4" xfId="29390"/>
    <cellStyle name="Normal 7 2 3 8" xfId="29391"/>
    <cellStyle name="Normal 7 2 3 8 2" xfId="29392"/>
    <cellStyle name="Normal 7 2 3 8 2 2" xfId="29393"/>
    <cellStyle name="Normal 7 2 3 8 3" xfId="29394"/>
    <cellStyle name="Normal 7 2 3 9" xfId="29395"/>
    <cellStyle name="Normal 7 2 3 9 2" xfId="29396"/>
    <cellStyle name="Normal 7 2 4" xfId="29397"/>
    <cellStyle name="Normal 7 2 4 10" xfId="29398"/>
    <cellStyle name="Normal 7 2 4 2" xfId="29399"/>
    <cellStyle name="Normal 7 2 4 2 2" xfId="29400"/>
    <cellStyle name="Normal 7 2 4 2 2 2" xfId="29401"/>
    <cellStyle name="Normal 7 2 4 2 2 2 2" xfId="29402"/>
    <cellStyle name="Normal 7 2 4 2 2 2 2 2" xfId="29403"/>
    <cellStyle name="Normal 7 2 4 2 2 2 2 2 2" xfId="29404"/>
    <cellStyle name="Normal 7 2 4 2 2 2 2 2 2 2" xfId="29405"/>
    <cellStyle name="Normal 7 2 4 2 2 2 2 2 3" xfId="29406"/>
    <cellStyle name="Normal 7 2 4 2 2 2 2 3" xfId="29407"/>
    <cellStyle name="Normal 7 2 4 2 2 2 2 3 2" xfId="29408"/>
    <cellStyle name="Normal 7 2 4 2 2 2 2 4" xfId="29409"/>
    <cellStyle name="Normal 7 2 4 2 2 2 3" xfId="29410"/>
    <cellStyle name="Normal 7 2 4 2 2 2 3 2" xfId="29411"/>
    <cellStyle name="Normal 7 2 4 2 2 2 3 2 2" xfId="29412"/>
    <cellStyle name="Normal 7 2 4 2 2 2 3 2 2 2" xfId="29413"/>
    <cellStyle name="Normal 7 2 4 2 2 2 3 2 3" xfId="29414"/>
    <cellStyle name="Normal 7 2 4 2 2 2 3 3" xfId="29415"/>
    <cellStyle name="Normal 7 2 4 2 2 2 3 3 2" xfId="29416"/>
    <cellStyle name="Normal 7 2 4 2 2 2 3 4" xfId="29417"/>
    <cellStyle name="Normal 7 2 4 2 2 2 4" xfId="29418"/>
    <cellStyle name="Normal 7 2 4 2 2 2 4 2" xfId="29419"/>
    <cellStyle name="Normal 7 2 4 2 2 2 4 2 2" xfId="29420"/>
    <cellStyle name="Normal 7 2 4 2 2 2 4 3" xfId="29421"/>
    <cellStyle name="Normal 7 2 4 2 2 2 5" xfId="29422"/>
    <cellStyle name="Normal 7 2 4 2 2 2 5 2" xfId="29423"/>
    <cellStyle name="Normal 7 2 4 2 2 2 6" xfId="29424"/>
    <cellStyle name="Normal 7 2 4 2 2 3" xfId="29425"/>
    <cellStyle name="Normal 7 2 4 2 2 3 2" xfId="29426"/>
    <cellStyle name="Normal 7 2 4 2 2 3 2 2" xfId="29427"/>
    <cellStyle name="Normal 7 2 4 2 2 3 2 2 2" xfId="29428"/>
    <cellStyle name="Normal 7 2 4 2 2 3 2 3" xfId="29429"/>
    <cellStyle name="Normal 7 2 4 2 2 3 3" xfId="29430"/>
    <cellStyle name="Normal 7 2 4 2 2 3 3 2" xfId="29431"/>
    <cellStyle name="Normal 7 2 4 2 2 3 4" xfId="29432"/>
    <cellStyle name="Normal 7 2 4 2 2 4" xfId="29433"/>
    <cellStyle name="Normal 7 2 4 2 2 4 2" xfId="29434"/>
    <cellStyle name="Normal 7 2 4 2 2 4 2 2" xfId="29435"/>
    <cellStyle name="Normal 7 2 4 2 2 4 2 2 2" xfId="29436"/>
    <cellStyle name="Normal 7 2 4 2 2 4 2 3" xfId="29437"/>
    <cellStyle name="Normal 7 2 4 2 2 4 3" xfId="29438"/>
    <cellStyle name="Normal 7 2 4 2 2 4 3 2" xfId="29439"/>
    <cellStyle name="Normal 7 2 4 2 2 4 4" xfId="29440"/>
    <cellStyle name="Normal 7 2 4 2 2 5" xfId="29441"/>
    <cellStyle name="Normal 7 2 4 2 2 5 2" xfId="29442"/>
    <cellStyle name="Normal 7 2 4 2 2 5 2 2" xfId="29443"/>
    <cellStyle name="Normal 7 2 4 2 2 5 3" xfId="29444"/>
    <cellStyle name="Normal 7 2 4 2 2 6" xfId="29445"/>
    <cellStyle name="Normal 7 2 4 2 2 6 2" xfId="29446"/>
    <cellStyle name="Normal 7 2 4 2 2 7" xfId="29447"/>
    <cellStyle name="Normal 7 2 4 2 3" xfId="29448"/>
    <cellStyle name="Normal 7 2 4 2 3 2" xfId="29449"/>
    <cellStyle name="Normal 7 2 4 2 3 2 2" xfId="29450"/>
    <cellStyle name="Normal 7 2 4 2 3 2 2 2" xfId="29451"/>
    <cellStyle name="Normal 7 2 4 2 3 2 2 2 2" xfId="29452"/>
    <cellStyle name="Normal 7 2 4 2 3 2 2 3" xfId="29453"/>
    <cellStyle name="Normal 7 2 4 2 3 2 3" xfId="29454"/>
    <cellStyle name="Normal 7 2 4 2 3 2 3 2" xfId="29455"/>
    <cellStyle name="Normal 7 2 4 2 3 2 4" xfId="29456"/>
    <cellStyle name="Normal 7 2 4 2 3 3" xfId="29457"/>
    <cellStyle name="Normal 7 2 4 2 3 3 2" xfId="29458"/>
    <cellStyle name="Normal 7 2 4 2 3 3 2 2" xfId="29459"/>
    <cellStyle name="Normal 7 2 4 2 3 3 2 2 2" xfId="29460"/>
    <cellStyle name="Normal 7 2 4 2 3 3 2 3" xfId="29461"/>
    <cellStyle name="Normal 7 2 4 2 3 3 3" xfId="29462"/>
    <cellStyle name="Normal 7 2 4 2 3 3 3 2" xfId="29463"/>
    <cellStyle name="Normal 7 2 4 2 3 3 4" xfId="29464"/>
    <cellStyle name="Normal 7 2 4 2 3 4" xfId="29465"/>
    <cellStyle name="Normal 7 2 4 2 3 4 2" xfId="29466"/>
    <cellStyle name="Normal 7 2 4 2 3 4 2 2" xfId="29467"/>
    <cellStyle name="Normal 7 2 4 2 3 4 3" xfId="29468"/>
    <cellStyle name="Normal 7 2 4 2 3 5" xfId="29469"/>
    <cellStyle name="Normal 7 2 4 2 3 5 2" xfId="29470"/>
    <cellStyle name="Normal 7 2 4 2 3 6" xfId="29471"/>
    <cellStyle name="Normal 7 2 4 2 4" xfId="29472"/>
    <cellStyle name="Normal 7 2 4 2 4 2" xfId="29473"/>
    <cellStyle name="Normal 7 2 4 2 4 2 2" xfId="29474"/>
    <cellStyle name="Normal 7 2 4 2 4 2 2 2" xfId="29475"/>
    <cellStyle name="Normal 7 2 4 2 4 2 3" xfId="29476"/>
    <cellStyle name="Normal 7 2 4 2 4 3" xfId="29477"/>
    <cellStyle name="Normal 7 2 4 2 4 3 2" xfId="29478"/>
    <cellStyle name="Normal 7 2 4 2 4 4" xfId="29479"/>
    <cellStyle name="Normal 7 2 4 2 5" xfId="29480"/>
    <cellStyle name="Normal 7 2 4 2 5 2" xfId="29481"/>
    <cellStyle name="Normal 7 2 4 2 5 2 2" xfId="29482"/>
    <cellStyle name="Normal 7 2 4 2 5 2 2 2" xfId="29483"/>
    <cellStyle name="Normal 7 2 4 2 5 2 3" xfId="29484"/>
    <cellStyle name="Normal 7 2 4 2 5 3" xfId="29485"/>
    <cellStyle name="Normal 7 2 4 2 5 3 2" xfId="29486"/>
    <cellStyle name="Normal 7 2 4 2 5 4" xfId="29487"/>
    <cellStyle name="Normal 7 2 4 2 6" xfId="29488"/>
    <cellStyle name="Normal 7 2 4 2 6 2" xfId="29489"/>
    <cellStyle name="Normal 7 2 4 2 6 2 2" xfId="29490"/>
    <cellStyle name="Normal 7 2 4 2 6 2 2 2" xfId="29491"/>
    <cellStyle name="Normal 7 2 4 2 6 2 3" xfId="29492"/>
    <cellStyle name="Normal 7 2 4 2 6 3" xfId="29493"/>
    <cellStyle name="Normal 7 2 4 2 6 3 2" xfId="29494"/>
    <cellStyle name="Normal 7 2 4 2 6 4" xfId="29495"/>
    <cellStyle name="Normal 7 2 4 2 7" xfId="29496"/>
    <cellStyle name="Normal 7 2 4 2 7 2" xfId="29497"/>
    <cellStyle name="Normal 7 2 4 2 7 2 2" xfId="29498"/>
    <cellStyle name="Normal 7 2 4 2 7 3" xfId="29499"/>
    <cellStyle name="Normal 7 2 4 2 8" xfId="29500"/>
    <cellStyle name="Normal 7 2 4 2 8 2" xfId="29501"/>
    <cellStyle name="Normal 7 2 4 2 9" xfId="29502"/>
    <cellStyle name="Normal 7 2 4 3" xfId="29503"/>
    <cellStyle name="Normal 7 2 4 3 2" xfId="29504"/>
    <cellStyle name="Normal 7 2 4 3 2 2" xfId="29505"/>
    <cellStyle name="Normal 7 2 4 3 2 2 2" xfId="29506"/>
    <cellStyle name="Normal 7 2 4 3 2 2 2 2" xfId="29507"/>
    <cellStyle name="Normal 7 2 4 3 2 2 2 2 2" xfId="29508"/>
    <cellStyle name="Normal 7 2 4 3 2 2 2 3" xfId="29509"/>
    <cellStyle name="Normal 7 2 4 3 2 2 3" xfId="29510"/>
    <cellStyle name="Normal 7 2 4 3 2 2 3 2" xfId="29511"/>
    <cellStyle name="Normal 7 2 4 3 2 2 4" xfId="29512"/>
    <cellStyle name="Normal 7 2 4 3 2 3" xfId="29513"/>
    <cellStyle name="Normal 7 2 4 3 2 3 2" xfId="29514"/>
    <cellStyle name="Normal 7 2 4 3 2 3 2 2" xfId="29515"/>
    <cellStyle name="Normal 7 2 4 3 2 3 2 2 2" xfId="29516"/>
    <cellStyle name="Normal 7 2 4 3 2 3 2 3" xfId="29517"/>
    <cellStyle name="Normal 7 2 4 3 2 3 3" xfId="29518"/>
    <cellStyle name="Normal 7 2 4 3 2 3 3 2" xfId="29519"/>
    <cellStyle name="Normal 7 2 4 3 2 3 4" xfId="29520"/>
    <cellStyle name="Normal 7 2 4 3 2 4" xfId="29521"/>
    <cellStyle name="Normal 7 2 4 3 2 4 2" xfId="29522"/>
    <cellStyle name="Normal 7 2 4 3 2 4 2 2" xfId="29523"/>
    <cellStyle name="Normal 7 2 4 3 2 4 3" xfId="29524"/>
    <cellStyle name="Normal 7 2 4 3 2 5" xfId="29525"/>
    <cellStyle name="Normal 7 2 4 3 2 5 2" xfId="29526"/>
    <cellStyle name="Normal 7 2 4 3 2 6" xfId="29527"/>
    <cellStyle name="Normal 7 2 4 3 3" xfId="29528"/>
    <cellStyle name="Normal 7 2 4 3 3 2" xfId="29529"/>
    <cellStyle name="Normal 7 2 4 3 3 2 2" xfId="29530"/>
    <cellStyle name="Normal 7 2 4 3 3 2 2 2" xfId="29531"/>
    <cellStyle name="Normal 7 2 4 3 3 2 3" xfId="29532"/>
    <cellStyle name="Normal 7 2 4 3 3 3" xfId="29533"/>
    <cellStyle name="Normal 7 2 4 3 3 3 2" xfId="29534"/>
    <cellStyle name="Normal 7 2 4 3 3 4" xfId="29535"/>
    <cellStyle name="Normal 7 2 4 3 4" xfId="29536"/>
    <cellStyle name="Normal 7 2 4 3 4 2" xfId="29537"/>
    <cellStyle name="Normal 7 2 4 3 4 2 2" xfId="29538"/>
    <cellStyle name="Normal 7 2 4 3 4 2 2 2" xfId="29539"/>
    <cellStyle name="Normal 7 2 4 3 4 2 3" xfId="29540"/>
    <cellStyle name="Normal 7 2 4 3 4 3" xfId="29541"/>
    <cellStyle name="Normal 7 2 4 3 4 3 2" xfId="29542"/>
    <cellStyle name="Normal 7 2 4 3 4 4" xfId="29543"/>
    <cellStyle name="Normal 7 2 4 3 5" xfId="29544"/>
    <cellStyle name="Normal 7 2 4 3 5 2" xfId="29545"/>
    <cellStyle name="Normal 7 2 4 3 5 2 2" xfId="29546"/>
    <cellStyle name="Normal 7 2 4 3 5 3" xfId="29547"/>
    <cellStyle name="Normal 7 2 4 3 6" xfId="29548"/>
    <cellStyle name="Normal 7 2 4 3 6 2" xfId="29549"/>
    <cellStyle name="Normal 7 2 4 3 7" xfId="29550"/>
    <cellStyle name="Normal 7 2 4 4" xfId="29551"/>
    <cellStyle name="Normal 7 2 4 4 2" xfId="29552"/>
    <cellStyle name="Normal 7 2 4 4 2 2" xfId="29553"/>
    <cellStyle name="Normal 7 2 4 4 2 2 2" xfId="29554"/>
    <cellStyle name="Normal 7 2 4 4 2 2 2 2" xfId="29555"/>
    <cellStyle name="Normal 7 2 4 4 2 2 3" xfId="29556"/>
    <cellStyle name="Normal 7 2 4 4 2 3" xfId="29557"/>
    <cellStyle name="Normal 7 2 4 4 2 3 2" xfId="29558"/>
    <cellStyle name="Normal 7 2 4 4 2 4" xfId="29559"/>
    <cellStyle name="Normal 7 2 4 4 3" xfId="29560"/>
    <cellStyle name="Normal 7 2 4 4 3 2" xfId="29561"/>
    <cellStyle name="Normal 7 2 4 4 3 2 2" xfId="29562"/>
    <cellStyle name="Normal 7 2 4 4 3 2 2 2" xfId="29563"/>
    <cellStyle name="Normal 7 2 4 4 3 2 3" xfId="29564"/>
    <cellStyle name="Normal 7 2 4 4 3 3" xfId="29565"/>
    <cellStyle name="Normal 7 2 4 4 3 3 2" xfId="29566"/>
    <cellStyle name="Normal 7 2 4 4 3 4" xfId="29567"/>
    <cellStyle name="Normal 7 2 4 4 4" xfId="29568"/>
    <cellStyle name="Normal 7 2 4 4 4 2" xfId="29569"/>
    <cellStyle name="Normal 7 2 4 4 4 2 2" xfId="29570"/>
    <cellStyle name="Normal 7 2 4 4 4 3" xfId="29571"/>
    <cellStyle name="Normal 7 2 4 4 5" xfId="29572"/>
    <cellStyle name="Normal 7 2 4 4 5 2" xfId="29573"/>
    <cellStyle name="Normal 7 2 4 4 6" xfId="29574"/>
    <cellStyle name="Normal 7 2 4 5" xfId="29575"/>
    <cellStyle name="Normal 7 2 4 5 2" xfId="29576"/>
    <cellStyle name="Normal 7 2 4 5 2 2" xfId="29577"/>
    <cellStyle name="Normal 7 2 4 5 2 2 2" xfId="29578"/>
    <cellStyle name="Normal 7 2 4 5 2 3" xfId="29579"/>
    <cellStyle name="Normal 7 2 4 5 3" xfId="29580"/>
    <cellStyle name="Normal 7 2 4 5 3 2" xfId="29581"/>
    <cellStyle name="Normal 7 2 4 5 4" xfId="29582"/>
    <cellStyle name="Normal 7 2 4 6" xfId="29583"/>
    <cellStyle name="Normal 7 2 4 6 2" xfId="29584"/>
    <cellStyle name="Normal 7 2 4 6 2 2" xfId="29585"/>
    <cellStyle name="Normal 7 2 4 6 2 2 2" xfId="29586"/>
    <cellStyle name="Normal 7 2 4 6 2 3" xfId="29587"/>
    <cellStyle name="Normal 7 2 4 6 3" xfId="29588"/>
    <cellStyle name="Normal 7 2 4 6 3 2" xfId="29589"/>
    <cellStyle name="Normal 7 2 4 6 4" xfId="29590"/>
    <cellStyle name="Normal 7 2 4 7" xfId="29591"/>
    <cellStyle name="Normal 7 2 4 7 2" xfId="29592"/>
    <cellStyle name="Normal 7 2 4 7 2 2" xfId="29593"/>
    <cellStyle name="Normal 7 2 4 7 2 2 2" xfId="29594"/>
    <cellStyle name="Normal 7 2 4 7 2 3" xfId="29595"/>
    <cellStyle name="Normal 7 2 4 7 3" xfId="29596"/>
    <cellStyle name="Normal 7 2 4 7 3 2" xfId="29597"/>
    <cellStyle name="Normal 7 2 4 7 4" xfId="29598"/>
    <cellStyle name="Normal 7 2 4 8" xfId="29599"/>
    <cellStyle name="Normal 7 2 4 8 2" xfId="29600"/>
    <cellStyle name="Normal 7 2 4 8 2 2" xfId="29601"/>
    <cellStyle name="Normal 7 2 4 8 3" xfId="29602"/>
    <cellStyle name="Normal 7 2 4 9" xfId="29603"/>
    <cellStyle name="Normal 7 2 4 9 2" xfId="29604"/>
    <cellStyle name="Normal 7 2 5" xfId="29605"/>
    <cellStyle name="Normal 7 2 5 2" xfId="29606"/>
    <cellStyle name="Normal 7 2 5 2 2" xfId="29607"/>
    <cellStyle name="Normal 7 2 5 2 2 2" xfId="29608"/>
    <cellStyle name="Normal 7 2 5 2 2 2 2" xfId="29609"/>
    <cellStyle name="Normal 7 2 5 2 2 2 2 2" xfId="29610"/>
    <cellStyle name="Normal 7 2 5 2 2 2 2 2 2" xfId="29611"/>
    <cellStyle name="Normal 7 2 5 2 2 2 2 3" xfId="29612"/>
    <cellStyle name="Normal 7 2 5 2 2 2 3" xfId="29613"/>
    <cellStyle name="Normal 7 2 5 2 2 2 3 2" xfId="29614"/>
    <cellStyle name="Normal 7 2 5 2 2 2 4" xfId="29615"/>
    <cellStyle name="Normal 7 2 5 2 2 3" xfId="29616"/>
    <cellStyle name="Normal 7 2 5 2 2 3 2" xfId="29617"/>
    <cellStyle name="Normal 7 2 5 2 2 3 2 2" xfId="29618"/>
    <cellStyle name="Normal 7 2 5 2 2 3 2 2 2" xfId="29619"/>
    <cellStyle name="Normal 7 2 5 2 2 3 2 3" xfId="29620"/>
    <cellStyle name="Normal 7 2 5 2 2 3 3" xfId="29621"/>
    <cellStyle name="Normal 7 2 5 2 2 3 3 2" xfId="29622"/>
    <cellStyle name="Normal 7 2 5 2 2 3 4" xfId="29623"/>
    <cellStyle name="Normal 7 2 5 2 2 4" xfId="29624"/>
    <cellStyle name="Normal 7 2 5 2 2 4 2" xfId="29625"/>
    <cellStyle name="Normal 7 2 5 2 2 4 2 2" xfId="29626"/>
    <cellStyle name="Normal 7 2 5 2 2 4 3" xfId="29627"/>
    <cellStyle name="Normal 7 2 5 2 2 5" xfId="29628"/>
    <cellStyle name="Normal 7 2 5 2 2 5 2" xfId="29629"/>
    <cellStyle name="Normal 7 2 5 2 2 6" xfId="29630"/>
    <cellStyle name="Normal 7 2 5 2 3" xfId="29631"/>
    <cellStyle name="Normal 7 2 5 2 3 2" xfId="29632"/>
    <cellStyle name="Normal 7 2 5 2 3 2 2" xfId="29633"/>
    <cellStyle name="Normal 7 2 5 2 3 2 2 2" xfId="29634"/>
    <cellStyle name="Normal 7 2 5 2 3 2 3" xfId="29635"/>
    <cellStyle name="Normal 7 2 5 2 3 3" xfId="29636"/>
    <cellStyle name="Normal 7 2 5 2 3 3 2" xfId="29637"/>
    <cellStyle name="Normal 7 2 5 2 3 4" xfId="29638"/>
    <cellStyle name="Normal 7 2 5 2 4" xfId="29639"/>
    <cellStyle name="Normal 7 2 5 2 4 2" xfId="29640"/>
    <cellStyle name="Normal 7 2 5 2 4 2 2" xfId="29641"/>
    <cellStyle name="Normal 7 2 5 2 4 2 2 2" xfId="29642"/>
    <cellStyle name="Normal 7 2 5 2 4 2 3" xfId="29643"/>
    <cellStyle name="Normal 7 2 5 2 4 3" xfId="29644"/>
    <cellStyle name="Normal 7 2 5 2 4 3 2" xfId="29645"/>
    <cellStyle name="Normal 7 2 5 2 4 4" xfId="29646"/>
    <cellStyle name="Normal 7 2 5 2 5" xfId="29647"/>
    <cellStyle name="Normal 7 2 5 2 5 2" xfId="29648"/>
    <cellStyle name="Normal 7 2 5 2 5 2 2" xfId="29649"/>
    <cellStyle name="Normal 7 2 5 2 5 3" xfId="29650"/>
    <cellStyle name="Normal 7 2 5 2 6" xfId="29651"/>
    <cellStyle name="Normal 7 2 5 2 6 2" xfId="29652"/>
    <cellStyle name="Normal 7 2 5 2 7" xfId="29653"/>
    <cellStyle name="Normal 7 2 5 3" xfId="29654"/>
    <cellStyle name="Normal 7 2 5 3 2" xfId="29655"/>
    <cellStyle name="Normal 7 2 5 3 2 2" xfId="29656"/>
    <cellStyle name="Normal 7 2 5 3 2 2 2" xfId="29657"/>
    <cellStyle name="Normal 7 2 5 3 2 2 2 2" xfId="29658"/>
    <cellStyle name="Normal 7 2 5 3 2 2 3" xfId="29659"/>
    <cellStyle name="Normal 7 2 5 3 2 3" xfId="29660"/>
    <cellStyle name="Normal 7 2 5 3 2 3 2" xfId="29661"/>
    <cellStyle name="Normal 7 2 5 3 2 4" xfId="29662"/>
    <cellStyle name="Normal 7 2 5 3 3" xfId="29663"/>
    <cellStyle name="Normal 7 2 5 3 3 2" xfId="29664"/>
    <cellStyle name="Normal 7 2 5 3 3 2 2" xfId="29665"/>
    <cellStyle name="Normal 7 2 5 3 3 2 2 2" xfId="29666"/>
    <cellStyle name="Normal 7 2 5 3 3 2 3" xfId="29667"/>
    <cellStyle name="Normal 7 2 5 3 3 3" xfId="29668"/>
    <cellStyle name="Normal 7 2 5 3 3 3 2" xfId="29669"/>
    <cellStyle name="Normal 7 2 5 3 3 4" xfId="29670"/>
    <cellStyle name="Normal 7 2 5 3 4" xfId="29671"/>
    <cellStyle name="Normal 7 2 5 3 4 2" xfId="29672"/>
    <cellStyle name="Normal 7 2 5 3 4 2 2" xfId="29673"/>
    <cellStyle name="Normal 7 2 5 3 4 3" xfId="29674"/>
    <cellStyle name="Normal 7 2 5 3 5" xfId="29675"/>
    <cellStyle name="Normal 7 2 5 3 5 2" xfId="29676"/>
    <cellStyle name="Normal 7 2 5 3 6" xfId="29677"/>
    <cellStyle name="Normal 7 2 5 4" xfId="29678"/>
    <cellStyle name="Normal 7 2 5 4 2" xfId="29679"/>
    <cellStyle name="Normal 7 2 5 4 2 2" xfId="29680"/>
    <cellStyle name="Normal 7 2 5 4 2 2 2" xfId="29681"/>
    <cellStyle name="Normal 7 2 5 4 2 3" xfId="29682"/>
    <cellStyle name="Normal 7 2 5 4 3" xfId="29683"/>
    <cellStyle name="Normal 7 2 5 4 3 2" xfId="29684"/>
    <cellStyle name="Normal 7 2 5 4 4" xfId="29685"/>
    <cellStyle name="Normal 7 2 5 5" xfId="29686"/>
    <cellStyle name="Normal 7 2 5 5 2" xfId="29687"/>
    <cellStyle name="Normal 7 2 5 5 2 2" xfId="29688"/>
    <cellStyle name="Normal 7 2 5 5 2 2 2" xfId="29689"/>
    <cellStyle name="Normal 7 2 5 5 2 3" xfId="29690"/>
    <cellStyle name="Normal 7 2 5 5 3" xfId="29691"/>
    <cellStyle name="Normal 7 2 5 5 3 2" xfId="29692"/>
    <cellStyle name="Normal 7 2 5 5 4" xfId="29693"/>
    <cellStyle name="Normal 7 2 5 6" xfId="29694"/>
    <cellStyle name="Normal 7 2 5 6 2" xfId="29695"/>
    <cellStyle name="Normal 7 2 5 6 2 2" xfId="29696"/>
    <cellStyle name="Normal 7 2 5 6 2 2 2" xfId="29697"/>
    <cellStyle name="Normal 7 2 5 6 2 3" xfId="29698"/>
    <cellStyle name="Normal 7 2 5 6 3" xfId="29699"/>
    <cellStyle name="Normal 7 2 5 6 3 2" xfId="29700"/>
    <cellStyle name="Normal 7 2 5 6 4" xfId="29701"/>
    <cellStyle name="Normal 7 2 5 7" xfId="29702"/>
    <cellStyle name="Normal 7 2 5 7 2" xfId="29703"/>
    <cellStyle name="Normal 7 2 5 7 2 2" xfId="29704"/>
    <cellStyle name="Normal 7 2 5 7 3" xfId="29705"/>
    <cellStyle name="Normal 7 2 5 8" xfId="29706"/>
    <cellStyle name="Normal 7 2 5 8 2" xfId="29707"/>
    <cellStyle name="Normal 7 2 5 9" xfId="29708"/>
    <cellStyle name="Normal 7 2 6" xfId="29709"/>
    <cellStyle name="Normal 7 2 6 2" xfId="29710"/>
    <cellStyle name="Normal 7 2 6 2 2" xfId="29711"/>
    <cellStyle name="Normal 7 2 6 2 2 2" xfId="29712"/>
    <cellStyle name="Normal 7 2 6 2 2 2 2" xfId="29713"/>
    <cellStyle name="Normal 7 2 6 2 2 2 2 2" xfId="29714"/>
    <cellStyle name="Normal 7 2 6 2 2 2 3" xfId="29715"/>
    <cellStyle name="Normal 7 2 6 2 2 3" xfId="29716"/>
    <cellStyle name="Normal 7 2 6 2 2 3 2" xfId="29717"/>
    <cellStyle name="Normal 7 2 6 2 2 4" xfId="29718"/>
    <cellStyle name="Normal 7 2 6 2 3" xfId="29719"/>
    <cellStyle name="Normal 7 2 6 2 3 2" xfId="29720"/>
    <cellStyle name="Normal 7 2 6 2 3 2 2" xfId="29721"/>
    <cellStyle name="Normal 7 2 6 2 3 2 2 2" xfId="29722"/>
    <cellStyle name="Normal 7 2 6 2 3 2 3" xfId="29723"/>
    <cellStyle name="Normal 7 2 6 2 3 3" xfId="29724"/>
    <cellStyle name="Normal 7 2 6 2 3 3 2" xfId="29725"/>
    <cellStyle name="Normal 7 2 6 2 3 4" xfId="29726"/>
    <cellStyle name="Normal 7 2 6 2 4" xfId="29727"/>
    <cellStyle name="Normal 7 2 6 2 4 2" xfId="29728"/>
    <cellStyle name="Normal 7 2 6 2 4 2 2" xfId="29729"/>
    <cellStyle name="Normal 7 2 6 2 4 3" xfId="29730"/>
    <cellStyle name="Normal 7 2 6 2 5" xfId="29731"/>
    <cellStyle name="Normal 7 2 6 2 5 2" xfId="29732"/>
    <cellStyle name="Normal 7 2 6 2 6" xfId="29733"/>
    <cellStyle name="Normal 7 2 6 3" xfId="29734"/>
    <cellStyle name="Normal 7 2 6 3 2" xfId="29735"/>
    <cellStyle name="Normal 7 2 6 3 2 2" xfId="29736"/>
    <cellStyle name="Normal 7 2 6 3 2 2 2" xfId="29737"/>
    <cellStyle name="Normal 7 2 6 3 2 3" xfId="29738"/>
    <cellStyle name="Normal 7 2 6 3 3" xfId="29739"/>
    <cellStyle name="Normal 7 2 6 3 3 2" xfId="29740"/>
    <cellStyle name="Normal 7 2 6 3 4" xfId="29741"/>
    <cellStyle name="Normal 7 2 6 4" xfId="29742"/>
    <cellStyle name="Normal 7 2 6 4 2" xfId="29743"/>
    <cellStyle name="Normal 7 2 6 4 2 2" xfId="29744"/>
    <cellStyle name="Normal 7 2 6 4 2 2 2" xfId="29745"/>
    <cellStyle name="Normal 7 2 6 4 2 3" xfId="29746"/>
    <cellStyle name="Normal 7 2 6 4 3" xfId="29747"/>
    <cellStyle name="Normal 7 2 6 4 3 2" xfId="29748"/>
    <cellStyle name="Normal 7 2 6 4 4" xfId="29749"/>
    <cellStyle name="Normal 7 2 6 5" xfId="29750"/>
    <cellStyle name="Normal 7 2 6 5 2" xfId="29751"/>
    <cellStyle name="Normal 7 2 6 5 2 2" xfId="29752"/>
    <cellStyle name="Normal 7 2 6 5 3" xfId="29753"/>
    <cellStyle name="Normal 7 2 6 6" xfId="29754"/>
    <cellStyle name="Normal 7 2 6 6 2" xfId="29755"/>
    <cellStyle name="Normal 7 2 6 7" xfId="29756"/>
    <cellStyle name="Normal 7 2 7" xfId="29757"/>
    <cellStyle name="Normal 7 2 7 2" xfId="29758"/>
    <cellStyle name="Normal 7 2 7 2 2" xfId="29759"/>
    <cellStyle name="Normal 7 2 7 2 2 2" xfId="29760"/>
    <cellStyle name="Normal 7 2 7 2 2 2 2" xfId="29761"/>
    <cellStyle name="Normal 7 2 7 2 2 3" xfId="29762"/>
    <cellStyle name="Normal 7 2 7 2 3" xfId="29763"/>
    <cellStyle name="Normal 7 2 7 2 3 2" xfId="29764"/>
    <cellStyle name="Normal 7 2 7 2 4" xfId="29765"/>
    <cellStyle name="Normal 7 2 7 3" xfId="29766"/>
    <cellStyle name="Normal 7 2 7 3 2" xfId="29767"/>
    <cellStyle name="Normal 7 2 7 3 2 2" xfId="29768"/>
    <cellStyle name="Normal 7 2 7 3 2 2 2" xfId="29769"/>
    <cellStyle name="Normal 7 2 7 3 2 3" xfId="29770"/>
    <cellStyle name="Normal 7 2 7 3 3" xfId="29771"/>
    <cellStyle name="Normal 7 2 7 3 3 2" xfId="29772"/>
    <cellStyle name="Normal 7 2 7 3 4" xfId="29773"/>
    <cellStyle name="Normal 7 2 7 4" xfId="29774"/>
    <cellStyle name="Normal 7 2 7 4 2" xfId="29775"/>
    <cellStyle name="Normal 7 2 7 4 2 2" xfId="29776"/>
    <cellStyle name="Normal 7 2 7 4 3" xfId="29777"/>
    <cellStyle name="Normal 7 2 7 5" xfId="29778"/>
    <cellStyle name="Normal 7 2 7 5 2" xfId="29779"/>
    <cellStyle name="Normal 7 2 7 6" xfId="29780"/>
    <cellStyle name="Normal 7 2 8" xfId="29781"/>
    <cellStyle name="Normal 7 2 8 2" xfId="29782"/>
    <cellStyle name="Normal 7 2 8 2 2" xfId="29783"/>
    <cellStyle name="Normal 7 2 8 2 2 2" xfId="29784"/>
    <cellStyle name="Normal 7 2 8 2 3" xfId="29785"/>
    <cellStyle name="Normal 7 2 8 3" xfId="29786"/>
    <cellStyle name="Normal 7 2 8 3 2" xfId="29787"/>
    <cellStyle name="Normal 7 2 8 4" xfId="29788"/>
    <cellStyle name="Normal 7 2 9" xfId="29789"/>
    <cellStyle name="Normal 7 2 9 2" xfId="29790"/>
    <cellStyle name="Normal 7 2 9 2 2" xfId="29791"/>
    <cellStyle name="Normal 7 2 9 2 2 2" xfId="29792"/>
    <cellStyle name="Normal 7 2 9 2 3" xfId="29793"/>
    <cellStyle name="Normal 7 2 9 3" xfId="29794"/>
    <cellStyle name="Normal 7 2 9 3 2" xfId="29795"/>
    <cellStyle name="Normal 7 2 9 4" xfId="29796"/>
    <cellStyle name="Normal 7 3" xfId="29797"/>
    <cellStyle name="Normal 7 3 10" xfId="29798"/>
    <cellStyle name="Normal 7 3 10 2" xfId="29799"/>
    <cellStyle name="Normal 7 3 11" xfId="29800"/>
    <cellStyle name="Normal 7 3 2" xfId="29801"/>
    <cellStyle name="Normal 7 3 2 10" xfId="29802"/>
    <cellStyle name="Normal 7 3 2 2" xfId="29803"/>
    <cellStyle name="Normal 7 3 2 2 2" xfId="29804"/>
    <cellStyle name="Normal 7 3 2 2 2 2" xfId="29805"/>
    <cellStyle name="Normal 7 3 2 2 2 2 2" xfId="29806"/>
    <cellStyle name="Normal 7 3 2 2 2 2 2 2" xfId="29807"/>
    <cellStyle name="Normal 7 3 2 2 2 2 2 2 2" xfId="29808"/>
    <cellStyle name="Normal 7 3 2 2 2 2 2 2 2 2" xfId="29809"/>
    <cellStyle name="Normal 7 3 2 2 2 2 2 2 3" xfId="29810"/>
    <cellStyle name="Normal 7 3 2 2 2 2 2 3" xfId="29811"/>
    <cellStyle name="Normal 7 3 2 2 2 2 2 3 2" xfId="29812"/>
    <cellStyle name="Normal 7 3 2 2 2 2 2 4" xfId="29813"/>
    <cellStyle name="Normal 7 3 2 2 2 2 3" xfId="29814"/>
    <cellStyle name="Normal 7 3 2 2 2 2 3 2" xfId="29815"/>
    <cellStyle name="Normal 7 3 2 2 2 2 3 2 2" xfId="29816"/>
    <cellStyle name="Normal 7 3 2 2 2 2 3 2 2 2" xfId="29817"/>
    <cellStyle name="Normal 7 3 2 2 2 2 3 2 3" xfId="29818"/>
    <cellStyle name="Normal 7 3 2 2 2 2 3 3" xfId="29819"/>
    <cellStyle name="Normal 7 3 2 2 2 2 3 3 2" xfId="29820"/>
    <cellStyle name="Normal 7 3 2 2 2 2 3 4" xfId="29821"/>
    <cellStyle name="Normal 7 3 2 2 2 2 4" xfId="29822"/>
    <cellStyle name="Normal 7 3 2 2 2 2 4 2" xfId="29823"/>
    <cellStyle name="Normal 7 3 2 2 2 2 4 2 2" xfId="29824"/>
    <cellStyle name="Normal 7 3 2 2 2 2 4 3" xfId="29825"/>
    <cellStyle name="Normal 7 3 2 2 2 2 5" xfId="29826"/>
    <cellStyle name="Normal 7 3 2 2 2 2 5 2" xfId="29827"/>
    <cellStyle name="Normal 7 3 2 2 2 2 6" xfId="29828"/>
    <cellStyle name="Normal 7 3 2 2 2 3" xfId="29829"/>
    <cellStyle name="Normal 7 3 2 2 2 3 2" xfId="29830"/>
    <cellStyle name="Normal 7 3 2 2 2 3 2 2" xfId="29831"/>
    <cellStyle name="Normal 7 3 2 2 2 3 2 2 2" xfId="29832"/>
    <cellStyle name="Normal 7 3 2 2 2 3 2 3" xfId="29833"/>
    <cellStyle name="Normal 7 3 2 2 2 3 3" xfId="29834"/>
    <cellStyle name="Normal 7 3 2 2 2 3 3 2" xfId="29835"/>
    <cellStyle name="Normal 7 3 2 2 2 3 4" xfId="29836"/>
    <cellStyle name="Normal 7 3 2 2 2 4" xfId="29837"/>
    <cellStyle name="Normal 7 3 2 2 2 4 2" xfId="29838"/>
    <cellStyle name="Normal 7 3 2 2 2 4 2 2" xfId="29839"/>
    <cellStyle name="Normal 7 3 2 2 2 4 2 2 2" xfId="29840"/>
    <cellStyle name="Normal 7 3 2 2 2 4 2 3" xfId="29841"/>
    <cellStyle name="Normal 7 3 2 2 2 4 3" xfId="29842"/>
    <cellStyle name="Normal 7 3 2 2 2 4 3 2" xfId="29843"/>
    <cellStyle name="Normal 7 3 2 2 2 4 4" xfId="29844"/>
    <cellStyle name="Normal 7 3 2 2 2 5" xfId="29845"/>
    <cellStyle name="Normal 7 3 2 2 2 5 2" xfId="29846"/>
    <cellStyle name="Normal 7 3 2 2 2 5 2 2" xfId="29847"/>
    <cellStyle name="Normal 7 3 2 2 2 5 3" xfId="29848"/>
    <cellStyle name="Normal 7 3 2 2 2 6" xfId="29849"/>
    <cellStyle name="Normal 7 3 2 2 2 6 2" xfId="29850"/>
    <cellStyle name="Normal 7 3 2 2 2 7" xfId="29851"/>
    <cellStyle name="Normal 7 3 2 2 3" xfId="29852"/>
    <cellStyle name="Normal 7 3 2 2 3 2" xfId="29853"/>
    <cellStyle name="Normal 7 3 2 2 3 2 2" xfId="29854"/>
    <cellStyle name="Normal 7 3 2 2 3 2 2 2" xfId="29855"/>
    <cellStyle name="Normal 7 3 2 2 3 2 2 2 2" xfId="29856"/>
    <cellStyle name="Normal 7 3 2 2 3 2 2 3" xfId="29857"/>
    <cellStyle name="Normal 7 3 2 2 3 2 3" xfId="29858"/>
    <cellStyle name="Normal 7 3 2 2 3 2 3 2" xfId="29859"/>
    <cellStyle name="Normal 7 3 2 2 3 2 4" xfId="29860"/>
    <cellStyle name="Normal 7 3 2 2 3 3" xfId="29861"/>
    <cellStyle name="Normal 7 3 2 2 3 3 2" xfId="29862"/>
    <cellStyle name="Normal 7 3 2 2 3 3 2 2" xfId="29863"/>
    <cellStyle name="Normal 7 3 2 2 3 3 2 2 2" xfId="29864"/>
    <cellStyle name="Normal 7 3 2 2 3 3 2 3" xfId="29865"/>
    <cellStyle name="Normal 7 3 2 2 3 3 3" xfId="29866"/>
    <cellStyle name="Normal 7 3 2 2 3 3 3 2" xfId="29867"/>
    <cellStyle name="Normal 7 3 2 2 3 3 4" xfId="29868"/>
    <cellStyle name="Normal 7 3 2 2 3 4" xfId="29869"/>
    <cellStyle name="Normal 7 3 2 2 3 4 2" xfId="29870"/>
    <cellStyle name="Normal 7 3 2 2 3 4 2 2" xfId="29871"/>
    <cellStyle name="Normal 7 3 2 2 3 4 3" xfId="29872"/>
    <cellStyle name="Normal 7 3 2 2 3 5" xfId="29873"/>
    <cellStyle name="Normal 7 3 2 2 3 5 2" xfId="29874"/>
    <cellStyle name="Normal 7 3 2 2 3 6" xfId="29875"/>
    <cellStyle name="Normal 7 3 2 2 4" xfId="29876"/>
    <cellStyle name="Normal 7 3 2 2 4 2" xfId="29877"/>
    <cellStyle name="Normal 7 3 2 2 4 2 2" xfId="29878"/>
    <cellStyle name="Normal 7 3 2 2 4 2 2 2" xfId="29879"/>
    <cellStyle name="Normal 7 3 2 2 4 2 3" xfId="29880"/>
    <cellStyle name="Normal 7 3 2 2 4 3" xfId="29881"/>
    <cellStyle name="Normal 7 3 2 2 4 3 2" xfId="29882"/>
    <cellStyle name="Normal 7 3 2 2 4 4" xfId="29883"/>
    <cellStyle name="Normal 7 3 2 2 5" xfId="29884"/>
    <cellStyle name="Normal 7 3 2 2 5 2" xfId="29885"/>
    <cellStyle name="Normal 7 3 2 2 5 2 2" xfId="29886"/>
    <cellStyle name="Normal 7 3 2 2 5 2 2 2" xfId="29887"/>
    <cellStyle name="Normal 7 3 2 2 5 2 3" xfId="29888"/>
    <cellStyle name="Normal 7 3 2 2 5 3" xfId="29889"/>
    <cellStyle name="Normal 7 3 2 2 5 3 2" xfId="29890"/>
    <cellStyle name="Normal 7 3 2 2 5 4" xfId="29891"/>
    <cellStyle name="Normal 7 3 2 2 6" xfId="29892"/>
    <cellStyle name="Normal 7 3 2 2 6 2" xfId="29893"/>
    <cellStyle name="Normal 7 3 2 2 6 2 2" xfId="29894"/>
    <cellStyle name="Normal 7 3 2 2 6 2 2 2" xfId="29895"/>
    <cellStyle name="Normal 7 3 2 2 6 2 3" xfId="29896"/>
    <cellStyle name="Normal 7 3 2 2 6 3" xfId="29897"/>
    <cellStyle name="Normal 7 3 2 2 6 3 2" xfId="29898"/>
    <cellStyle name="Normal 7 3 2 2 6 4" xfId="29899"/>
    <cellStyle name="Normal 7 3 2 2 7" xfId="29900"/>
    <cellStyle name="Normal 7 3 2 2 7 2" xfId="29901"/>
    <cellStyle name="Normal 7 3 2 2 7 2 2" xfId="29902"/>
    <cellStyle name="Normal 7 3 2 2 7 3" xfId="29903"/>
    <cellStyle name="Normal 7 3 2 2 8" xfId="29904"/>
    <cellStyle name="Normal 7 3 2 2 8 2" xfId="29905"/>
    <cellStyle name="Normal 7 3 2 2 9" xfId="29906"/>
    <cellStyle name="Normal 7 3 2 3" xfId="29907"/>
    <cellStyle name="Normal 7 3 2 3 2" xfId="29908"/>
    <cellStyle name="Normal 7 3 2 3 2 2" xfId="29909"/>
    <cellStyle name="Normal 7 3 2 3 2 2 2" xfId="29910"/>
    <cellStyle name="Normal 7 3 2 3 2 2 2 2" xfId="29911"/>
    <cellStyle name="Normal 7 3 2 3 2 2 2 2 2" xfId="29912"/>
    <cellStyle name="Normal 7 3 2 3 2 2 2 3" xfId="29913"/>
    <cellStyle name="Normal 7 3 2 3 2 2 3" xfId="29914"/>
    <cellStyle name="Normal 7 3 2 3 2 2 3 2" xfId="29915"/>
    <cellStyle name="Normal 7 3 2 3 2 2 4" xfId="29916"/>
    <cellStyle name="Normal 7 3 2 3 2 3" xfId="29917"/>
    <cellStyle name="Normal 7 3 2 3 2 3 2" xfId="29918"/>
    <cellStyle name="Normal 7 3 2 3 2 3 2 2" xfId="29919"/>
    <cellStyle name="Normal 7 3 2 3 2 3 2 2 2" xfId="29920"/>
    <cellStyle name="Normal 7 3 2 3 2 3 2 3" xfId="29921"/>
    <cellStyle name="Normal 7 3 2 3 2 3 3" xfId="29922"/>
    <cellStyle name="Normal 7 3 2 3 2 3 3 2" xfId="29923"/>
    <cellStyle name="Normal 7 3 2 3 2 3 4" xfId="29924"/>
    <cellStyle name="Normal 7 3 2 3 2 4" xfId="29925"/>
    <cellStyle name="Normal 7 3 2 3 2 4 2" xfId="29926"/>
    <cellStyle name="Normal 7 3 2 3 2 4 2 2" xfId="29927"/>
    <cellStyle name="Normal 7 3 2 3 2 4 3" xfId="29928"/>
    <cellStyle name="Normal 7 3 2 3 2 5" xfId="29929"/>
    <cellStyle name="Normal 7 3 2 3 2 5 2" xfId="29930"/>
    <cellStyle name="Normal 7 3 2 3 2 6" xfId="29931"/>
    <cellStyle name="Normal 7 3 2 3 3" xfId="29932"/>
    <cellStyle name="Normal 7 3 2 3 3 2" xfId="29933"/>
    <cellStyle name="Normal 7 3 2 3 3 2 2" xfId="29934"/>
    <cellStyle name="Normal 7 3 2 3 3 2 2 2" xfId="29935"/>
    <cellStyle name="Normal 7 3 2 3 3 2 3" xfId="29936"/>
    <cellStyle name="Normal 7 3 2 3 3 3" xfId="29937"/>
    <cellStyle name="Normal 7 3 2 3 3 3 2" xfId="29938"/>
    <cellStyle name="Normal 7 3 2 3 3 4" xfId="29939"/>
    <cellStyle name="Normal 7 3 2 3 4" xfId="29940"/>
    <cellStyle name="Normal 7 3 2 3 4 2" xfId="29941"/>
    <cellStyle name="Normal 7 3 2 3 4 2 2" xfId="29942"/>
    <cellStyle name="Normal 7 3 2 3 4 2 2 2" xfId="29943"/>
    <cellStyle name="Normal 7 3 2 3 4 2 3" xfId="29944"/>
    <cellStyle name="Normal 7 3 2 3 4 3" xfId="29945"/>
    <cellStyle name="Normal 7 3 2 3 4 3 2" xfId="29946"/>
    <cellStyle name="Normal 7 3 2 3 4 4" xfId="29947"/>
    <cellStyle name="Normal 7 3 2 3 5" xfId="29948"/>
    <cellStyle name="Normal 7 3 2 3 5 2" xfId="29949"/>
    <cellStyle name="Normal 7 3 2 3 5 2 2" xfId="29950"/>
    <cellStyle name="Normal 7 3 2 3 5 3" xfId="29951"/>
    <cellStyle name="Normal 7 3 2 3 6" xfId="29952"/>
    <cellStyle name="Normal 7 3 2 3 6 2" xfId="29953"/>
    <cellStyle name="Normal 7 3 2 3 7" xfId="29954"/>
    <cellStyle name="Normal 7 3 2 4" xfId="29955"/>
    <cellStyle name="Normal 7 3 2 4 2" xfId="29956"/>
    <cellStyle name="Normal 7 3 2 4 2 2" xfId="29957"/>
    <cellStyle name="Normal 7 3 2 4 2 2 2" xfId="29958"/>
    <cellStyle name="Normal 7 3 2 4 2 2 2 2" xfId="29959"/>
    <cellStyle name="Normal 7 3 2 4 2 2 3" xfId="29960"/>
    <cellStyle name="Normal 7 3 2 4 2 3" xfId="29961"/>
    <cellStyle name="Normal 7 3 2 4 2 3 2" xfId="29962"/>
    <cellStyle name="Normal 7 3 2 4 2 4" xfId="29963"/>
    <cellStyle name="Normal 7 3 2 4 3" xfId="29964"/>
    <cellStyle name="Normal 7 3 2 4 3 2" xfId="29965"/>
    <cellStyle name="Normal 7 3 2 4 3 2 2" xfId="29966"/>
    <cellStyle name="Normal 7 3 2 4 3 2 2 2" xfId="29967"/>
    <cellStyle name="Normal 7 3 2 4 3 2 3" xfId="29968"/>
    <cellStyle name="Normal 7 3 2 4 3 3" xfId="29969"/>
    <cellStyle name="Normal 7 3 2 4 3 3 2" xfId="29970"/>
    <cellStyle name="Normal 7 3 2 4 3 4" xfId="29971"/>
    <cellStyle name="Normal 7 3 2 4 4" xfId="29972"/>
    <cellStyle name="Normal 7 3 2 4 4 2" xfId="29973"/>
    <cellStyle name="Normal 7 3 2 4 4 2 2" xfId="29974"/>
    <cellStyle name="Normal 7 3 2 4 4 3" xfId="29975"/>
    <cellStyle name="Normal 7 3 2 4 5" xfId="29976"/>
    <cellStyle name="Normal 7 3 2 4 5 2" xfId="29977"/>
    <cellStyle name="Normal 7 3 2 4 6" xfId="29978"/>
    <cellStyle name="Normal 7 3 2 5" xfId="29979"/>
    <cellStyle name="Normal 7 3 2 5 2" xfId="29980"/>
    <cellStyle name="Normal 7 3 2 5 2 2" xfId="29981"/>
    <cellStyle name="Normal 7 3 2 5 2 2 2" xfId="29982"/>
    <cellStyle name="Normal 7 3 2 5 2 3" xfId="29983"/>
    <cellStyle name="Normal 7 3 2 5 3" xfId="29984"/>
    <cellStyle name="Normal 7 3 2 5 3 2" xfId="29985"/>
    <cellStyle name="Normal 7 3 2 5 4" xfId="29986"/>
    <cellStyle name="Normal 7 3 2 6" xfId="29987"/>
    <cellStyle name="Normal 7 3 2 6 2" xfId="29988"/>
    <cellStyle name="Normal 7 3 2 6 2 2" xfId="29989"/>
    <cellStyle name="Normal 7 3 2 6 2 2 2" xfId="29990"/>
    <cellStyle name="Normal 7 3 2 6 2 3" xfId="29991"/>
    <cellStyle name="Normal 7 3 2 6 3" xfId="29992"/>
    <cellStyle name="Normal 7 3 2 6 3 2" xfId="29993"/>
    <cellStyle name="Normal 7 3 2 6 4" xfId="29994"/>
    <cellStyle name="Normal 7 3 2 7" xfId="29995"/>
    <cellStyle name="Normal 7 3 2 7 2" xfId="29996"/>
    <cellStyle name="Normal 7 3 2 7 2 2" xfId="29997"/>
    <cellStyle name="Normal 7 3 2 7 2 2 2" xfId="29998"/>
    <cellStyle name="Normal 7 3 2 7 2 3" xfId="29999"/>
    <cellStyle name="Normal 7 3 2 7 3" xfId="30000"/>
    <cellStyle name="Normal 7 3 2 7 3 2" xfId="30001"/>
    <cellStyle name="Normal 7 3 2 7 4" xfId="30002"/>
    <cellStyle name="Normal 7 3 2 8" xfId="30003"/>
    <cellStyle name="Normal 7 3 2 8 2" xfId="30004"/>
    <cellStyle name="Normal 7 3 2 8 2 2" xfId="30005"/>
    <cellStyle name="Normal 7 3 2 8 3" xfId="30006"/>
    <cellStyle name="Normal 7 3 2 9" xfId="30007"/>
    <cellStyle name="Normal 7 3 2 9 2" xfId="30008"/>
    <cellStyle name="Normal 7 3 3" xfId="30009"/>
    <cellStyle name="Normal 7 3 3 2" xfId="30010"/>
    <cellStyle name="Normal 7 3 3 2 2" xfId="30011"/>
    <cellStyle name="Normal 7 3 3 2 2 2" xfId="30012"/>
    <cellStyle name="Normal 7 3 3 2 2 2 2" xfId="30013"/>
    <cellStyle name="Normal 7 3 3 2 2 2 2 2" xfId="30014"/>
    <cellStyle name="Normal 7 3 3 2 2 2 2 2 2" xfId="30015"/>
    <cellStyle name="Normal 7 3 3 2 2 2 2 3" xfId="30016"/>
    <cellStyle name="Normal 7 3 3 2 2 2 3" xfId="30017"/>
    <cellStyle name="Normal 7 3 3 2 2 2 3 2" xfId="30018"/>
    <cellStyle name="Normal 7 3 3 2 2 2 4" xfId="30019"/>
    <cellStyle name="Normal 7 3 3 2 2 3" xfId="30020"/>
    <cellStyle name="Normal 7 3 3 2 2 3 2" xfId="30021"/>
    <cellStyle name="Normal 7 3 3 2 2 3 2 2" xfId="30022"/>
    <cellStyle name="Normal 7 3 3 2 2 3 2 2 2" xfId="30023"/>
    <cellStyle name="Normal 7 3 3 2 2 3 2 3" xfId="30024"/>
    <cellStyle name="Normal 7 3 3 2 2 3 3" xfId="30025"/>
    <cellStyle name="Normal 7 3 3 2 2 3 3 2" xfId="30026"/>
    <cellStyle name="Normal 7 3 3 2 2 3 4" xfId="30027"/>
    <cellStyle name="Normal 7 3 3 2 2 4" xfId="30028"/>
    <cellStyle name="Normal 7 3 3 2 2 4 2" xfId="30029"/>
    <cellStyle name="Normal 7 3 3 2 2 4 2 2" xfId="30030"/>
    <cellStyle name="Normal 7 3 3 2 2 4 3" xfId="30031"/>
    <cellStyle name="Normal 7 3 3 2 2 5" xfId="30032"/>
    <cellStyle name="Normal 7 3 3 2 2 5 2" xfId="30033"/>
    <cellStyle name="Normal 7 3 3 2 2 6" xfId="30034"/>
    <cellStyle name="Normal 7 3 3 2 3" xfId="30035"/>
    <cellStyle name="Normal 7 3 3 2 3 2" xfId="30036"/>
    <cellStyle name="Normal 7 3 3 2 3 2 2" xfId="30037"/>
    <cellStyle name="Normal 7 3 3 2 3 2 2 2" xfId="30038"/>
    <cellStyle name="Normal 7 3 3 2 3 2 3" xfId="30039"/>
    <cellStyle name="Normal 7 3 3 2 3 3" xfId="30040"/>
    <cellStyle name="Normal 7 3 3 2 3 3 2" xfId="30041"/>
    <cellStyle name="Normal 7 3 3 2 3 4" xfId="30042"/>
    <cellStyle name="Normal 7 3 3 2 4" xfId="30043"/>
    <cellStyle name="Normal 7 3 3 2 4 2" xfId="30044"/>
    <cellStyle name="Normal 7 3 3 2 4 2 2" xfId="30045"/>
    <cellStyle name="Normal 7 3 3 2 4 2 2 2" xfId="30046"/>
    <cellStyle name="Normal 7 3 3 2 4 2 3" xfId="30047"/>
    <cellStyle name="Normal 7 3 3 2 4 3" xfId="30048"/>
    <cellStyle name="Normal 7 3 3 2 4 3 2" xfId="30049"/>
    <cellStyle name="Normal 7 3 3 2 4 4" xfId="30050"/>
    <cellStyle name="Normal 7 3 3 2 5" xfId="30051"/>
    <cellStyle name="Normal 7 3 3 2 5 2" xfId="30052"/>
    <cellStyle name="Normal 7 3 3 2 5 2 2" xfId="30053"/>
    <cellStyle name="Normal 7 3 3 2 5 3" xfId="30054"/>
    <cellStyle name="Normal 7 3 3 2 6" xfId="30055"/>
    <cellStyle name="Normal 7 3 3 2 6 2" xfId="30056"/>
    <cellStyle name="Normal 7 3 3 2 7" xfId="30057"/>
    <cellStyle name="Normal 7 3 3 3" xfId="30058"/>
    <cellStyle name="Normal 7 3 3 3 2" xfId="30059"/>
    <cellStyle name="Normal 7 3 3 3 2 2" xfId="30060"/>
    <cellStyle name="Normal 7 3 3 3 2 2 2" xfId="30061"/>
    <cellStyle name="Normal 7 3 3 3 2 2 2 2" xfId="30062"/>
    <cellStyle name="Normal 7 3 3 3 2 2 3" xfId="30063"/>
    <cellStyle name="Normal 7 3 3 3 2 3" xfId="30064"/>
    <cellStyle name="Normal 7 3 3 3 2 3 2" xfId="30065"/>
    <cellStyle name="Normal 7 3 3 3 2 4" xfId="30066"/>
    <cellStyle name="Normal 7 3 3 3 3" xfId="30067"/>
    <cellStyle name="Normal 7 3 3 3 3 2" xfId="30068"/>
    <cellStyle name="Normal 7 3 3 3 3 2 2" xfId="30069"/>
    <cellStyle name="Normal 7 3 3 3 3 2 2 2" xfId="30070"/>
    <cellStyle name="Normal 7 3 3 3 3 2 3" xfId="30071"/>
    <cellStyle name="Normal 7 3 3 3 3 3" xfId="30072"/>
    <cellStyle name="Normal 7 3 3 3 3 3 2" xfId="30073"/>
    <cellStyle name="Normal 7 3 3 3 3 4" xfId="30074"/>
    <cellStyle name="Normal 7 3 3 3 4" xfId="30075"/>
    <cellStyle name="Normal 7 3 3 3 4 2" xfId="30076"/>
    <cellStyle name="Normal 7 3 3 3 4 2 2" xfId="30077"/>
    <cellStyle name="Normal 7 3 3 3 4 3" xfId="30078"/>
    <cellStyle name="Normal 7 3 3 3 5" xfId="30079"/>
    <cellStyle name="Normal 7 3 3 3 5 2" xfId="30080"/>
    <cellStyle name="Normal 7 3 3 3 6" xfId="30081"/>
    <cellStyle name="Normal 7 3 3 4" xfId="30082"/>
    <cellStyle name="Normal 7 3 3 4 2" xfId="30083"/>
    <cellStyle name="Normal 7 3 3 4 2 2" xfId="30084"/>
    <cellStyle name="Normal 7 3 3 4 2 2 2" xfId="30085"/>
    <cellStyle name="Normal 7 3 3 4 2 3" xfId="30086"/>
    <cellStyle name="Normal 7 3 3 4 3" xfId="30087"/>
    <cellStyle name="Normal 7 3 3 4 3 2" xfId="30088"/>
    <cellStyle name="Normal 7 3 3 4 4" xfId="30089"/>
    <cellStyle name="Normal 7 3 3 5" xfId="30090"/>
    <cellStyle name="Normal 7 3 3 5 2" xfId="30091"/>
    <cellStyle name="Normal 7 3 3 5 2 2" xfId="30092"/>
    <cellStyle name="Normal 7 3 3 5 2 2 2" xfId="30093"/>
    <cellStyle name="Normal 7 3 3 5 2 3" xfId="30094"/>
    <cellStyle name="Normal 7 3 3 5 3" xfId="30095"/>
    <cellStyle name="Normal 7 3 3 5 3 2" xfId="30096"/>
    <cellStyle name="Normal 7 3 3 5 4" xfId="30097"/>
    <cellStyle name="Normal 7 3 3 6" xfId="30098"/>
    <cellStyle name="Normal 7 3 3 6 2" xfId="30099"/>
    <cellStyle name="Normal 7 3 3 6 2 2" xfId="30100"/>
    <cellStyle name="Normal 7 3 3 6 2 2 2" xfId="30101"/>
    <cellStyle name="Normal 7 3 3 6 2 3" xfId="30102"/>
    <cellStyle name="Normal 7 3 3 6 3" xfId="30103"/>
    <cellStyle name="Normal 7 3 3 6 3 2" xfId="30104"/>
    <cellStyle name="Normal 7 3 3 6 4" xfId="30105"/>
    <cellStyle name="Normal 7 3 3 7" xfId="30106"/>
    <cellStyle name="Normal 7 3 3 7 2" xfId="30107"/>
    <cellStyle name="Normal 7 3 3 7 2 2" xfId="30108"/>
    <cellStyle name="Normal 7 3 3 7 3" xfId="30109"/>
    <cellStyle name="Normal 7 3 3 8" xfId="30110"/>
    <cellStyle name="Normal 7 3 3 8 2" xfId="30111"/>
    <cellStyle name="Normal 7 3 3 9" xfId="30112"/>
    <cellStyle name="Normal 7 3 4" xfId="30113"/>
    <cellStyle name="Normal 7 3 4 2" xfId="30114"/>
    <cellStyle name="Normal 7 3 4 2 2" xfId="30115"/>
    <cellStyle name="Normal 7 3 4 2 2 2" xfId="30116"/>
    <cellStyle name="Normal 7 3 4 2 2 2 2" xfId="30117"/>
    <cellStyle name="Normal 7 3 4 2 2 2 2 2" xfId="30118"/>
    <cellStyle name="Normal 7 3 4 2 2 2 3" xfId="30119"/>
    <cellStyle name="Normal 7 3 4 2 2 3" xfId="30120"/>
    <cellStyle name="Normal 7 3 4 2 2 3 2" xfId="30121"/>
    <cellStyle name="Normal 7 3 4 2 2 4" xfId="30122"/>
    <cellStyle name="Normal 7 3 4 2 3" xfId="30123"/>
    <cellStyle name="Normal 7 3 4 2 3 2" xfId="30124"/>
    <cellStyle name="Normal 7 3 4 2 3 2 2" xfId="30125"/>
    <cellStyle name="Normal 7 3 4 2 3 2 2 2" xfId="30126"/>
    <cellStyle name="Normal 7 3 4 2 3 2 3" xfId="30127"/>
    <cellStyle name="Normal 7 3 4 2 3 3" xfId="30128"/>
    <cellStyle name="Normal 7 3 4 2 3 3 2" xfId="30129"/>
    <cellStyle name="Normal 7 3 4 2 3 4" xfId="30130"/>
    <cellStyle name="Normal 7 3 4 2 4" xfId="30131"/>
    <cellStyle name="Normal 7 3 4 2 4 2" xfId="30132"/>
    <cellStyle name="Normal 7 3 4 2 4 2 2" xfId="30133"/>
    <cellStyle name="Normal 7 3 4 2 4 3" xfId="30134"/>
    <cellStyle name="Normal 7 3 4 2 5" xfId="30135"/>
    <cellStyle name="Normal 7 3 4 2 5 2" xfId="30136"/>
    <cellStyle name="Normal 7 3 4 2 6" xfId="30137"/>
    <cellStyle name="Normal 7 3 4 3" xfId="30138"/>
    <cellStyle name="Normal 7 3 4 3 2" xfId="30139"/>
    <cellStyle name="Normal 7 3 4 3 2 2" xfId="30140"/>
    <cellStyle name="Normal 7 3 4 3 2 2 2" xfId="30141"/>
    <cellStyle name="Normal 7 3 4 3 2 3" xfId="30142"/>
    <cellStyle name="Normal 7 3 4 3 3" xfId="30143"/>
    <cellStyle name="Normal 7 3 4 3 3 2" xfId="30144"/>
    <cellStyle name="Normal 7 3 4 3 4" xfId="30145"/>
    <cellStyle name="Normal 7 3 4 4" xfId="30146"/>
    <cellStyle name="Normal 7 3 4 4 2" xfId="30147"/>
    <cellStyle name="Normal 7 3 4 4 2 2" xfId="30148"/>
    <cellStyle name="Normal 7 3 4 4 2 2 2" xfId="30149"/>
    <cellStyle name="Normal 7 3 4 4 2 3" xfId="30150"/>
    <cellStyle name="Normal 7 3 4 4 3" xfId="30151"/>
    <cellStyle name="Normal 7 3 4 4 3 2" xfId="30152"/>
    <cellStyle name="Normal 7 3 4 4 4" xfId="30153"/>
    <cellStyle name="Normal 7 3 4 5" xfId="30154"/>
    <cellStyle name="Normal 7 3 4 5 2" xfId="30155"/>
    <cellStyle name="Normal 7 3 4 5 2 2" xfId="30156"/>
    <cellStyle name="Normal 7 3 4 5 3" xfId="30157"/>
    <cellStyle name="Normal 7 3 4 6" xfId="30158"/>
    <cellStyle name="Normal 7 3 4 6 2" xfId="30159"/>
    <cellStyle name="Normal 7 3 4 7" xfId="30160"/>
    <cellStyle name="Normal 7 3 5" xfId="30161"/>
    <cellStyle name="Normal 7 3 5 2" xfId="30162"/>
    <cellStyle name="Normal 7 3 5 2 2" xfId="30163"/>
    <cellStyle name="Normal 7 3 5 2 2 2" xfId="30164"/>
    <cellStyle name="Normal 7 3 5 2 2 2 2" xfId="30165"/>
    <cellStyle name="Normal 7 3 5 2 2 3" xfId="30166"/>
    <cellStyle name="Normal 7 3 5 2 3" xfId="30167"/>
    <cellStyle name="Normal 7 3 5 2 3 2" xfId="30168"/>
    <cellStyle name="Normal 7 3 5 2 4" xfId="30169"/>
    <cellStyle name="Normal 7 3 5 3" xfId="30170"/>
    <cellStyle name="Normal 7 3 5 3 2" xfId="30171"/>
    <cellStyle name="Normal 7 3 5 3 2 2" xfId="30172"/>
    <cellStyle name="Normal 7 3 5 3 2 2 2" xfId="30173"/>
    <cellStyle name="Normal 7 3 5 3 2 3" xfId="30174"/>
    <cellStyle name="Normal 7 3 5 3 3" xfId="30175"/>
    <cellStyle name="Normal 7 3 5 3 3 2" xfId="30176"/>
    <cellStyle name="Normal 7 3 5 3 4" xfId="30177"/>
    <cellStyle name="Normal 7 3 5 4" xfId="30178"/>
    <cellStyle name="Normal 7 3 5 4 2" xfId="30179"/>
    <cellStyle name="Normal 7 3 5 4 2 2" xfId="30180"/>
    <cellStyle name="Normal 7 3 5 4 3" xfId="30181"/>
    <cellStyle name="Normal 7 3 5 5" xfId="30182"/>
    <cellStyle name="Normal 7 3 5 5 2" xfId="30183"/>
    <cellStyle name="Normal 7 3 5 6" xfId="30184"/>
    <cellStyle name="Normal 7 3 6" xfId="30185"/>
    <cellStyle name="Normal 7 3 6 2" xfId="30186"/>
    <cellStyle name="Normal 7 3 6 2 2" xfId="30187"/>
    <cellStyle name="Normal 7 3 6 2 2 2" xfId="30188"/>
    <cellStyle name="Normal 7 3 6 2 3" xfId="30189"/>
    <cellStyle name="Normal 7 3 6 3" xfId="30190"/>
    <cellStyle name="Normal 7 3 6 3 2" xfId="30191"/>
    <cellStyle name="Normal 7 3 6 4" xfId="30192"/>
    <cellStyle name="Normal 7 3 7" xfId="30193"/>
    <cellStyle name="Normal 7 3 7 2" xfId="30194"/>
    <cellStyle name="Normal 7 3 7 2 2" xfId="30195"/>
    <cellStyle name="Normal 7 3 7 2 2 2" xfId="30196"/>
    <cellStyle name="Normal 7 3 7 2 3" xfId="30197"/>
    <cellStyle name="Normal 7 3 7 3" xfId="30198"/>
    <cellStyle name="Normal 7 3 7 3 2" xfId="30199"/>
    <cellStyle name="Normal 7 3 7 4" xfId="30200"/>
    <cellStyle name="Normal 7 3 8" xfId="30201"/>
    <cellStyle name="Normal 7 3 8 2" xfId="30202"/>
    <cellStyle name="Normal 7 3 8 2 2" xfId="30203"/>
    <cellStyle name="Normal 7 3 8 2 2 2" xfId="30204"/>
    <cellStyle name="Normal 7 3 8 2 3" xfId="30205"/>
    <cellStyle name="Normal 7 3 8 3" xfId="30206"/>
    <cellStyle name="Normal 7 3 8 3 2" xfId="30207"/>
    <cellStyle name="Normal 7 3 8 4" xfId="30208"/>
    <cellStyle name="Normal 7 3 9" xfId="30209"/>
    <cellStyle name="Normal 7 3 9 2" xfId="30210"/>
    <cellStyle name="Normal 7 3 9 2 2" xfId="30211"/>
    <cellStyle name="Normal 7 3 9 3" xfId="30212"/>
    <cellStyle name="Normal 7 4" xfId="30213"/>
    <cellStyle name="Normal 7 4 10" xfId="30214"/>
    <cellStyle name="Normal 7 4 2" xfId="30215"/>
    <cellStyle name="Normal 7 4 2 2" xfId="30216"/>
    <cellStyle name="Normal 7 4 2 2 2" xfId="30217"/>
    <cellStyle name="Normal 7 4 2 2 2 2" xfId="30218"/>
    <cellStyle name="Normal 7 4 2 2 2 2 2" xfId="30219"/>
    <cellStyle name="Normal 7 4 2 2 2 2 2 2" xfId="30220"/>
    <cellStyle name="Normal 7 4 2 2 2 2 2 2 2" xfId="30221"/>
    <cellStyle name="Normal 7 4 2 2 2 2 2 3" xfId="30222"/>
    <cellStyle name="Normal 7 4 2 2 2 2 3" xfId="30223"/>
    <cellStyle name="Normal 7 4 2 2 2 2 3 2" xfId="30224"/>
    <cellStyle name="Normal 7 4 2 2 2 2 4" xfId="30225"/>
    <cellStyle name="Normal 7 4 2 2 2 3" xfId="30226"/>
    <cellStyle name="Normal 7 4 2 2 2 3 2" xfId="30227"/>
    <cellStyle name="Normal 7 4 2 2 2 3 2 2" xfId="30228"/>
    <cellStyle name="Normal 7 4 2 2 2 3 2 2 2" xfId="30229"/>
    <cellStyle name="Normal 7 4 2 2 2 3 2 3" xfId="30230"/>
    <cellStyle name="Normal 7 4 2 2 2 3 3" xfId="30231"/>
    <cellStyle name="Normal 7 4 2 2 2 3 3 2" xfId="30232"/>
    <cellStyle name="Normal 7 4 2 2 2 3 4" xfId="30233"/>
    <cellStyle name="Normal 7 4 2 2 2 4" xfId="30234"/>
    <cellStyle name="Normal 7 4 2 2 2 4 2" xfId="30235"/>
    <cellStyle name="Normal 7 4 2 2 2 4 2 2" xfId="30236"/>
    <cellStyle name="Normal 7 4 2 2 2 4 3" xfId="30237"/>
    <cellStyle name="Normal 7 4 2 2 2 5" xfId="30238"/>
    <cellStyle name="Normal 7 4 2 2 2 5 2" xfId="30239"/>
    <cellStyle name="Normal 7 4 2 2 2 6" xfId="30240"/>
    <cellStyle name="Normal 7 4 2 2 3" xfId="30241"/>
    <cellStyle name="Normal 7 4 2 2 3 2" xfId="30242"/>
    <cellStyle name="Normal 7 4 2 2 3 2 2" xfId="30243"/>
    <cellStyle name="Normal 7 4 2 2 3 2 2 2" xfId="30244"/>
    <cellStyle name="Normal 7 4 2 2 3 2 3" xfId="30245"/>
    <cellStyle name="Normal 7 4 2 2 3 3" xfId="30246"/>
    <cellStyle name="Normal 7 4 2 2 3 3 2" xfId="30247"/>
    <cellStyle name="Normal 7 4 2 2 3 4" xfId="30248"/>
    <cellStyle name="Normal 7 4 2 2 4" xfId="30249"/>
    <cellStyle name="Normal 7 4 2 2 4 2" xfId="30250"/>
    <cellStyle name="Normal 7 4 2 2 4 2 2" xfId="30251"/>
    <cellStyle name="Normal 7 4 2 2 4 2 2 2" xfId="30252"/>
    <cellStyle name="Normal 7 4 2 2 4 2 3" xfId="30253"/>
    <cellStyle name="Normal 7 4 2 2 4 3" xfId="30254"/>
    <cellStyle name="Normal 7 4 2 2 4 3 2" xfId="30255"/>
    <cellStyle name="Normal 7 4 2 2 4 4" xfId="30256"/>
    <cellStyle name="Normal 7 4 2 2 5" xfId="30257"/>
    <cellStyle name="Normal 7 4 2 2 5 2" xfId="30258"/>
    <cellStyle name="Normal 7 4 2 2 5 2 2" xfId="30259"/>
    <cellStyle name="Normal 7 4 2 2 5 3" xfId="30260"/>
    <cellStyle name="Normal 7 4 2 2 6" xfId="30261"/>
    <cellStyle name="Normal 7 4 2 2 6 2" xfId="30262"/>
    <cellStyle name="Normal 7 4 2 2 7" xfId="30263"/>
    <cellStyle name="Normal 7 4 2 3" xfId="30264"/>
    <cellStyle name="Normal 7 4 2 3 2" xfId="30265"/>
    <cellStyle name="Normal 7 4 2 3 2 2" xfId="30266"/>
    <cellStyle name="Normal 7 4 2 3 2 2 2" xfId="30267"/>
    <cellStyle name="Normal 7 4 2 3 2 2 2 2" xfId="30268"/>
    <cellStyle name="Normal 7 4 2 3 2 2 3" xfId="30269"/>
    <cellStyle name="Normal 7 4 2 3 2 3" xfId="30270"/>
    <cellStyle name="Normal 7 4 2 3 2 3 2" xfId="30271"/>
    <cellStyle name="Normal 7 4 2 3 2 4" xfId="30272"/>
    <cellStyle name="Normal 7 4 2 3 3" xfId="30273"/>
    <cellStyle name="Normal 7 4 2 3 3 2" xfId="30274"/>
    <cellStyle name="Normal 7 4 2 3 3 2 2" xfId="30275"/>
    <cellStyle name="Normal 7 4 2 3 3 2 2 2" xfId="30276"/>
    <cellStyle name="Normal 7 4 2 3 3 2 3" xfId="30277"/>
    <cellStyle name="Normal 7 4 2 3 3 3" xfId="30278"/>
    <cellStyle name="Normal 7 4 2 3 3 3 2" xfId="30279"/>
    <cellStyle name="Normal 7 4 2 3 3 4" xfId="30280"/>
    <cellStyle name="Normal 7 4 2 3 4" xfId="30281"/>
    <cellStyle name="Normal 7 4 2 3 4 2" xfId="30282"/>
    <cellStyle name="Normal 7 4 2 3 4 2 2" xfId="30283"/>
    <cellStyle name="Normal 7 4 2 3 4 3" xfId="30284"/>
    <cellStyle name="Normal 7 4 2 3 5" xfId="30285"/>
    <cellStyle name="Normal 7 4 2 3 5 2" xfId="30286"/>
    <cellStyle name="Normal 7 4 2 3 6" xfId="30287"/>
    <cellStyle name="Normal 7 4 2 4" xfId="30288"/>
    <cellStyle name="Normal 7 4 2 4 2" xfId="30289"/>
    <cellStyle name="Normal 7 4 2 4 2 2" xfId="30290"/>
    <cellStyle name="Normal 7 4 2 4 2 2 2" xfId="30291"/>
    <cellStyle name="Normal 7 4 2 4 2 3" xfId="30292"/>
    <cellStyle name="Normal 7 4 2 4 3" xfId="30293"/>
    <cellStyle name="Normal 7 4 2 4 3 2" xfId="30294"/>
    <cellStyle name="Normal 7 4 2 4 4" xfId="30295"/>
    <cellStyle name="Normal 7 4 2 5" xfId="30296"/>
    <cellStyle name="Normal 7 4 2 5 2" xfId="30297"/>
    <cellStyle name="Normal 7 4 2 5 2 2" xfId="30298"/>
    <cellStyle name="Normal 7 4 2 5 2 2 2" xfId="30299"/>
    <cellStyle name="Normal 7 4 2 5 2 3" xfId="30300"/>
    <cellStyle name="Normal 7 4 2 5 3" xfId="30301"/>
    <cellStyle name="Normal 7 4 2 5 3 2" xfId="30302"/>
    <cellStyle name="Normal 7 4 2 5 4" xfId="30303"/>
    <cellStyle name="Normal 7 4 2 6" xfId="30304"/>
    <cellStyle name="Normal 7 4 2 6 2" xfId="30305"/>
    <cellStyle name="Normal 7 4 2 6 2 2" xfId="30306"/>
    <cellStyle name="Normal 7 4 2 6 2 2 2" xfId="30307"/>
    <cellStyle name="Normal 7 4 2 6 2 3" xfId="30308"/>
    <cellStyle name="Normal 7 4 2 6 3" xfId="30309"/>
    <cellStyle name="Normal 7 4 2 6 3 2" xfId="30310"/>
    <cellStyle name="Normal 7 4 2 6 4" xfId="30311"/>
    <cellStyle name="Normal 7 4 2 7" xfId="30312"/>
    <cellStyle name="Normal 7 4 2 7 2" xfId="30313"/>
    <cellStyle name="Normal 7 4 2 7 2 2" xfId="30314"/>
    <cellStyle name="Normal 7 4 2 7 3" xfId="30315"/>
    <cellStyle name="Normal 7 4 2 8" xfId="30316"/>
    <cellStyle name="Normal 7 4 2 8 2" xfId="30317"/>
    <cellStyle name="Normal 7 4 2 9" xfId="30318"/>
    <cellStyle name="Normal 7 4 3" xfId="30319"/>
    <cellStyle name="Normal 7 4 3 2" xfId="30320"/>
    <cellStyle name="Normal 7 4 3 2 2" xfId="30321"/>
    <cellStyle name="Normal 7 4 3 2 2 2" xfId="30322"/>
    <cellStyle name="Normal 7 4 3 2 2 2 2" xfId="30323"/>
    <cellStyle name="Normal 7 4 3 2 2 2 2 2" xfId="30324"/>
    <cellStyle name="Normal 7 4 3 2 2 2 3" xfId="30325"/>
    <cellStyle name="Normal 7 4 3 2 2 3" xfId="30326"/>
    <cellStyle name="Normal 7 4 3 2 2 3 2" xfId="30327"/>
    <cellStyle name="Normal 7 4 3 2 2 4" xfId="30328"/>
    <cellStyle name="Normal 7 4 3 2 3" xfId="30329"/>
    <cellStyle name="Normal 7 4 3 2 3 2" xfId="30330"/>
    <cellStyle name="Normal 7 4 3 2 3 2 2" xfId="30331"/>
    <cellStyle name="Normal 7 4 3 2 3 2 2 2" xfId="30332"/>
    <cellStyle name="Normal 7 4 3 2 3 2 3" xfId="30333"/>
    <cellStyle name="Normal 7 4 3 2 3 3" xfId="30334"/>
    <cellStyle name="Normal 7 4 3 2 3 3 2" xfId="30335"/>
    <cellStyle name="Normal 7 4 3 2 3 4" xfId="30336"/>
    <cellStyle name="Normal 7 4 3 2 4" xfId="30337"/>
    <cellStyle name="Normal 7 4 3 2 4 2" xfId="30338"/>
    <cellStyle name="Normal 7 4 3 2 4 2 2" xfId="30339"/>
    <cellStyle name="Normal 7 4 3 2 4 3" xfId="30340"/>
    <cellStyle name="Normal 7 4 3 2 5" xfId="30341"/>
    <cellStyle name="Normal 7 4 3 2 5 2" xfId="30342"/>
    <cellStyle name="Normal 7 4 3 2 6" xfId="30343"/>
    <cellStyle name="Normal 7 4 3 3" xfId="30344"/>
    <cellStyle name="Normal 7 4 3 3 2" xfId="30345"/>
    <cellStyle name="Normal 7 4 3 3 2 2" xfId="30346"/>
    <cellStyle name="Normal 7 4 3 3 2 2 2" xfId="30347"/>
    <cellStyle name="Normal 7 4 3 3 2 3" xfId="30348"/>
    <cellStyle name="Normal 7 4 3 3 3" xfId="30349"/>
    <cellStyle name="Normal 7 4 3 3 3 2" xfId="30350"/>
    <cellStyle name="Normal 7 4 3 3 4" xfId="30351"/>
    <cellStyle name="Normal 7 4 3 4" xfId="30352"/>
    <cellStyle name="Normal 7 4 3 4 2" xfId="30353"/>
    <cellStyle name="Normal 7 4 3 4 2 2" xfId="30354"/>
    <cellStyle name="Normal 7 4 3 4 2 2 2" xfId="30355"/>
    <cellStyle name="Normal 7 4 3 4 2 3" xfId="30356"/>
    <cellStyle name="Normal 7 4 3 4 3" xfId="30357"/>
    <cellStyle name="Normal 7 4 3 4 3 2" xfId="30358"/>
    <cellStyle name="Normal 7 4 3 4 4" xfId="30359"/>
    <cellStyle name="Normal 7 4 3 5" xfId="30360"/>
    <cellStyle name="Normal 7 4 3 5 2" xfId="30361"/>
    <cellStyle name="Normal 7 4 3 5 2 2" xfId="30362"/>
    <cellStyle name="Normal 7 4 3 5 3" xfId="30363"/>
    <cellStyle name="Normal 7 4 3 6" xfId="30364"/>
    <cellStyle name="Normal 7 4 3 6 2" xfId="30365"/>
    <cellStyle name="Normal 7 4 3 7" xfId="30366"/>
    <cellStyle name="Normal 7 4 4" xfId="30367"/>
    <cellStyle name="Normal 7 4 4 2" xfId="30368"/>
    <cellStyle name="Normal 7 4 4 2 2" xfId="30369"/>
    <cellStyle name="Normal 7 4 4 2 2 2" xfId="30370"/>
    <cellStyle name="Normal 7 4 4 2 2 2 2" xfId="30371"/>
    <cellStyle name="Normal 7 4 4 2 2 3" xfId="30372"/>
    <cellStyle name="Normal 7 4 4 2 3" xfId="30373"/>
    <cellStyle name="Normal 7 4 4 2 3 2" xfId="30374"/>
    <cellStyle name="Normal 7 4 4 2 4" xfId="30375"/>
    <cellStyle name="Normal 7 4 4 3" xfId="30376"/>
    <cellStyle name="Normal 7 4 4 3 2" xfId="30377"/>
    <cellStyle name="Normal 7 4 4 3 2 2" xfId="30378"/>
    <cellStyle name="Normal 7 4 4 3 2 2 2" xfId="30379"/>
    <cellStyle name="Normal 7 4 4 3 2 3" xfId="30380"/>
    <cellStyle name="Normal 7 4 4 3 3" xfId="30381"/>
    <cellStyle name="Normal 7 4 4 3 3 2" xfId="30382"/>
    <cellStyle name="Normal 7 4 4 3 4" xfId="30383"/>
    <cellStyle name="Normal 7 4 4 4" xfId="30384"/>
    <cellStyle name="Normal 7 4 4 4 2" xfId="30385"/>
    <cellStyle name="Normal 7 4 4 4 2 2" xfId="30386"/>
    <cellStyle name="Normal 7 4 4 4 3" xfId="30387"/>
    <cellStyle name="Normal 7 4 4 5" xfId="30388"/>
    <cellStyle name="Normal 7 4 4 5 2" xfId="30389"/>
    <cellStyle name="Normal 7 4 4 6" xfId="30390"/>
    <cellStyle name="Normal 7 4 5" xfId="30391"/>
    <cellStyle name="Normal 7 4 5 2" xfId="30392"/>
    <cellStyle name="Normal 7 4 5 2 2" xfId="30393"/>
    <cellStyle name="Normal 7 4 5 2 2 2" xfId="30394"/>
    <cellStyle name="Normal 7 4 5 2 3" xfId="30395"/>
    <cellStyle name="Normal 7 4 5 3" xfId="30396"/>
    <cellStyle name="Normal 7 4 5 3 2" xfId="30397"/>
    <cellStyle name="Normal 7 4 5 4" xfId="30398"/>
    <cellStyle name="Normal 7 4 6" xfId="30399"/>
    <cellStyle name="Normal 7 4 6 2" xfId="30400"/>
    <cellStyle name="Normal 7 4 6 2 2" xfId="30401"/>
    <cellStyle name="Normal 7 4 6 2 2 2" xfId="30402"/>
    <cellStyle name="Normal 7 4 6 2 3" xfId="30403"/>
    <cellStyle name="Normal 7 4 6 3" xfId="30404"/>
    <cellStyle name="Normal 7 4 6 3 2" xfId="30405"/>
    <cellStyle name="Normal 7 4 6 4" xfId="30406"/>
    <cellStyle name="Normal 7 4 7" xfId="30407"/>
    <cellStyle name="Normal 7 4 7 2" xfId="30408"/>
    <cellStyle name="Normal 7 4 7 2 2" xfId="30409"/>
    <cellStyle name="Normal 7 4 7 2 2 2" xfId="30410"/>
    <cellStyle name="Normal 7 4 7 2 3" xfId="30411"/>
    <cellStyle name="Normal 7 4 7 3" xfId="30412"/>
    <cellStyle name="Normal 7 4 7 3 2" xfId="30413"/>
    <cellStyle name="Normal 7 4 7 4" xfId="30414"/>
    <cellStyle name="Normal 7 4 8" xfId="30415"/>
    <cellStyle name="Normal 7 4 8 2" xfId="30416"/>
    <cellStyle name="Normal 7 4 8 2 2" xfId="30417"/>
    <cellStyle name="Normal 7 4 8 3" xfId="30418"/>
    <cellStyle name="Normal 7 4 9" xfId="30419"/>
    <cellStyle name="Normal 7 4 9 2" xfId="30420"/>
    <cellStyle name="Normal 7 5" xfId="30421"/>
    <cellStyle name="Normal 7 5 10" xfId="30422"/>
    <cellStyle name="Normal 7 5 2" xfId="30423"/>
    <cellStyle name="Normal 7 5 2 2" xfId="30424"/>
    <cellStyle name="Normal 7 5 2 2 2" xfId="30425"/>
    <cellStyle name="Normal 7 5 2 2 2 2" xfId="30426"/>
    <cellStyle name="Normal 7 5 2 2 2 2 2" xfId="30427"/>
    <cellStyle name="Normal 7 5 2 2 2 2 2 2" xfId="30428"/>
    <cellStyle name="Normal 7 5 2 2 2 2 2 2 2" xfId="30429"/>
    <cellStyle name="Normal 7 5 2 2 2 2 2 3" xfId="30430"/>
    <cellStyle name="Normal 7 5 2 2 2 2 3" xfId="30431"/>
    <cellStyle name="Normal 7 5 2 2 2 2 3 2" xfId="30432"/>
    <cellStyle name="Normal 7 5 2 2 2 2 4" xfId="30433"/>
    <cellStyle name="Normal 7 5 2 2 2 3" xfId="30434"/>
    <cellStyle name="Normal 7 5 2 2 2 3 2" xfId="30435"/>
    <cellStyle name="Normal 7 5 2 2 2 3 2 2" xfId="30436"/>
    <cellStyle name="Normal 7 5 2 2 2 3 2 2 2" xfId="30437"/>
    <cellStyle name="Normal 7 5 2 2 2 3 2 3" xfId="30438"/>
    <cellStyle name="Normal 7 5 2 2 2 3 3" xfId="30439"/>
    <cellStyle name="Normal 7 5 2 2 2 3 3 2" xfId="30440"/>
    <cellStyle name="Normal 7 5 2 2 2 3 4" xfId="30441"/>
    <cellStyle name="Normal 7 5 2 2 2 4" xfId="30442"/>
    <cellStyle name="Normal 7 5 2 2 2 4 2" xfId="30443"/>
    <cellStyle name="Normal 7 5 2 2 2 4 2 2" xfId="30444"/>
    <cellStyle name="Normal 7 5 2 2 2 4 3" xfId="30445"/>
    <cellStyle name="Normal 7 5 2 2 2 5" xfId="30446"/>
    <cellStyle name="Normal 7 5 2 2 2 5 2" xfId="30447"/>
    <cellStyle name="Normal 7 5 2 2 2 6" xfId="30448"/>
    <cellStyle name="Normal 7 5 2 2 3" xfId="30449"/>
    <cellStyle name="Normal 7 5 2 2 3 2" xfId="30450"/>
    <cellStyle name="Normal 7 5 2 2 3 2 2" xfId="30451"/>
    <cellStyle name="Normal 7 5 2 2 3 2 2 2" xfId="30452"/>
    <cellStyle name="Normal 7 5 2 2 3 2 3" xfId="30453"/>
    <cellStyle name="Normal 7 5 2 2 3 3" xfId="30454"/>
    <cellStyle name="Normal 7 5 2 2 3 3 2" xfId="30455"/>
    <cellStyle name="Normal 7 5 2 2 3 4" xfId="30456"/>
    <cellStyle name="Normal 7 5 2 2 4" xfId="30457"/>
    <cellStyle name="Normal 7 5 2 2 4 2" xfId="30458"/>
    <cellStyle name="Normal 7 5 2 2 4 2 2" xfId="30459"/>
    <cellStyle name="Normal 7 5 2 2 4 2 2 2" xfId="30460"/>
    <cellStyle name="Normal 7 5 2 2 4 2 3" xfId="30461"/>
    <cellStyle name="Normal 7 5 2 2 4 3" xfId="30462"/>
    <cellStyle name="Normal 7 5 2 2 4 3 2" xfId="30463"/>
    <cellStyle name="Normal 7 5 2 2 4 4" xfId="30464"/>
    <cellStyle name="Normal 7 5 2 2 5" xfId="30465"/>
    <cellStyle name="Normal 7 5 2 2 5 2" xfId="30466"/>
    <cellStyle name="Normal 7 5 2 2 5 2 2" xfId="30467"/>
    <cellStyle name="Normal 7 5 2 2 5 3" xfId="30468"/>
    <cellStyle name="Normal 7 5 2 2 6" xfId="30469"/>
    <cellStyle name="Normal 7 5 2 2 6 2" xfId="30470"/>
    <cellStyle name="Normal 7 5 2 2 7" xfId="30471"/>
    <cellStyle name="Normal 7 5 2 3" xfId="30472"/>
    <cellStyle name="Normal 7 5 2 3 2" xfId="30473"/>
    <cellStyle name="Normal 7 5 2 3 2 2" xfId="30474"/>
    <cellStyle name="Normal 7 5 2 3 2 2 2" xfId="30475"/>
    <cellStyle name="Normal 7 5 2 3 2 2 2 2" xfId="30476"/>
    <cellStyle name="Normal 7 5 2 3 2 2 3" xfId="30477"/>
    <cellStyle name="Normal 7 5 2 3 2 3" xfId="30478"/>
    <cellStyle name="Normal 7 5 2 3 2 3 2" xfId="30479"/>
    <cellStyle name="Normal 7 5 2 3 2 4" xfId="30480"/>
    <cellStyle name="Normal 7 5 2 3 3" xfId="30481"/>
    <cellStyle name="Normal 7 5 2 3 3 2" xfId="30482"/>
    <cellStyle name="Normal 7 5 2 3 3 2 2" xfId="30483"/>
    <cellStyle name="Normal 7 5 2 3 3 2 2 2" xfId="30484"/>
    <cellStyle name="Normal 7 5 2 3 3 2 3" xfId="30485"/>
    <cellStyle name="Normal 7 5 2 3 3 3" xfId="30486"/>
    <cellStyle name="Normal 7 5 2 3 3 3 2" xfId="30487"/>
    <cellStyle name="Normal 7 5 2 3 3 4" xfId="30488"/>
    <cellStyle name="Normal 7 5 2 3 4" xfId="30489"/>
    <cellStyle name="Normal 7 5 2 3 4 2" xfId="30490"/>
    <cellStyle name="Normal 7 5 2 3 4 2 2" xfId="30491"/>
    <cellStyle name="Normal 7 5 2 3 4 3" xfId="30492"/>
    <cellStyle name="Normal 7 5 2 3 5" xfId="30493"/>
    <cellStyle name="Normal 7 5 2 3 5 2" xfId="30494"/>
    <cellStyle name="Normal 7 5 2 3 6" xfId="30495"/>
    <cellStyle name="Normal 7 5 2 4" xfId="30496"/>
    <cellStyle name="Normal 7 5 2 4 2" xfId="30497"/>
    <cellStyle name="Normal 7 5 2 4 2 2" xfId="30498"/>
    <cellStyle name="Normal 7 5 2 4 2 2 2" xfId="30499"/>
    <cellStyle name="Normal 7 5 2 4 2 3" xfId="30500"/>
    <cellStyle name="Normal 7 5 2 4 3" xfId="30501"/>
    <cellStyle name="Normal 7 5 2 4 3 2" xfId="30502"/>
    <cellStyle name="Normal 7 5 2 4 4" xfId="30503"/>
    <cellStyle name="Normal 7 5 2 5" xfId="30504"/>
    <cellStyle name="Normal 7 5 2 5 2" xfId="30505"/>
    <cellStyle name="Normal 7 5 2 5 2 2" xfId="30506"/>
    <cellStyle name="Normal 7 5 2 5 2 2 2" xfId="30507"/>
    <cellStyle name="Normal 7 5 2 5 2 3" xfId="30508"/>
    <cellStyle name="Normal 7 5 2 5 3" xfId="30509"/>
    <cellStyle name="Normal 7 5 2 5 3 2" xfId="30510"/>
    <cellStyle name="Normal 7 5 2 5 4" xfId="30511"/>
    <cellStyle name="Normal 7 5 2 6" xfId="30512"/>
    <cellStyle name="Normal 7 5 2 6 2" xfId="30513"/>
    <cellStyle name="Normal 7 5 2 6 2 2" xfId="30514"/>
    <cellStyle name="Normal 7 5 2 6 2 2 2" xfId="30515"/>
    <cellStyle name="Normal 7 5 2 6 2 3" xfId="30516"/>
    <cellStyle name="Normal 7 5 2 6 3" xfId="30517"/>
    <cellStyle name="Normal 7 5 2 6 3 2" xfId="30518"/>
    <cellStyle name="Normal 7 5 2 6 4" xfId="30519"/>
    <cellStyle name="Normal 7 5 2 7" xfId="30520"/>
    <cellStyle name="Normal 7 5 2 7 2" xfId="30521"/>
    <cellStyle name="Normal 7 5 2 7 2 2" xfId="30522"/>
    <cellStyle name="Normal 7 5 2 7 3" xfId="30523"/>
    <cellStyle name="Normal 7 5 2 8" xfId="30524"/>
    <cellStyle name="Normal 7 5 2 8 2" xfId="30525"/>
    <cellStyle name="Normal 7 5 2 9" xfId="30526"/>
    <cellStyle name="Normal 7 5 3" xfId="30527"/>
    <cellStyle name="Normal 7 5 3 2" xfId="30528"/>
    <cellStyle name="Normal 7 5 3 2 2" xfId="30529"/>
    <cellStyle name="Normal 7 5 3 2 2 2" xfId="30530"/>
    <cellStyle name="Normal 7 5 3 2 2 2 2" xfId="30531"/>
    <cellStyle name="Normal 7 5 3 2 2 2 2 2" xfId="30532"/>
    <cellStyle name="Normal 7 5 3 2 2 2 3" xfId="30533"/>
    <cellStyle name="Normal 7 5 3 2 2 3" xfId="30534"/>
    <cellStyle name="Normal 7 5 3 2 2 3 2" xfId="30535"/>
    <cellStyle name="Normal 7 5 3 2 2 4" xfId="30536"/>
    <cellStyle name="Normal 7 5 3 2 3" xfId="30537"/>
    <cellStyle name="Normal 7 5 3 2 3 2" xfId="30538"/>
    <cellStyle name="Normal 7 5 3 2 3 2 2" xfId="30539"/>
    <cellStyle name="Normal 7 5 3 2 3 2 2 2" xfId="30540"/>
    <cellStyle name="Normal 7 5 3 2 3 2 3" xfId="30541"/>
    <cellStyle name="Normal 7 5 3 2 3 3" xfId="30542"/>
    <cellStyle name="Normal 7 5 3 2 3 3 2" xfId="30543"/>
    <cellStyle name="Normal 7 5 3 2 3 4" xfId="30544"/>
    <cellStyle name="Normal 7 5 3 2 4" xfId="30545"/>
    <cellStyle name="Normal 7 5 3 2 4 2" xfId="30546"/>
    <cellStyle name="Normal 7 5 3 2 4 2 2" xfId="30547"/>
    <cellStyle name="Normal 7 5 3 2 4 3" xfId="30548"/>
    <cellStyle name="Normal 7 5 3 2 5" xfId="30549"/>
    <cellStyle name="Normal 7 5 3 2 5 2" xfId="30550"/>
    <cellStyle name="Normal 7 5 3 2 6" xfId="30551"/>
    <cellStyle name="Normal 7 5 3 3" xfId="30552"/>
    <cellStyle name="Normal 7 5 3 3 2" xfId="30553"/>
    <cellStyle name="Normal 7 5 3 3 2 2" xfId="30554"/>
    <cellStyle name="Normal 7 5 3 3 2 2 2" xfId="30555"/>
    <cellStyle name="Normal 7 5 3 3 2 3" xfId="30556"/>
    <cellStyle name="Normal 7 5 3 3 3" xfId="30557"/>
    <cellStyle name="Normal 7 5 3 3 3 2" xfId="30558"/>
    <cellStyle name="Normal 7 5 3 3 4" xfId="30559"/>
    <cellStyle name="Normal 7 5 3 4" xfId="30560"/>
    <cellStyle name="Normal 7 5 3 4 2" xfId="30561"/>
    <cellStyle name="Normal 7 5 3 4 2 2" xfId="30562"/>
    <cellStyle name="Normal 7 5 3 4 2 2 2" xfId="30563"/>
    <cellStyle name="Normal 7 5 3 4 2 3" xfId="30564"/>
    <cellStyle name="Normal 7 5 3 4 3" xfId="30565"/>
    <cellStyle name="Normal 7 5 3 4 3 2" xfId="30566"/>
    <cellStyle name="Normal 7 5 3 4 4" xfId="30567"/>
    <cellStyle name="Normal 7 5 3 5" xfId="30568"/>
    <cellStyle name="Normal 7 5 3 5 2" xfId="30569"/>
    <cellStyle name="Normal 7 5 3 5 2 2" xfId="30570"/>
    <cellStyle name="Normal 7 5 3 5 3" xfId="30571"/>
    <cellStyle name="Normal 7 5 3 6" xfId="30572"/>
    <cellStyle name="Normal 7 5 3 6 2" xfId="30573"/>
    <cellStyle name="Normal 7 5 3 7" xfId="30574"/>
    <cellStyle name="Normal 7 5 4" xfId="30575"/>
    <cellStyle name="Normal 7 5 4 2" xfId="30576"/>
    <cellStyle name="Normal 7 5 4 2 2" xfId="30577"/>
    <cellStyle name="Normal 7 5 4 2 2 2" xfId="30578"/>
    <cellStyle name="Normal 7 5 4 2 2 2 2" xfId="30579"/>
    <cellStyle name="Normal 7 5 4 2 2 3" xfId="30580"/>
    <cellStyle name="Normal 7 5 4 2 3" xfId="30581"/>
    <cellStyle name="Normal 7 5 4 2 3 2" xfId="30582"/>
    <cellStyle name="Normal 7 5 4 2 4" xfId="30583"/>
    <cellStyle name="Normal 7 5 4 3" xfId="30584"/>
    <cellStyle name="Normal 7 5 4 3 2" xfId="30585"/>
    <cellStyle name="Normal 7 5 4 3 2 2" xfId="30586"/>
    <cellStyle name="Normal 7 5 4 3 2 2 2" xfId="30587"/>
    <cellStyle name="Normal 7 5 4 3 2 3" xfId="30588"/>
    <cellStyle name="Normal 7 5 4 3 3" xfId="30589"/>
    <cellStyle name="Normal 7 5 4 3 3 2" xfId="30590"/>
    <cellStyle name="Normal 7 5 4 3 4" xfId="30591"/>
    <cellStyle name="Normal 7 5 4 4" xfId="30592"/>
    <cellStyle name="Normal 7 5 4 4 2" xfId="30593"/>
    <cellStyle name="Normal 7 5 4 4 2 2" xfId="30594"/>
    <cellStyle name="Normal 7 5 4 4 3" xfId="30595"/>
    <cellStyle name="Normal 7 5 4 5" xfId="30596"/>
    <cellStyle name="Normal 7 5 4 5 2" xfId="30597"/>
    <cellStyle name="Normal 7 5 4 6" xfId="30598"/>
    <cellStyle name="Normal 7 5 5" xfId="30599"/>
    <cellStyle name="Normal 7 5 5 2" xfId="30600"/>
    <cellStyle name="Normal 7 5 5 2 2" xfId="30601"/>
    <cellStyle name="Normal 7 5 5 2 2 2" xfId="30602"/>
    <cellStyle name="Normal 7 5 5 2 3" xfId="30603"/>
    <cellStyle name="Normal 7 5 5 3" xfId="30604"/>
    <cellStyle name="Normal 7 5 5 3 2" xfId="30605"/>
    <cellStyle name="Normal 7 5 5 4" xfId="30606"/>
    <cellStyle name="Normal 7 5 6" xfId="30607"/>
    <cellStyle name="Normal 7 5 6 2" xfId="30608"/>
    <cellStyle name="Normal 7 5 6 2 2" xfId="30609"/>
    <cellStyle name="Normal 7 5 6 2 2 2" xfId="30610"/>
    <cellStyle name="Normal 7 5 6 2 3" xfId="30611"/>
    <cellStyle name="Normal 7 5 6 3" xfId="30612"/>
    <cellStyle name="Normal 7 5 6 3 2" xfId="30613"/>
    <cellStyle name="Normal 7 5 6 4" xfId="30614"/>
    <cellStyle name="Normal 7 5 7" xfId="30615"/>
    <cellStyle name="Normal 7 5 7 2" xfId="30616"/>
    <cellStyle name="Normal 7 5 7 2 2" xfId="30617"/>
    <cellStyle name="Normal 7 5 7 2 2 2" xfId="30618"/>
    <cellStyle name="Normal 7 5 7 2 3" xfId="30619"/>
    <cellStyle name="Normal 7 5 7 3" xfId="30620"/>
    <cellStyle name="Normal 7 5 7 3 2" xfId="30621"/>
    <cellStyle name="Normal 7 5 7 4" xfId="30622"/>
    <cellStyle name="Normal 7 5 8" xfId="30623"/>
    <cellStyle name="Normal 7 5 8 2" xfId="30624"/>
    <cellStyle name="Normal 7 5 8 2 2" xfId="30625"/>
    <cellStyle name="Normal 7 5 8 3" xfId="30626"/>
    <cellStyle name="Normal 7 5 9" xfId="30627"/>
    <cellStyle name="Normal 7 5 9 2" xfId="30628"/>
    <cellStyle name="Normal 7 6" xfId="30629"/>
    <cellStyle name="Normal 7 6 2" xfId="30630"/>
    <cellStyle name="Normal 7 6 2 2" xfId="30631"/>
    <cellStyle name="Normal 7 6 2 2 2" xfId="30632"/>
    <cellStyle name="Normal 7 6 2 2 2 2" xfId="30633"/>
    <cellStyle name="Normal 7 6 2 2 2 2 2" xfId="30634"/>
    <cellStyle name="Normal 7 6 2 2 2 2 2 2" xfId="30635"/>
    <cellStyle name="Normal 7 6 2 2 2 2 3" xfId="30636"/>
    <cellStyle name="Normal 7 6 2 2 2 3" xfId="30637"/>
    <cellStyle name="Normal 7 6 2 2 2 3 2" xfId="30638"/>
    <cellStyle name="Normal 7 6 2 2 2 4" xfId="30639"/>
    <cellStyle name="Normal 7 6 2 2 3" xfId="30640"/>
    <cellStyle name="Normal 7 6 2 2 3 2" xfId="30641"/>
    <cellStyle name="Normal 7 6 2 2 3 2 2" xfId="30642"/>
    <cellStyle name="Normal 7 6 2 2 3 2 2 2" xfId="30643"/>
    <cellStyle name="Normal 7 6 2 2 3 2 3" xfId="30644"/>
    <cellStyle name="Normal 7 6 2 2 3 3" xfId="30645"/>
    <cellStyle name="Normal 7 6 2 2 3 3 2" xfId="30646"/>
    <cellStyle name="Normal 7 6 2 2 3 4" xfId="30647"/>
    <cellStyle name="Normal 7 6 2 2 4" xfId="30648"/>
    <cellStyle name="Normal 7 6 2 2 4 2" xfId="30649"/>
    <cellStyle name="Normal 7 6 2 2 4 2 2" xfId="30650"/>
    <cellStyle name="Normal 7 6 2 2 4 3" xfId="30651"/>
    <cellStyle name="Normal 7 6 2 2 5" xfId="30652"/>
    <cellStyle name="Normal 7 6 2 2 5 2" xfId="30653"/>
    <cellStyle name="Normal 7 6 2 2 6" xfId="30654"/>
    <cellStyle name="Normal 7 6 2 3" xfId="30655"/>
    <cellStyle name="Normal 7 6 2 3 2" xfId="30656"/>
    <cellStyle name="Normal 7 6 2 3 2 2" xfId="30657"/>
    <cellStyle name="Normal 7 6 2 3 2 2 2" xfId="30658"/>
    <cellStyle name="Normal 7 6 2 3 2 3" xfId="30659"/>
    <cellStyle name="Normal 7 6 2 3 3" xfId="30660"/>
    <cellStyle name="Normal 7 6 2 3 3 2" xfId="30661"/>
    <cellStyle name="Normal 7 6 2 3 4" xfId="30662"/>
    <cellStyle name="Normal 7 6 2 4" xfId="30663"/>
    <cellStyle name="Normal 7 6 2 4 2" xfId="30664"/>
    <cellStyle name="Normal 7 6 2 4 2 2" xfId="30665"/>
    <cellStyle name="Normal 7 6 2 4 2 2 2" xfId="30666"/>
    <cellStyle name="Normal 7 6 2 4 2 3" xfId="30667"/>
    <cellStyle name="Normal 7 6 2 4 3" xfId="30668"/>
    <cellStyle name="Normal 7 6 2 4 3 2" xfId="30669"/>
    <cellStyle name="Normal 7 6 2 4 4" xfId="30670"/>
    <cellStyle name="Normal 7 6 2 5" xfId="30671"/>
    <cellStyle name="Normal 7 6 2 5 2" xfId="30672"/>
    <cellStyle name="Normal 7 6 2 5 2 2" xfId="30673"/>
    <cellStyle name="Normal 7 6 2 5 3" xfId="30674"/>
    <cellStyle name="Normal 7 6 2 6" xfId="30675"/>
    <cellStyle name="Normal 7 6 2 6 2" xfId="30676"/>
    <cellStyle name="Normal 7 6 2 7" xfId="30677"/>
    <cellStyle name="Normal 7 6 3" xfId="30678"/>
    <cellStyle name="Normal 7 6 3 2" xfId="30679"/>
    <cellStyle name="Normal 7 6 3 2 2" xfId="30680"/>
    <cellStyle name="Normal 7 6 3 2 2 2" xfId="30681"/>
    <cellStyle name="Normal 7 6 3 2 2 2 2" xfId="30682"/>
    <cellStyle name="Normal 7 6 3 2 2 3" xfId="30683"/>
    <cellStyle name="Normal 7 6 3 2 3" xfId="30684"/>
    <cellStyle name="Normal 7 6 3 2 3 2" xfId="30685"/>
    <cellStyle name="Normal 7 6 3 2 4" xfId="30686"/>
    <cellStyle name="Normal 7 6 3 3" xfId="30687"/>
    <cellStyle name="Normal 7 6 3 3 2" xfId="30688"/>
    <cellStyle name="Normal 7 6 3 3 2 2" xfId="30689"/>
    <cellStyle name="Normal 7 6 3 3 2 2 2" xfId="30690"/>
    <cellStyle name="Normal 7 6 3 3 2 3" xfId="30691"/>
    <cellStyle name="Normal 7 6 3 3 3" xfId="30692"/>
    <cellStyle name="Normal 7 6 3 3 3 2" xfId="30693"/>
    <cellStyle name="Normal 7 6 3 3 4" xfId="30694"/>
    <cellStyle name="Normal 7 6 3 4" xfId="30695"/>
    <cellStyle name="Normal 7 6 3 4 2" xfId="30696"/>
    <cellStyle name="Normal 7 6 3 4 2 2" xfId="30697"/>
    <cellStyle name="Normal 7 6 3 4 3" xfId="30698"/>
    <cellStyle name="Normal 7 6 3 5" xfId="30699"/>
    <cellStyle name="Normal 7 6 3 5 2" xfId="30700"/>
    <cellStyle name="Normal 7 6 3 6" xfId="30701"/>
    <cellStyle name="Normal 7 6 4" xfId="30702"/>
    <cellStyle name="Normal 7 6 4 2" xfId="30703"/>
    <cellStyle name="Normal 7 6 4 2 2" xfId="30704"/>
    <cellStyle name="Normal 7 6 4 2 2 2" xfId="30705"/>
    <cellStyle name="Normal 7 6 4 2 3" xfId="30706"/>
    <cellStyle name="Normal 7 6 4 3" xfId="30707"/>
    <cellStyle name="Normal 7 6 4 3 2" xfId="30708"/>
    <cellStyle name="Normal 7 6 4 4" xfId="30709"/>
    <cellStyle name="Normal 7 6 5" xfId="30710"/>
    <cellStyle name="Normal 7 6 5 2" xfId="30711"/>
    <cellStyle name="Normal 7 6 5 2 2" xfId="30712"/>
    <cellStyle name="Normal 7 6 5 2 2 2" xfId="30713"/>
    <cellStyle name="Normal 7 6 5 2 3" xfId="30714"/>
    <cellStyle name="Normal 7 6 5 3" xfId="30715"/>
    <cellStyle name="Normal 7 6 5 3 2" xfId="30716"/>
    <cellStyle name="Normal 7 6 5 4" xfId="30717"/>
    <cellStyle name="Normal 7 6 6" xfId="30718"/>
    <cellStyle name="Normal 7 6 6 2" xfId="30719"/>
    <cellStyle name="Normal 7 6 6 2 2" xfId="30720"/>
    <cellStyle name="Normal 7 6 6 2 2 2" xfId="30721"/>
    <cellStyle name="Normal 7 6 6 2 3" xfId="30722"/>
    <cellStyle name="Normal 7 6 6 3" xfId="30723"/>
    <cellStyle name="Normal 7 6 6 3 2" xfId="30724"/>
    <cellStyle name="Normal 7 6 6 4" xfId="30725"/>
    <cellStyle name="Normal 7 6 7" xfId="30726"/>
    <cellStyle name="Normal 7 6 7 2" xfId="30727"/>
    <cellStyle name="Normal 7 6 7 2 2" xfId="30728"/>
    <cellStyle name="Normal 7 6 7 3" xfId="30729"/>
    <cellStyle name="Normal 7 6 8" xfId="30730"/>
    <cellStyle name="Normal 7 6 8 2" xfId="30731"/>
    <cellStyle name="Normal 7 6 9" xfId="30732"/>
    <cellStyle name="Normal 7 7" xfId="30733"/>
    <cellStyle name="Normal 7 7 2" xfId="30734"/>
    <cellStyle name="Normal 7 7 2 2" xfId="30735"/>
    <cellStyle name="Normal 7 7 2 2 2" xfId="30736"/>
    <cellStyle name="Normal 7 7 2 2 2 2" xfId="30737"/>
    <cellStyle name="Normal 7 7 2 2 2 2 2" xfId="30738"/>
    <cellStyle name="Normal 7 7 2 2 2 3" xfId="30739"/>
    <cellStyle name="Normal 7 7 2 2 3" xfId="30740"/>
    <cellStyle name="Normal 7 7 2 2 3 2" xfId="30741"/>
    <cellStyle name="Normal 7 7 2 2 4" xfId="30742"/>
    <cellStyle name="Normal 7 7 2 3" xfId="30743"/>
    <cellStyle name="Normal 7 7 2 3 2" xfId="30744"/>
    <cellStyle name="Normal 7 7 2 3 2 2" xfId="30745"/>
    <cellStyle name="Normal 7 7 2 3 2 2 2" xfId="30746"/>
    <cellStyle name="Normal 7 7 2 3 2 3" xfId="30747"/>
    <cellStyle name="Normal 7 7 2 3 3" xfId="30748"/>
    <cellStyle name="Normal 7 7 2 3 3 2" xfId="30749"/>
    <cellStyle name="Normal 7 7 2 3 4" xfId="30750"/>
    <cellStyle name="Normal 7 7 2 4" xfId="30751"/>
    <cellStyle name="Normal 7 7 2 4 2" xfId="30752"/>
    <cellStyle name="Normal 7 7 2 4 2 2" xfId="30753"/>
    <cellStyle name="Normal 7 7 2 4 3" xfId="30754"/>
    <cellStyle name="Normal 7 7 2 5" xfId="30755"/>
    <cellStyle name="Normal 7 7 2 5 2" xfId="30756"/>
    <cellStyle name="Normal 7 7 2 6" xfId="30757"/>
    <cellStyle name="Normal 7 7 3" xfId="30758"/>
    <cellStyle name="Normal 7 7 3 2" xfId="30759"/>
    <cellStyle name="Normal 7 7 3 2 2" xfId="30760"/>
    <cellStyle name="Normal 7 7 3 2 2 2" xfId="30761"/>
    <cellStyle name="Normal 7 7 3 2 3" xfId="30762"/>
    <cellStyle name="Normal 7 7 3 3" xfId="30763"/>
    <cellStyle name="Normal 7 7 3 3 2" xfId="30764"/>
    <cellStyle name="Normal 7 7 3 4" xfId="30765"/>
    <cellStyle name="Normal 7 7 4" xfId="30766"/>
    <cellStyle name="Normal 7 7 4 2" xfId="30767"/>
    <cellStyle name="Normal 7 7 4 2 2" xfId="30768"/>
    <cellStyle name="Normal 7 7 4 2 2 2" xfId="30769"/>
    <cellStyle name="Normal 7 7 4 2 3" xfId="30770"/>
    <cellStyle name="Normal 7 7 4 3" xfId="30771"/>
    <cellStyle name="Normal 7 7 4 3 2" xfId="30772"/>
    <cellStyle name="Normal 7 7 4 4" xfId="30773"/>
    <cellStyle name="Normal 7 7 5" xfId="30774"/>
    <cellStyle name="Normal 7 7 5 2" xfId="30775"/>
    <cellStyle name="Normal 7 7 5 2 2" xfId="30776"/>
    <cellStyle name="Normal 7 7 5 3" xfId="30777"/>
    <cellStyle name="Normal 7 7 6" xfId="30778"/>
    <cellStyle name="Normal 7 7 6 2" xfId="30779"/>
    <cellStyle name="Normal 7 7 7" xfId="30780"/>
    <cellStyle name="Normal 7 8" xfId="30781"/>
    <cellStyle name="Normal 7 8 2" xfId="30782"/>
    <cellStyle name="Normal 7 8 2 2" xfId="30783"/>
    <cellStyle name="Normal 7 8 2 2 2" xfId="30784"/>
    <cellStyle name="Normal 7 8 2 2 2 2" xfId="30785"/>
    <cellStyle name="Normal 7 8 2 2 3" xfId="30786"/>
    <cellStyle name="Normal 7 8 2 3" xfId="30787"/>
    <cellStyle name="Normal 7 8 2 3 2" xfId="30788"/>
    <cellStyle name="Normal 7 8 2 4" xfId="30789"/>
    <cellStyle name="Normal 7 8 3" xfId="30790"/>
    <cellStyle name="Normal 7 8 3 2" xfId="30791"/>
    <cellStyle name="Normal 7 8 3 2 2" xfId="30792"/>
    <cellStyle name="Normal 7 8 3 2 2 2" xfId="30793"/>
    <cellStyle name="Normal 7 8 3 2 3" xfId="30794"/>
    <cellStyle name="Normal 7 8 3 3" xfId="30795"/>
    <cellStyle name="Normal 7 8 3 3 2" xfId="30796"/>
    <cellStyle name="Normal 7 8 3 4" xfId="30797"/>
    <cellStyle name="Normal 7 8 4" xfId="30798"/>
    <cellStyle name="Normal 7 8 4 2" xfId="30799"/>
    <cellStyle name="Normal 7 8 4 2 2" xfId="30800"/>
    <cellStyle name="Normal 7 8 4 3" xfId="30801"/>
    <cellStyle name="Normal 7 8 5" xfId="30802"/>
    <cellStyle name="Normal 7 8 5 2" xfId="30803"/>
    <cellStyle name="Normal 7 8 6" xfId="30804"/>
    <cellStyle name="Normal 7 9" xfId="30805"/>
    <cellStyle name="Normal 7 9 2" xfId="30806"/>
    <cellStyle name="Normal 7 9 2 2" xfId="30807"/>
    <cellStyle name="Normal 7 9 2 2 2" xfId="30808"/>
    <cellStyle name="Normal 7 9 2 3" xfId="30809"/>
    <cellStyle name="Normal 7 9 3" xfId="30810"/>
    <cellStyle name="Normal 7 9 3 2" xfId="30811"/>
    <cellStyle name="Normal 7 9 4" xfId="30812"/>
    <cellStyle name="Normal 8" xfId="30813"/>
    <cellStyle name="Normal 8 10" xfId="30814"/>
    <cellStyle name="Normal 8 10 2" xfId="30815"/>
    <cellStyle name="Normal 8 10 2 2" xfId="30816"/>
    <cellStyle name="Normal 8 10 2 2 2" xfId="30817"/>
    <cellStyle name="Normal 8 10 2 3" xfId="30818"/>
    <cellStyle name="Normal 8 10 3" xfId="30819"/>
    <cellStyle name="Normal 8 10 3 2" xfId="30820"/>
    <cellStyle name="Normal 8 10 4" xfId="30821"/>
    <cellStyle name="Normal 8 11" xfId="30822"/>
    <cellStyle name="Normal 8 11 2" xfId="30823"/>
    <cellStyle name="Normal 8 11 2 2" xfId="30824"/>
    <cellStyle name="Normal 8 11 2 2 2" xfId="30825"/>
    <cellStyle name="Normal 8 11 2 3" xfId="30826"/>
    <cellStyle name="Normal 8 11 3" xfId="30827"/>
    <cellStyle name="Normal 8 11 3 2" xfId="30828"/>
    <cellStyle name="Normal 8 11 4" xfId="30829"/>
    <cellStyle name="Normal 8 12" xfId="30830"/>
    <cellStyle name="Normal 8 12 2" xfId="30831"/>
    <cellStyle name="Normal 8 12 2 2" xfId="30832"/>
    <cellStyle name="Normal 8 12 2 2 2" xfId="30833"/>
    <cellStyle name="Normal 8 12 2 3" xfId="30834"/>
    <cellStyle name="Normal 8 12 3" xfId="30835"/>
    <cellStyle name="Normal 8 12 3 2" xfId="30836"/>
    <cellStyle name="Normal 8 12 4" xfId="30837"/>
    <cellStyle name="Normal 8 13" xfId="30838"/>
    <cellStyle name="Normal 8 13 2" xfId="30839"/>
    <cellStyle name="Normal 8 13 2 2" xfId="30840"/>
    <cellStyle name="Normal 8 13 3" xfId="30841"/>
    <cellStyle name="Normal 8 14" xfId="30842"/>
    <cellStyle name="Normal 8 14 2" xfId="30843"/>
    <cellStyle name="Normal 8 15" xfId="30844"/>
    <cellStyle name="Normal 8 2" xfId="30845"/>
    <cellStyle name="Normal 8 2 10" xfId="30846"/>
    <cellStyle name="Normal 8 2 10 2" xfId="30847"/>
    <cellStyle name="Normal 8 2 10 2 2" xfId="30848"/>
    <cellStyle name="Normal 8 2 10 2 2 2" xfId="30849"/>
    <cellStyle name="Normal 8 2 10 2 3" xfId="30850"/>
    <cellStyle name="Normal 8 2 10 3" xfId="30851"/>
    <cellStyle name="Normal 8 2 10 3 2" xfId="30852"/>
    <cellStyle name="Normal 8 2 10 4" xfId="30853"/>
    <cellStyle name="Normal 8 2 11" xfId="30854"/>
    <cellStyle name="Normal 8 2 11 2" xfId="30855"/>
    <cellStyle name="Normal 8 2 11 2 2" xfId="30856"/>
    <cellStyle name="Normal 8 2 11 2 2 2" xfId="30857"/>
    <cellStyle name="Normal 8 2 11 2 3" xfId="30858"/>
    <cellStyle name="Normal 8 2 11 3" xfId="30859"/>
    <cellStyle name="Normal 8 2 11 3 2" xfId="30860"/>
    <cellStyle name="Normal 8 2 11 4" xfId="30861"/>
    <cellStyle name="Normal 8 2 12" xfId="30862"/>
    <cellStyle name="Normal 8 2 12 2" xfId="30863"/>
    <cellStyle name="Normal 8 2 12 2 2" xfId="30864"/>
    <cellStyle name="Normal 8 2 12 3" xfId="30865"/>
    <cellStyle name="Normal 8 2 13" xfId="30866"/>
    <cellStyle name="Normal 8 2 13 2" xfId="30867"/>
    <cellStyle name="Normal 8 2 14" xfId="30868"/>
    <cellStyle name="Normal 8 2 2" xfId="30869"/>
    <cellStyle name="Normal 8 2 2 10" xfId="30870"/>
    <cellStyle name="Normal 8 2 2 10 2" xfId="30871"/>
    <cellStyle name="Normal 8 2 2 10 2 2" xfId="30872"/>
    <cellStyle name="Normal 8 2 2 10 2 2 2" xfId="30873"/>
    <cellStyle name="Normal 8 2 2 10 2 3" xfId="30874"/>
    <cellStyle name="Normal 8 2 2 10 3" xfId="30875"/>
    <cellStyle name="Normal 8 2 2 10 3 2" xfId="30876"/>
    <cellStyle name="Normal 8 2 2 10 4" xfId="30877"/>
    <cellStyle name="Normal 8 2 2 11" xfId="30878"/>
    <cellStyle name="Normal 8 2 2 11 2" xfId="30879"/>
    <cellStyle name="Normal 8 2 2 11 2 2" xfId="30880"/>
    <cellStyle name="Normal 8 2 2 11 3" xfId="30881"/>
    <cellStyle name="Normal 8 2 2 12" xfId="30882"/>
    <cellStyle name="Normal 8 2 2 12 2" xfId="30883"/>
    <cellStyle name="Normal 8 2 2 13" xfId="30884"/>
    <cellStyle name="Normal 8 2 2 2" xfId="30885"/>
    <cellStyle name="Normal 8 2 2 2 10" xfId="30886"/>
    <cellStyle name="Normal 8 2 2 2 10 2" xfId="30887"/>
    <cellStyle name="Normal 8 2 2 2 11" xfId="30888"/>
    <cellStyle name="Normal 8 2 2 2 2" xfId="30889"/>
    <cellStyle name="Normal 8 2 2 2 2 10" xfId="30890"/>
    <cellStyle name="Normal 8 2 2 2 2 2" xfId="30891"/>
    <cellStyle name="Normal 8 2 2 2 2 2 2" xfId="30892"/>
    <cellStyle name="Normal 8 2 2 2 2 2 2 2" xfId="30893"/>
    <cellStyle name="Normal 8 2 2 2 2 2 2 2 2" xfId="30894"/>
    <cellStyle name="Normal 8 2 2 2 2 2 2 2 2 2" xfId="30895"/>
    <cellStyle name="Normal 8 2 2 2 2 2 2 2 2 2 2" xfId="30896"/>
    <cellStyle name="Normal 8 2 2 2 2 2 2 2 2 2 2 2" xfId="30897"/>
    <cellStyle name="Normal 8 2 2 2 2 2 2 2 2 2 3" xfId="30898"/>
    <cellStyle name="Normal 8 2 2 2 2 2 2 2 2 3" xfId="30899"/>
    <cellStyle name="Normal 8 2 2 2 2 2 2 2 2 3 2" xfId="30900"/>
    <cellStyle name="Normal 8 2 2 2 2 2 2 2 2 4" xfId="30901"/>
    <cellStyle name="Normal 8 2 2 2 2 2 2 2 3" xfId="30902"/>
    <cellStyle name="Normal 8 2 2 2 2 2 2 2 3 2" xfId="30903"/>
    <cellStyle name="Normal 8 2 2 2 2 2 2 2 3 2 2" xfId="30904"/>
    <cellStyle name="Normal 8 2 2 2 2 2 2 2 3 2 2 2" xfId="30905"/>
    <cellStyle name="Normal 8 2 2 2 2 2 2 2 3 2 3" xfId="30906"/>
    <cellStyle name="Normal 8 2 2 2 2 2 2 2 3 3" xfId="30907"/>
    <cellStyle name="Normal 8 2 2 2 2 2 2 2 3 3 2" xfId="30908"/>
    <cellStyle name="Normal 8 2 2 2 2 2 2 2 3 4" xfId="30909"/>
    <cellStyle name="Normal 8 2 2 2 2 2 2 2 4" xfId="30910"/>
    <cellStyle name="Normal 8 2 2 2 2 2 2 2 4 2" xfId="30911"/>
    <cellStyle name="Normal 8 2 2 2 2 2 2 2 4 2 2" xfId="30912"/>
    <cellStyle name="Normal 8 2 2 2 2 2 2 2 4 3" xfId="30913"/>
    <cellStyle name="Normal 8 2 2 2 2 2 2 2 5" xfId="30914"/>
    <cellStyle name="Normal 8 2 2 2 2 2 2 2 5 2" xfId="30915"/>
    <cellStyle name="Normal 8 2 2 2 2 2 2 2 6" xfId="30916"/>
    <cellStyle name="Normal 8 2 2 2 2 2 2 3" xfId="30917"/>
    <cellStyle name="Normal 8 2 2 2 2 2 2 3 2" xfId="30918"/>
    <cellStyle name="Normal 8 2 2 2 2 2 2 3 2 2" xfId="30919"/>
    <cellStyle name="Normal 8 2 2 2 2 2 2 3 2 2 2" xfId="30920"/>
    <cellStyle name="Normal 8 2 2 2 2 2 2 3 2 3" xfId="30921"/>
    <cellStyle name="Normal 8 2 2 2 2 2 2 3 3" xfId="30922"/>
    <cellStyle name="Normal 8 2 2 2 2 2 2 3 3 2" xfId="30923"/>
    <cellStyle name="Normal 8 2 2 2 2 2 2 3 4" xfId="30924"/>
    <cellStyle name="Normal 8 2 2 2 2 2 2 4" xfId="30925"/>
    <cellStyle name="Normal 8 2 2 2 2 2 2 4 2" xfId="30926"/>
    <cellStyle name="Normal 8 2 2 2 2 2 2 4 2 2" xfId="30927"/>
    <cellStyle name="Normal 8 2 2 2 2 2 2 4 2 2 2" xfId="30928"/>
    <cellStyle name="Normal 8 2 2 2 2 2 2 4 2 3" xfId="30929"/>
    <cellStyle name="Normal 8 2 2 2 2 2 2 4 3" xfId="30930"/>
    <cellStyle name="Normal 8 2 2 2 2 2 2 4 3 2" xfId="30931"/>
    <cellStyle name="Normal 8 2 2 2 2 2 2 4 4" xfId="30932"/>
    <cellStyle name="Normal 8 2 2 2 2 2 2 5" xfId="30933"/>
    <cellStyle name="Normal 8 2 2 2 2 2 2 5 2" xfId="30934"/>
    <cellStyle name="Normal 8 2 2 2 2 2 2 5 2 2" xfId="30935"/>
    <cellStyle name="Normal 8 2 2 2 2 2 2 5 3" xfId="30936"/>
    <cellStyle name="Normal 8 2 2 2 2 2 2 6" xfId="30937"/>
    <cellStyle name="Normal 8 2 2 2 2 2 2 6 2" xfId="30938"/>
    <cellStyle name="Normal 8 2 2 2 2 2 2 7" xfId="30939"/>
    <cellStyle name="Normal 8 2 2 2 2 2 3" xfId="30940"/>
    <cellStyle name="Normal 8 2 2 2 2 2 3 2" xfId="30941"/>
    <cellStyle name="Normal 8 2 2 2 2 2 3 2 2" xfId="30942"/>
    <cellStyle name="Normal 8 2 2 2 2 2 3 2 2 2" xfId="30943"/>
    <cellStyle name="Normal 8 2 2 2 2 2 3 2 2 2 2" xfId="30944"/>
    <cellStyle name="Normal 8 2 2 2 2 2 3 2 2 3" xfId="30945"/>
    <cellStyle name="Normal 8 2 2 2 2 2 3 2 3" xfId="30946"/>
    <cellStyle name="Normal 8 2 2 2 2 2 3 2 3 2" xfId="30947"/>
    <cellStyle name="Normal 8 2 2 2 2 2 3 2 4" xfId="30948"/>
    <cellStyle name="Normal 8 2 2 2 2 2 3 3" xfId="30949"/>
    <cellStyle name="Normal 8 2 2 2 2 2 3 3 2" xfId="30950"/>
    <cellStyle name="Normal 8 2 2 2 2 2 3 3 2 2" xfId="30951"/>
    <cellStyle name="Normal 8 2 2 2 2 2 3 3 2 2 2" xfId="30952"/>
    <cellStyle name="Normal 8 2 2 2 2 2 3 3 2 3" xfId="30953"/>
    <cellStyle name="Normal 8 2 2 2 2 2 3 3 3" xfId="30954"/>
    <cellStyle name="Normal 8 2 2 2 2 2 3 3 3 2" xfId="30955"/>
    <cellStyle name="Normal 8 2 2 2 2 2 3 3 4" xfId="30956"/>
    <cellStyle name="Normal 8 2 2 2 2 2 3 4" xfId="30957"/>
    <cellStyle name="Normal 8 2 2 2 2 2 3 4 2" xfId="30958"/>
    <cellStyle name="Normal 8 2 2 2 2 2 3 4 2 2" xfId="30959"/>
    <cellStyle name="Normal 8 2 2 2 2 2 3 4 3" xfId="30960"/>
    <cellStyle name="Normal 8 2 2 2 2 2 3 5" xfId="30961"/>
    <cellStyle name="Normal 8 2 2 2 2 2 3 5 2" xfId="30962"/>
    <cellStyle name="Normal 8 2 2 2 2 2 3 6" xfId="30963"/>
    <cellStyle name="Normal 8 2 2 2 2 2 4" xfId="30964"/>
    <cellStyle name="Normal 8 2 2 2 2 2 4 2" xfId="30965"/>
    <cellStyle name="Normal 8 2 2 2 2 2 4 2 2" xfId="30966"/>
    <cellStyle name="Normal 8 2 2 2 2 2 4 2 2 2" xfId="30967"/>
    <cellStyle name="Normal 8 2 2 2 2 2 4 2 3" xfId="30968"/>
    <cellStyle name="Normal 8 2 2 2 2 2 4 3" xfId="30969"/>
    <cellStyle name="Normal 8 2 2 2 2 2 4 3 2" xfId="30970"/>
    <cellStyle name="Normal 8 2 2 2 2 2 4 4" xfId="30971"/>
    <cellStyle name="Normal 8 2 2 2 2 2 5" xfId="30972"/>
    <cellStyle name="Normal 8 2 2 2 2 2 5 2" xfId="30973"/>
    <cellStyle name="Normal 8 2 2 2 2 2 5 2 2" xfId="30974"/>
    <cellStyle name="Normal 8 2 2 2 2 2 5 2 2 2" xfId="30975"/>
    <cellStyle name="Normal 8 2 2 2 2 2 5 2 3" xfId="30976"/>
    <cellStyle name="Normal 8 2 2 2 2 2 5 3" xfId="30977"/>
    <cellStyle name="Normal 8 2 2 2 2 2 5 3 2" xfId="30978"/>
    <cellStyle name="Normal 8 2 2 2 2 2 5 4" xfId="30979"/>
    <cellStyle name="Normal 8 2 2 2 2 2 6" xfId="30980"/>
    <cellStyle name="Normal 8 2 2 2 2 2 6 2" xfId="30981"/>
    <cellStyle name="Normal 8 2 2 2 2 2 6 2 2" xfId="30982"/>
    <cellStyle name="Normal 8 2 2 2 2 2 6 2 2 2" xfId="30983"/>
    <cellStyle name="Normal 8 2 2 2 2 2 6 2 3" xfId="30984"/>
    <cellStyle name="Normal 8 2 2 2 2 2 6 3" xfId="30985"/>
    <cellStyle name="Normal 8 2 2 2 2 2 6 3 2" xfId="30986"/>
    <cellStyle name="Normal 8 2 2 2 2 2 6 4" xfId="30987"/>
    <cellStyle name="Normal 8 2 2 2 2 2 7" xfId="30988"/>
    <cellStyle name="Normal 8 2 2 2 2 2 7 2" xfId="30989"/>
    <cellStyle name="Normal 8 2 2 2 2 2 7 2 2" xfId="30990"/>
    <cellStyle name="Normal 8 2 2 2 2 2 7 3" xfId="30991"/>
    <cellStyle name="Normal 8 2 2 2 2 2 8" xfId="30992"/>
    <cellStyle name="Normal 8 2 2 2 2 2 8 2" xfId="30993"/>
    <cellStyle name="Normal 8 2 2 2 2 2 9" xfId="30994"/>
    <cellStyle name="Normal 8 2 2 2 2 3" xfId="30995"/>
    <cellStyle name="Normal 8 2 2 2 2 3 2" xfId="30996"/>
    <cellStyle name="Normal 8 2 2 2 2 3 2 2" xfId="30997"/>
    <cellStyle name="Normal 8 2 2 2 2 3 2 2 2" xfId="30998"/>
    <cellStyle name="Normal 8 2 2 2 2 3 2 2 2 2" xfId="30999"/>
    <cellStyle name="Normal 8 2 2 2 2 3 2 2 2 2 2" xfId="31000"/>
    <cellStyle name="Normal 8 2 2 2 2 3 2 2 2 3" xfId="31001"/>
    <cellStyle name="Normal 8 2 2 2 2 3 2 2 3" xfId="31002"/>
    <cellStyle name="Normal 8 2 2 2 2 3 2 2 3 2" xfId="31003"/>
    <cellStyle name="Normal 8 2 2 2 2 3 2 2 4" xfId="31004"/>
    <cellStyle name="Normal 8 2 2 2 2 3 2 3" xfId="31005"/>
    <cellStyle name="Normal 8 2 2 2 2 3 2 3 2" xfId="31006"/>
    <cellStyle name="Normal 8 2 2 2 2 3 2 3 2 2" xfId="31007"/>
    <cellStyle name="Normal 8 2 2 2 2 3 2 3 2 2 2" xfId="31008"/>
    <cellStyle name="Normal 8 2 2 2 2 3 2 3 2 3" xfId="31009"/>
    <cellStyle name="Normal 8 2 2 2 2 3 2 3 3" xfId="31010"/>
    <cellStyle name="Normal 8 2 2 2 2 3 2 3 3 2" xfId="31011"/>
    <cellStyle name="Normal 8 2 2 2 2 3 2 3 4" xfId="31012"/>
    <cellStyle name="Normal 8 2 2 2 2 3 2 4" xfId="31013"/>
    <cellStyle name="Normal 8 2 2 2 2 3 2 4 2" xfId="31014"/>
    <cellStyle name="Normal 8 2 2 2 2 3 2 4 2 2" xfId="31015"/>
    <cellStyle name="Normal 8 2 2 2 2 3 2 4 3" xfId="31016"/>
    <cellStyle name="Normal 8 2 2 2 2 3 2 5" xfId="31017"/>
    <cellStyle name="Normal 8 2 2 2 2 3 2 5 2" xfId="31018"/>
    <cellStyle name="Normal 8 2 2 2 2 3 2 6" xfId="31019"/>
    <cellStyle name="Normal 8 2 2 2 2 3 3" xfId="31020"/>
    <cellStyle name="Normal 8 2 2 2 2 3 3 2" xfId="31021"/>
    <cellStyle name="Normal 8 2 2 2 2 3 3 2 2" xfId="31022"/>
    <cellStyle name="Normal 8 2 2 2 2 3 3 2 2 2" xfId="31023"/>
    <cellStyle name="Normal 8 2 2 2 2 3 3 2 3" xfId="31024"/>
    <cellStyle name="Normal 8 2 2 2 2 3 3 3" xfId="31025"/>
    <cellStyle name="Normal 8 2 2 2 2 3 3 3 2" xfId="31026"/>
    <cellStyle name="Normal 8 2 2 2 2 3 3 4" xfId="31027"/>
    <cellStyle name="Normal 8 2 2 2 2 3 4" xfId="31028"/>
    <cellStyle name="Normal 8 2 2 2 2 3 4 2" xfId="31029"/>
    <cellStyle name="Normal 8 2 2 2 2 3 4 2 2" xfId="31030"/>
    <cellStyle name="Normal 8 2 2 2 2 3 4 2 2 2" xfId="31031"/>
    <cellStyle name="Normal 8 2 2 2 2 3 4 2 3" xfId="31032"/>
    <cellStyle name="Normal 8 2 2 2 2 3 4 3" xfId="31033"/>
    <cellStyle name="Normal 8 2 2 2 2 3 4 3 2" xfId="31034"/>
    <cellStyle name="Normal 8 2 2 2 2 3 4 4" xfId="31035"/>
    <cellStyle name="Normal 8 2 2 2 2 3 5" xfId="31036"/>
    <cellStyle name="Normal 8 2 2 2 2 3 5 2" xfId="31037"/>
    <cellStyle name="Normal 8 2 2 2 2 3 5 2 2" xfId="31038"/>
    <cellStyle name="Normal 8 2 2 2 2 3 5 3" xfId="31039"/>
    <cellStyle name="Normal 8 2 2 2 2 3 6" xfId="31040"/>
    <cellStyle name="Normal 8 2 2 2 2 3 6 2" xfId="31041"/>
    <cellStyle name="Normal 8 2 2 2 2 3 7" xfId="31042"/>
    <cellStyle name="Normal 8 2 2 2 2 4" xfId="31043"/>
    <cellStyle name="Normal 8 2 2 2 2 4 2" xfId="31044"/>
    <cellStyle name="Normal 8 2 2 2 2 4 2 2" xfId="31045"/>
    <cellStyle name="Normal 8 2 2 2 2 4 2 2 2" xfId="31046"/>
    <cellStyle name="Normal 8 2 2 2 2 4 2 2 2 2" xfId="31047"/>
    <cellStyle name="Normal 8 2 2 2 2 4 2 2 3" xfId="31048"/>
    <cellStyle name="Normal 8 2 2 2 2 4 2 3" xfId="31049"/>
    <cellStyle name="Normal 8 2 2 2 2 4 2 3 2" xfId="31050"/>
    <cellStyle name="Normal 8 2 2 2 2 4 2 4" xfId="31051"/>
    <cellStyle name="Normal 8 2 2 2 2 4 3" xfId="31052"/>
    <cellStyle name="Normal 8 2 2 2 2 4 3 2" xfId="31053"/>
    <cellStyle name="Normal 8 2 2 2 2 4 3 2 2" xfId="31054"/>
    <cellStyle name="Normal 8 2 2 2 2 4 3 2 2 2" xfId="31055"/>
    <cellStyle name="Normal 8 2 2 2 2 4 3 2 3" xfId="31056"/>
    <cellStyle name="Normal 8 2 2 2 2 4 3 3" xfId="31057"/>
    <cellStyle name="Normal 8 2 2 2 2 4 3 3 2" xfId="31058"/>
    <cellStyle name="Normal 8 2 2 2 2 4 3 4" xfId="31059"/>
    <cellStyle name="Normal 8 2 2 2 2 4 4" xfId="31060"/>
    <cellStyle name="Normal 8 2 2 2 2 4 4 2" xfId="31061"/>
    <cellStyle name="Normal 8 2 2 2 2 4 4 2 2" xfId="31062"/>
    <cellStyle name="Normal 8 2 2 2 2 4 4 3" xfId="31063"/>
    <cellStyle name="Normal 8 2 2 2 2 4 5" xfId="31064"/>
    <cellStyle name="Normal 8 2 2 2 2 4 5 2" xfId="31065"/>
    <cellStyle name="Normal 8 2 2 2 2 4 6" xfId="31066"/>
    <cellStyle name="Normal 8 2 2 2 2 5" xfId="31067"/>
    <cellStyle name="Normal 8 2 2 2 2 5 2" xfId="31068"/>
    <cellStyle name="Normal 8 2 2 2 2 5 2 2" xfId="31069"/>
    <cellStyle name="Normal 8 2 2 2 2 5 2 2 2" xfId="31070"/>
    <cellStyle name="Normal 8 2 2 2 2 5 2 3" xfId="31071"/>
    <cellStyle name="Normal 8 2 2 2 2 5 3" xfId="31072"/>
    <cellStyle name="Normal 8 2 2 2 2 5 3 2" xfId="31073"/>
    <cellStyle name="Normal 8 2 2 2 2 5 4" xfId="31074"/>
    <cellStyle name="Normal 8 2 2 2 2 6" xfId="31075"/>
    <cellStyle name="Normal 8 2 2 2 2 6 2" xfId="31076"/>
    <cellStyle name="Normal 8 2 2 2 2 6 2 2" xfId="31077"/>
    <cellStyle name="Normal 8 2 2 2 2 6 2 2 2" xfId="31078"/>
    <cellStyle name="Normal 8 2 2 2 2 6 2 3" xfId="31079"/>
    <cellStyle name="Normal 8 2 2 2 2 6 3" xfId="31080"/>
    <cellStyle name="Normal 8 2 2 2 2 6 3 2" xfId="31081"/>
    <cellStyle name="Normal 8 2 2 2 2 6 4" xfId="31082"/>
    <cellStyle name="Normal 8 2 2 2 2 7" xfId="31083"/>
    <cellStyle name="Normal 8 2 2 2 2 7 2" xfId="31084"/>
    <cellStyle name="Normal 8 2 2 2 2 7 2 2" xfId="31085"/>
    <cellStyle name="Normal 8 2 2 2 2 7 2 2 2" xfId="31086"/>
    <cellStyle name="Normal 8 2 2 2 2 7 2 3" xfId="31087"/>
    <cellStyle name="Normal 8 2 2 2 2 7 3" xfId="31088"/>
    <cellStyle name="Normal 8 2 2 2 2 7 3 2" xfId="31089"/>
    <cellStyle name="Normal 8 2 2 2 2 7 4" xfId="31090"/>
    <cellStyle name="Normal 8 2 2 2 2 8" xfId="31091"/>
    <cellStyle name="Normal 8 2 2 2 2 8 2" xfId="31092"/>
    <cellStyle name="Normal 8 2 2 2 2 8 2 2" xfId="31093"/>
    <cellStyle name="Normal 8 2 2 2 2 8 3" xfId="31094"/>
    <cellStyle name="Normal 8 2 2 2 2 9" xfId="31095"/>
    <cellStyle name="Normal 8 2 2 2 2 9 2" xfId="31096"/>
    <cellStyle name="Normal 8 2 2 2 3" xfId="31097"/>
    <cellStyle name="Normal 8 2 2 2 3 2" xfId="31098"/>
    <cellStyle name="Normal 8 2 2 2 3 2 2" xfId="31099"/>
    <cellStyle name="Normal 8 2 2 2 3 2 2 2" xfId="31100"/>
    <cellStyle name="Normal 8 2 2 2 3 2 2 2 2" xfId="31101"/>
    <cellStyle name="Normal 8 2 2 2 3 2 2 2 2 2" xfId="31102"/>
    <cellStyle name="Normal 8 2 2 2 3 2 2 2 2 2 2" xfId="31103"/>
    <cellStyle name="Normal 8 2 2 2 3 2 2 2 2 3" xfId="31104"/>
    <cellStyle name="Normal 8 2 2 2 3 2 2 2 3" xfId="31105"/>
    <cellStyle name="Normal 8 2 2 2 3 2 2 2 3 2" xfId="31106"/>
    <cellStyle name="Normal 8 2 2 2 3 2 2 2 4" xfId="31107"/>
    <cellStyle name="Normal 8 2 2 2 3 2 2 3" xfId="31108"/>
    <cellStyle name="Normal 8 2 2 2 3 2 2 3 2" xfId="31109"/>
    <cellStyle name="Normal 8 2 2 2 3 2 2 3 2 2" xfId="31110"/>
    <cellStyle name="Normal 8 2 2 2 3 2 2 3 2 2 2" xfId="31111"/>
    <cellStyle name="Normal 8 2 2 2 3 2 2 3 2 3" xfId="31112"/>
    <cellStyle name="Normal 8 2 2 2 3 2 2 3 3" xfId="31113"/>
    <cellStyle name="Normal 8 2 2 2 3 2 2 3 3 2" xfId="31114"/>
    <cellStyle name="Normal 8 2 2 2 3 2 2 3 4" xfId="31115"/>
    <cellStyle name="Normal 8 2 2 2 3 2 2 4" xfId="31116"/>
    <cellStyle name="Normal 8 2 2 2 3 2 2 4 2" xfId="31117"/>
    <cellStyle name="Normal 8 2 2 2 3 2 2 4 2 2" xfId="31118"/>
    <cellStyle name="Normal 8 2 2 2 3 2 2 4 3" xfId="31119"/>
    <cellStyle name="Normal 8 2 2 2 3 2 2 5" xfId="31120"/>
    <cellStyle name="Normal 8 2 2 2 3 2 2 5 2" xfId="31121"/>
    <cellStyle name="Normal 8 2 2 2 3 2 2 6" xfId="31122"/>
    <cellStyle name="Normal 8 2 2 2 3 2 3" xfId="31123"/>
    <cellStyle name="Normal 8 2 2 2 3 2 3 2" xfId="31124"/>
    <cellStyle name="Normal 8 2 2 2 3 2 3 2 2" xfId="31125"/>
    <cellStyle name="Normal 8 2 2 2 3 2 3 2 2 2" xfId="31126"/>
    <cellStyle name="Normal 8 2 2 2 3 2 3 2 3" xfId="31127"/>
    <cellStyle name="Normal 8 2 2 2 3 2 3 3" xfId="31128"/>
    <cellStyle name="Normal 8 2 2 2 3 2 3 3 2" xfId="31129"/>
    <cellStyle name="Normal 8 2 2 2 3 2 3 4" xfId="31130"/>
    <cellStyle name="Normal 8 2 2 2 3 2 4" xfId="31131"/>
    <cellStyle name="Normal 8 2 2 2 3 2 4 2" xfId="31132"/>
    <cellStyle name="Normal 8 2 2 2 3 2 4 2 2" xfId="31133"/>
    <cellStyle name="Normal 8 2 2 2 3 2 4 2 2 2" xfId="31134"/>
    <cellStyle name="Normal 8 2 2 2 3 2 4 2 3" xfId="31135"/>
    <cellStyle name="Normal 8 2 2 2 3 2 4 3" xfId="31136"/>
    <cellStyle name="Normal 8 2 2 2 3 2 4 3 2" xfId="31137"/>
    <cellStyle name="Normal 8 2 2 2 3 2 4 4" xfId="31138"/>
    <cellStyle name="Normal 8 2 2 2 3 2 5" xfId="31139"/>
    <cellStyle name="Normal 8 2 2 2 3 2 5 2" xfId="31140"/>
    <cellStyle name="Normal 8 2 2 2 3 2 5 2 2" xfId="31141"/>
    <cellStyle name="Normal 8 2 2 2 3 2 5 3" xfId="31142"/>
    <cellStyle name="Normal 8 2 2 2 3 2 6" xfId="31143"/>
    <cellStyle name="Normal 8 2 2 2 3 2 6 2" xfId="31144"/>
    <cellStyle name="Normal 8 2 2 2 3 2 7" xfId="31145"/>
    <cellStyle name="Normal 8 2 2 2 3 3" xfId="31146"/>
    <cellStyle name="Normal 8 2 2 2 3 3 2" xfId="31147"/>
    <cellStyle name="Normal 8 2 2 2 3 3 2 2" xfId="31148"/>
    <cellStyle name="Normal 8 2 2 2 3 3 2 2 2" xfId="31149"/>
    <cellStyle name="Normal 8 2 2 2 3 3 2 2 2 2" xfId="31150"/>
    <cellStyle name="Normal 8 2 2 2 3 3 2 2 3" xfId="31151"/>
    <cellStyle name="Normal 8 2 2 2 3 3 2 3" xfId="31152"/>
    <cellStyle name="Normal 8 2 2 2 3 3 2 3 2" xfId="31153"/>
    <cellStyle name="Normal 8 2 2 2 3 3 2 4" xfId="31154"/>
    <cellStyle name="Normal 8 2 2 2 3 3 3" xfId="31155"/>
    <cellStyle name="Normal 8 2 2 2 3 3 3 2" xfId="31156"/>
    <cellStyle name="Normal 8 2 2 2 3 3 3 2 2" xfId="31157"/>
    <cellStyle name="Normal 8 2 2 2 3 3 3 2 2 2" xfId="31158"/>
    <cellStyle name="Normal 8 2 2 2 3 3 3 2 3" xfId="31159"/>
    <cellStyle name="Normal 8 2 2 2 3 3 3 3" xfId="31160"/>
    <cellStyle name="Normal 8 2 2 2 3 3 3 3 2" xfId="31161"/>
    <cellStyle name="Normal 8 2 2 2 3 3 3 4" xfId="31162"/>
    <cellStyle name="Normal 8 2 2 2 3 3 4" xfId="31163"/>
    <cellStyle name="Normal 8 2 2 2 3 3 4 2" xfId="31164"/>
    <cellStyle name="Normal 8 2 2 2 3 3 4 2 2" xfId="31165"/>
    <cellStyle name="Normal 8 2 2 2 3 3 4 3" xfId="31166"/>
    <cellStyle name="Normal 8 2 2 2 3 3 5" xfId="31167"/>
    <cellStyle name="Normal 8 2 2 2 3 3 5 2" xfId="31168"/>
    <cellStyle name="Normal 8 2 2 2 3 3 6" xfId="31169"/>
    <cellStyle name="Normal 8 2 2 2 3 4" xfId="31170"/>
    <cellStyle name="Normal 8 2 2 2 3 4 2" xfId="31171"/>
    <cellStyle name="Normal 8 2 2 2 3 4 2 2" xfId="31172"/>
    <cellStyle name="Normal 8 2 2 2 3 4 2 2 2" xfId="31173"/>
    <cellStyle name="Normal 8 2 2 2 3 4 2 3" xfId="31174"/>
    <cellStyle name="Normal 8 2 2 2 3 4 3" xfId="31175"/>
    <cellStyle name="Normal 8 2 2 2 3 4 3 2" xfId="31176"/>
    <cellStyle name="Normal 8 2 2 2 3 4 4" xfId="31177"/>
    <cellStyle name="Normal 8 2 2 2 3 5" xfId="31178"/>
    <cellStyle name="Normal 8 2 2 2 3 5 2" xfId="31179"/>
    <cellStyle name="Normal 8 2 2 2 3 5 2 2" xfId="31180"/>
    <cellStyle name="Normal 8 2 2 2 3 5 2 2 2" xfId="31181"/>
    <cellStyle name="Normal 8 2 2 2 3 5 2 3" xfId="31182"/>
    <cellStyle name="Normal 8 2 2 2 3 5 3" xfId="31183"/>
    <cellStyle name="Normal 8 2 2 2 3 5 3 2" xfId="31184"/>
    <cellStyle name="Normal 8 2 2 2 3 5 4" xfId="31185"/>
    <cellStyle name="Normal 8 2 2 2 3 6" xfId="31186"/>
    <cellStyle name="Normal 8 2 2 2 3 6 2" xfId="31187"/>
    <cellStyle name="Normal 8 2 2 2 3 6 2 2" xfId="31188"/>
    <cellStyle name="Normal 8 2 2 2 3 6 2 2 2" xfId="31189"/>
    <cellStyle name="Normal 8 2 2 2 3 6 2 3" xfId="31190"/>
    <cellStyle name="Normal 8 2 2 2 3 6 3" xfId="31191"/>
    <cellStyle name="Normal 8 2 2 2 3 6 3 2" xfId="31192"/>
    <cellStyle name="Normal 8 2 2 2 3 6 4" xfId="31193"/>
    <cellStyle name="Normal 8 2 2 2 3 7" xfId="31194"/>
    <cellStyle name="Normal 8 2 2 2 3 7 2" xfId="31195"/>
    <cellStyle name="Normal 8 2 2 2 3 7 2 2" xfId="31196"/>
    <cellStyle name="Normal 8 2 2 2 3 7 3" xfId="31197"/>
    <cellStyle name="Normal 8 2 2 2 3 8" xfId="31198"/>
    <cellStyle name="Normal 8 2 2 2 3 8 2" xfId="31199"/>
    <cellStyle name="Normal 8 2 2 2 3 9" xfId="31200"/>
    <cellStyle name="Normal 8 2 2 2 4" xfId="31201"/>
    <cellStyle name="Normal 8 2 2 2 4 2" xfId="31202"/>
    <cellStyle name="Normal 8 2 2 2 4 2 2" xfId="31203"/>
    <cellStyle name="Normal 8 2 2 2 4 2 2 2" xfId="31204"/>
    <cellStyle name="Normal 8 2 2 2 4 2 2 2 2" xfId="31205"/>
    <cellStyle name="Normal 8 2 2 2 4 2 2 2 2 2" xfId="31206"/>
    <cellStyle name="Normal 8 2 2 2 4 2 2 2 3" xfId="31207"/>
    <cellStyle name="Normal 8 2 2 2 4 2 2 3" xfId="31208"/>
    <cellStyle name="Normal 8 2 2 2 4 2 2 3 2" xfId="31209"/>
    <cellStyle name="Normal 8 2 2 2 4 2 2 4" xfId="31210"/>
    <cellStyle name="Normal 8 2 2 2 4 2 3" xfId="31211"/>
    <cellStyle name="Normal 8 2 2 2 4 2 3 2" xfId="31212"/>
    <cellStyle name="Normal 8 2 2 2 4 2 3 2 2" xfId="31213"/>
    <cellStyle name="Normal 8 2 2 2 4 2 3 2 2 2" xfId="31214"/>
    <cellStyle name="Normal 8 2 2 2 4 2 3 2 3" xfId="31215"/>
    <cellStyle name="Normal 8 2 2 2 4 2 3 3" xfId="31216"/>
    <cellStyle name="Normal 8 2 2 2 4 2 3 3 2" xfId="31217"/>
    <cellStyle name="Normal 8 2 2 2 4 2 3 4" xfId="31218"/>
    <cellStyle name="Normal 8 2 2 2 4 2 4" xfId="31219"/>
    <cellStyle name="Normal 8 2 2 2 4 2 4 2" xfId="31220"/>
    <cellStyle name="Normal 8 2 2 2 4 2 4 2 2" xfId="31221"/>
    <cellStyle name="Normal 8 2 2 2 4 2 4 3" xfId="31222"/>
    <cellStyle name="Normal 8 2 2 2 4 2 5" xfId="31223"/>
    <cellStyle name="Normal 8 2 2 2 4 2 5 2" xfId="31224"/>
    <cellStyle name="Normal 8 2 2 2 4 2 6" xfId="31225"/>
    <cellStyle name="Normal 8 2 2 2 4 3" xfId="31226"/>
    <cellStyle name="Normal 8 2 2 2 4 3 2" xfId="31227"/>
    <cellStyle name="Normal 8 2 2 2 4 3 2 2" xfId="31228"/>
    <cellStyle name="Normal 8 2 2 2 4 3 2 2 2" xfId="31229"/>
    <cellStyle name="Normal 8 2 2 2 4 3 2 3" xfId="31230"/>
    <cellStyle name="Normal 8 2 2 2 4 3 3" xfId="31231"/>
    <cellStyle name="Normal 8 2 2 2 4 3 3 2" xfId="31232"/>
    <cellStyle name="Normal 8 2 2 2 4 3 4" xfId="31233"/>
    <cellStyle name="Normal 8 2 2 2 4 4" xfId="31234"/>
    <cellStyle name="Normal 8 2 2 2 4 4 2" xfId="31235"/>
    <cellStyle name="Normal 8 2 2 2 4 4 2 2" xfId="31236"/>
    <cellStyle name="Normal 8 2 2 2 4 4 2 2 2" xfId="31237"/>
    <cellStyle name="Normal 8 2 2 2 4 4 2 3" xfId="31238"/>
    <cellStyle name="Normal 8 2 2 2 4 4 3" xfId="31239"/>
    <cellStyle name="Normal 8 2 2 2 4 4 3 2" xfId="31240"/>
    <cellStyle name="Normal 8 2 2 2 4 4 4" xfId="31241"/>
    <cellStyle name="Normal 8 2 2 2 4 5" xfId="31242"/>
    <cellStyle name="Normal 8 2 2 2 4 5 2" xfId="31243"/>
    <cellStyle name="Normal 8 2 2 2 4 5 2 2" xfId="31244"/>
    <cellStyle name="Normal 8 2 2 2 4 5 3" xfId="31245"/>
    <cellStyle name="Normal 8 2 2 2 4 6" xfId="31246"/>
    <cellStyle name="Normal 8 2 2 2 4 6 2" xfId="31247"/>
    <cellStyle name="Normal 8 2 2 2 4 7" xfId="31248"/>
    <cellStyle name="Normal 8 2 2 2 5" xfId="31249"/>
    <cellStyle name="Normal 8 2 2 2 5 2" xfId="31250"/>
    <cellStyle name="Normal 8 2 2 2 5 2 2" xfId="31251"/>
    <cellStyle name="Normal 8 2 2 2 5 2 2 2" xfId="31252"/>
    <cellStyle name="Normal 8 2 2 2 5 2 2 2 2" xfId="31253"/>
    <cellStyle name="Normal 8 2 2 2 5 2 2 3" xfId="31254"/>
    <cellStyle name="Normal 8 2 2 2 5 2 3" xfId="31255"/>
    <cellStyle name="Normal 8 2 2 2 5 2 3 2" xfId="31256"/>
    <cellStyle name="Normal 8 2 2 2 5 2 4" xfId="31257"/>
    <cellStyle name="Normal 8 2 2 2 5 3" xfId="31258"/>
    <cellStyle name="Normal 8 2 2 2 5 3 2" xfId="31259"/>
    <cellStyle name="Normal 8 2 2 2 5 3 2 2" xfId="31260"/>
    <cellStyle name="Normal 8 2 2 2 5 3 2 2 2" xfId="31261"/>
    <cellStyle name="Normal 8 2 2 2 5 3 2 3" xfId="31262"/>
    <cellStyle name="Normal 8 2 2 2 5 3 3" xfId="31263"/>
    <cellStyle name="Normal 8 2 2 2 5 3 3 2" xfId="31264"/>
    <cellStyle name="Normal 8 2 2 2 5 3 4" xfId="31265"/>
    <cellStyle name="Normal 8 2 2 2 5 4" xfId="31266"/>
    <cellStyle name="Normal 8 2 2 2 5 4 2" xfId="31267"/>
    <cellStyle name="Normal 8 2 2 2 5 4 2 2" xfId="31268"/>
    <cellStyle name="Normal 8 2 2 2 5 4 3" xfId="31269"/>
    <cellStyle name="Normal 8 2 2 2 5 5" xfId="31270"/>
    <cellStyle name="Normal 8 2 2 2 5 5 2" xfId="31271"/>
    <cellStyle name="Normal 8 2 2 2 5 6" xfId="31272"/>
    <cellStyle name="Normal 8 2 2 2 6" xfId="31273"/>
    <cellStyle name="Normal 8 2 2 2 6 2" xfId="31274"/>
    <cellStyle name="Normal 8 2 2 2 6 2 2" xfId="31275"/>
    <cellStyle name="Normal 8 2 2 2 6 2 2 2" xfId="31276"/>
    <cellStyle name="Normal 8 2 2 2 6 2 3" xfId="31277"/>
    <cellStyle name="Normal 8 2 2 2 6 3" xfId="31278"/>
    <cellStyle name="Normal 8 2 2 2 6 3 2" xfId="31279"/>
    <cellStyle name="Normal 8 2 2 2 6 4" xfId="31280"/>
    <cellStyle name="Normal 8 2 2 2 7" xfId="31281"/>
    <cellStyle name="Normal 8 2 2 2 7 2" xfId="31282"/>
    <cellStyle name="Normal 8 2 2 2 7 2 2" xfId="31283"/>
    <cellStyle name="Normal 8 2 2 2 7 2 2 2" xfId="31284"/>
    <cellStyle name="Normal 8 2 2 2 7 2 3" xfId="31285"/>
    <cellStyle name="Normal 8 2 2 2 7 3" xfId="31286"/>
    <cellStyle name="Normal 8 2 2 2 7 3 2" xfId="31287"/>
    <cellStyle name="Normal 8 2 2 2 7 4" xfId="31288"/>
    <cellStyle name="Normal 8 2 2 2 8" xfId="31289"/>
    <cellStyle name="Normal 8 2 2 2 8 2" xfId="31290"/>
    <cellStyle name="Normal 8 2 2 2 8 2 2" xfId="31291"/>
    <cellStyle name="Normal 8 2 2 2 8 2 2 2" xfId="31292"/>
    <cellStyle name="Normal 8 2 2 2 8 2 3" xfId="31293"/>
    <cellStyle name="Normal 8 2 2 2 8 3" xfId="31294"/>
    <cellStyle name="Normal 8 2 2 2 8 3 2" xfId="31295"/>
    <cellStyle name="Normal 8 2 2 2 8 4" xfId="31296"/>
    <cellStyle name="Normal 8 2 2 2 9" xfId="31297"/>
    <cellStyle name="Normal 8 2 2 2 9 2" xfId="31298"/>
    <cellStyle name="Normal 8 2 2 2 9 2 2" xfId="31299"/>
    <cellStyle name="Normal 8 2 2 2 9 3" xfId="31300"/>
    <cellStyle name="Normal 8 2 2 3" xfId="31301"/>
    <cellStyle name="Normal 8 2 2 3 10" xfId="31302"/>
    <cellStyle name="Normal 8 2 2 3 2" xfId="31303"/>
    <cellStyle name="Normal 8 2 2 3 2 2" xfId="31304"/>
    <cellStyle name="Normal 8 2 2 3 2 2 2" xfId="31305"/>
    <cellStyle name="Normal 8 2 2 3 2 2 2 2" xfId="31306"/>
    <cellStyle name="Normal 8 2 2 3 2 2 2 2 2" xfId="31307"/>
    <cellStyle name="Normal 8 2 2 3 2 2 2 2 2 2" xfId="31308"/>
    <cellStyle name="Normal 8 2 2 3 2 2 2 2 2 2 2" xfId="31309"/>
    <cellStyle name="Normal 8 2 2 3 2 2 2 2 2 3" xfId="31310"/>
    <cellStyle name="Normal 8 2 2 3 2 2 2 2 3" xfId="31311"/>
    <cellStyle name="Normal 8 2 2 3 2 2 2 2 3 2" xfId="31312"/>
    <cellStyle name="Normal 8 2 2 3 2 2 2 2 4" xfId="31313"/>
    <cellStyle name="Normal 8 2 2 3 2 2 2 3" xfId="31314"/>
    <cellStyle name="Normal 8 2 2 3 2 2 2 3 2" xfId="31315"/>
    <cellStyle name="Normal 8 2 2 3 2 2 2 3 2 2" xfId="31316"/>
    <cellStyle name="Normal 8 2 2 3 2 2 2 3 2 2 2" xfId="31317"/>
    <cellStyle name="Normal 8 2 2 3 2 2 2 3 2 3" xfId="31318"/>
    <cellStyle name="Normal 8 2 2 3 2 2 2 3 3" xfId="31319"/>
    <cellStyle name="Normal 8 2 2 3 2 2 2 3 3 2" xfId="31320"/>
    <cellStyle name="Normal 8 2 2 3 2 2 2 3 4" xfId="31321"/>
    <cellStyle name="Normal 8 2 2 3 2 2 2 4" xfId="31322"/>
    <cellStyle name="Normal 8 2 2 3 2 2 2 4 2" xfId="31323"/>
    <cellStyle name="Normal 8 2 2 3 2 2 2 4 2 2" xfId="31324"/>
    <cellStyle name="Normal 8 2 2 3 2 2 2 4 3" xfId="31325"/>
    <cellStyle name="Normal 8 2 2 3 2 2 2 5" xfId="31326"/>
    <cellStyle name="Normal 8 2 2 3 2 2 2 5 2" xfId="31327"/>
    <cellStyle name="Normal 8 2 2 3 2 2 2 6" xfId="31328"/>
    <cellStyle name="Normal 8 2 2 3 2 2 3" xfId="31329"/>
    <cellStyle name="Normal 8 2 2 3 2 2 3 2" xfId="31330"/>
    <cellStyle name="Normal 8 2 2 3 2 2 3 2 2" xfId="31331"/>
    <cellStyle name="Normal 8 2 2 3 2 2 3 2 2 2" xfId="31332"/>
    <cellStyle name="Normal 8 2 2 3 2 2 3 2 3" xfId="31333"/>
    <cellStyle name="Normal 8 2 2 3 2 2 3 3" xfId="31334"/>
    <cellStyle name="Normal 8 2 2 3 2 2 3 3 2" xfId="31335"/>
    <cellStyle name="Normal 8 2 2 3 2 2 3 4" xfId="31336"/>
    <cellStyle name="Normal 8 2 2 3 2 2 4" xfId="31337"/>
    <cellStyle name="Normal 8 2 2 3 2 2 4 2" xfId="31338"/>
    <cellStyle name="Normal 8 2 2 3 2 2 4 2 2" xfId="31339"/>
    <cellStyle name="Normal 8 2 2 3 2 2 4 2 2 2" xfId="31340"/>
    <cellStyle name="Normal 8 2 2 3 2 2 4 2 3" xfId="31341"/>
    <cellStyle name="Normal 8 2 2 3 2 2 4 3" xfId="31342"/>
    <cellStyle name="Normal 8 2 2 3 2 2 4 3 2" xfId="31343"/>
    <cellStyle name="Normal 8 2 2 3 2 2 4 4" xfId="31344"/>
    <cellStyle name="Normal 8 2 2 3 2 2 5" xfId="31345"/>
    <cellStyle name="Normal 8 2 2 3 2 2 5 2" xfId="31346"/>
    <cellStyle name="Normal 8 2 2 3 2 2 5 2 2" xfId="31347"/>
    <cellStyle name="Normal 8 2 2 3 2 2 5 3" xfId="31348"/>
    <cellStyle name="Normal 8 2 2 3 2 2 6" xfId="31349"/>
    <cellStyle name="Normal 8 2 2 3 2 2 6 2" xfId="31350"/>
    <cellStyle name="Normal 8 2 2 3 2 2 7" xfId="31351"/>
    <cellStyle name="Normal 8 2 2 3 2 3" xfId="31352"/>
    <cellStyle name="Normal 8 2 2 3 2 3 2" xfId="31353"/>
    <cellStyle name="Normal 8 2 2 3 2 3 2 2" xfId="31354"/>
    <cellStyle name="Normal 8 2 2 3 2 3 2 2 2" xfId="31355"/>
    <cellStyle name="Normal 8 2 2 3 2 3 2 2 2 2" xfId="31356"/>
    <cellStyle name="Normal 8 2 2 3 2 3 2 2 3" xfId="31357"/>
    <cellStyle name="Normal 8 2 2 3 2 3 2 3" xfId="31358"/>
    <cellStyle name="Normal 8 2 2 3 2 3 2 3 2" xfId="31359"/>
    <cellStyle name="Normal 8 2 2 3 2 3 2 4" xfId="31360"/>
    <cellStyle name="Normal 8 2 2 3 2 3 3" xfId="31361"/>
    <cellStyle name="Normal 8 2 2 3 2 3 3 2" xfId="31362"/>
    <cellStyle name="Normal 8 2 2 3 2 3 3 2 2" xfId="31363"/>
    <cellStyle name="Normal 8 2 2 3 2 3 3 2 2 2" xfId="31364"/>
    <cellStyle name="Normal 8 2 2 3 2 3 3 2 3" xfId="31365"/>
    <cellStyle name="Normal 8 2 2 3 2 3 3 3" xfId="31366"/>
    <cellStyle name="Normal 8 2 2 3 2 3 3 3 2" xfId="31367"/>
    <cellStyle name="Normal 8 2 2 3 2 3 3 4" xfId="31368"/>
    <cellStyle name="Normal 8 2 2 3 2 3 4" xfId="31369"/>
    <cellStyle name="Normal 8 2 2 3 2 3 4 2" xfId="31370"/>
    <cellStyle name="Normal 8 2 2 3 2 3 4 2 2" xfId="31371"/>
    <cellStyle name="Normal 8 2 2 3 2 3 4 3" xfId="31372"/>
    <cellStyle name="Normal 8 2 2 3 2 3 5" xfId="31373"/>
    <cellStyle name="Normal 8 2 2 3 2 3 5 2" xfId="31374"/>
    <cellStyle name="Normal 8 2 2 3 2 3 6" xfId="31375"/>
    <cellStyle name="Normal 8 2 2 3 2 4" xfId="31376"/>
    <cellStyle name="Normal 8 2 2 3 2 4 2" xfId="31377"/>
    <cellStyle name="Normal 8 2 2 3 2 4 2 2" xfId="31378"/>
    <cellStyle name="Normal 8 2 2 3 2 4 2 2 2" xfId="31379"/>
    <cellStyle name="Normal 8 2 2 3 2 4 2 3" xfId="31380"/>
    <cellStyle name="Normal 8 2 2 3 2 4 3" xfId="31381"/>
    <cellStyle name="Normal 8 2 2 3 2 4 3 2" xfId="31382"/>
    <cellStyle name="Normal 8 2 2 3 2 4 4" xfId="31383"/>
    <cellStyle name="Normal 8 2 2 3 2 5" xfId="31384"/>
    <cellStyle name="Normal 8 2 2 3 2 5 2" xfId="31385"/>
    <cellStyle name="Normal 8 2 2 3 2 5 2 2" xfId="31386"/>
    <cellStyle name="Normal 8 2 2 3 2 5 2 2 2" xfId="31387"/>
    <cellStyle name="Normal 8 2 2 3 2 5 2 3" xfId="31388"/>
    <cellStyle name="Normal 8 2 2 3 2 5 3" xfId="31389"/>
    <cellStyle name="Normal 8 2 2 3 2 5 3 2" xfId="31390"/>
    <cellStyle name="Normal 8 2 2 3 2 5 4" xfId="31391"/>
    <cellStyle name="Normal 8 2 2 3 2 6" xfId="31392"/>
    <cellStyle name="Normal 8 2 2 3 2 6 2" xfId="31393"/>
    <cellStyle name="Normal 8 2 2 3 2 6 2 2" xfId="31394"/>
    <cellStyle name="Normal 8 2 2 3 2 6 2 2 2" xfId="31395"/>
    <cellStyle name="Normal 8 2 2 3 2 6 2 3" xfId="31396"/>
    <cellStyle name="Normal 8 2 2 3 2 6 3" xfId="31397"/>
    <cellStyle name="Normal 8 2 2 3 2 6 3 2" xfId="31398"/>
    <cellStyle name="Normal 8 2 2 3 2 6 4" xfId="31399"/>
    <cellStyle name="Normal 8 2 2 3 2 7" xfId="31400"/>
    <cellStyle name="Normal 8 2 2 3 2 7 2" xfId="31401"/>
    <cellStyle name="Normal 8 2 2 3 2 7 2 2" xfId="31402"/>
    <cellStyle name="Normal 8 2 2 3 2 7 3" xfId="31403"/>
    <cellStyle name="Normal 8 2 2 3 2 8" xfId="31404"/>
    <cellStyle name="Normal 8 2 2 3 2 8 2" xfId="31405"/>
    <cellStyle name="Normal 8 2 2 3 2 9" xfId="31406"/>
    <cellStyle name="Normal 8 2 2 3 3" xfId="31407"/>
    <cellStyle name="Normal 8 2 2 3 3 2" xfId="31408"/>
    <cellStyle name="Normal 8 2 2 3 3 2 2" xfId="31409"/>
    <cellStyle name="Normal 8 2 2 3 3 2 2 2" xfId="31410"/>
    <cellStyle name="Normal 8 2 2 3 3 2 2 2 2" xfId="31411"/>
    <cellStyle name="Normal 8 2 2 3 3 2 2 2 2 2" xfId="31412"/>
    <cellStyle name="Normal 8 2 2 3 3 2 2 2 3" xfId="31413"/>
    <cellStyle name="Normal 8 2 2 3 3 2 2 3" xfId="31414"/>
    <cellStyle name="Normal 8 2 2 3 3 2 2 3 2" xfId="31415"/>
    <cellStyle name="Normal 8 2 2 3 3 2 2 4" xfId="31416"/>
    <cellStyle name="Normal 8 2 2 3 3 2 3" xfId="31417"/>
    <cellStyle name="Normal 8 2 2 3 3 2 3 2" xfId="31418"/>
    <cellStyle name="Normal 8 2 2 3 3 2 3 2 2" xfId="31419"/>
    <cellStyle name="Normal 8 2 2 3 3 2 3 2 2 2" xfId="31420"/>
    <cellStyle name="Normal 8 2 2 3 3 2 3 2 3" xfId="31421"/>
    <cellStyle name="Normal 8 2 2 3 3 2 3 3" xfId="31422"/>
    <cellStyle name="Normal 8 2 2 3 3 2 3 3 2" xfId="31423"/>
    <cellStyle name="Normal 8 2 2 3 3 2 3 4" xfId="31424"/>
    <cellStyle name="Normal 8 2 2 3 3 2 4" xfId="31425"/>
    <cellStyle name="Normal 8 2 2 3 3 2 4 2" xfId="31426"/>
    <cellStyle name="Normal 8 2 2 3 3 2 4 2 2" xfId="31427"/>
    <cellStyle name="Normal 8 2 2 3 3 2 4 3" xfId="31428"/>
    <cellStyle name="Normal 8 2 2 3 3 2 5" xfId="31429"/>
    <cellStyle name="Normal 8 2 2 3 3 2 5 2" xfId="31430"/>
    <cellStyle name="Normal 8 2 2 3 3 2 6" xfId="31431"/>
    <cellStyle name="Normal 8 2 2 3 3 3" xfId="31432"/>
    <cellStyle name="Normal 8 2 2 3 3 3 2" xfId="31433"/>
    <cellStyle name="Normal 8 2 2 3 3 3 2 2" xfId="31434"/>
    <cellStyle name="Normal 8 2 2 3 3 3 2 2 2" xfId="31435"/>
    <cellStyle name="Normal 8 2 2 3 3 3 2 3" xfId="31436"/>
    <cellStyle name="Normal 8 2 2 3 3 3 3" xfId="31437"/>
    <cellStyle name="Normal 8 2 2 3 3 3 3 2" xfId="31438"/>
    <cellStyle name="Normal 8 2 2 3 3 3 4" xfId="31439"/>
    <cellStyle name="Normal 8 2 2 3 3 4" xfId="31440"/>
    <cellStyle name="Normal 8 2 2 3 3 4 2" xfId="31441"/>
    <cellStyle name="Normal 8 2 2 3 3 4 2 2" xfId="31442"/>
    <cellStyle name="Normal 8 2 2 3 3 4 2 2 2" xfId="31443"/>
    <cellStyle name="Normal 8 2 2 3 3 4 2 3" xfId="31444"/>
    <cellStyle name="Normal 8 2 2 3 3 4 3" xfId="31445"/>
    <cellStyle name="Normal 8 2 2 3 3 4 3 2" xfId="31446"/>
    <cellStyle name="Normal 8 2 2 3 3 4 4" xfId="31447"/>
    <cellStyle name="Normal 8 2 2 3 3 5" xfId="31448"/>
    <cellStyle name="Normal 8 2 2 3 3 5 2" xfId="31449"/>
    <cellStyle name="Normal 8 2 2 3 3 5 2 2" xfId="31450"/>
    <cellStyle name="Normal 8 2 2 3 3 5 3" xfId="31451"/>
    <cellStyle name="Normal 8 2 2 3 3 6" xfId="31452"/>
    <cellStyle name="Normal 8 2 2 3 3 6 2" xfId="31453"/>
    <cellStyle name="Normal 8 2 2 3 3 7" xfId="31454"/>
    <cellStyle name="Normal 8 2 2 3 4" xfId="31455"/>
    <cellStyle name="Normal 8 2 2 3 4 2" xfId="31456"/>
    <cellStyle name="Normal 8 2 2 3 4 2 2" xfId="31457"/>
    <cellStyle name="Normal 8 2 2 3 4 2 2 2" xfId="31458"/>
    <cellStyle name="Normal 8 2 2 3 4 2 2 2 2" xfId="31459"/>
    <cellStyle name="Normal 8 2 2 3 4 2 2 3" xfId="31460"/>
    <cellStyle name="Normal 8 2 2 3 4 2 3" xfId="31461"/>
    <cellStyle name="Normal 8 2 2 3 4 2 3 2" xfId="31462"/>
    <cellStyle name="Normal 8 2 2 3 4 2 4" xfId="31463"/>
    <cellStyle name="Normal 8 2 2 3 4 3" xfId="31464"/>
    <cellStyle name="Normal 8 2 2 3 4 3 2" xfId="31465"/>
    <cellStyle name="Normal 8 2 2 3 4 3 2 2" xfId="31466"/>
    <cellStyle name="Normal 8 2 2 3 4 3 2 2 2" xfId="31467"/>
    <cellStyle name="Normal 8 2 2 3 4 3 2 3" xfId="31468"/>
    <cellStyle name="Normal 8 2 2 3 4 3 3" xfId="31469"/>
    <cellStyle name="Normal 8 2 2 3 4 3 3 2" xfId="31470"/>
    <cellStyle name="Normal 8 2 2 3 4 3 4" xfId="31471"/>
    <cellStyle name="Normal 8 2 2 3 4 4" xfId="31472"/>
    <cellStyle name="Normal 8 2 2 3 4 4 2" xfId="31473"/>
    <cellStyle name="Normal 8 2 2 3 4 4 2 2" xfId="31474"/>
    <cellStyle name="Normal 8 2 2 3 4 4 3" xfId="31475"/>
    <cellStyle name="Normal 8 2 2 3 4 5" xfId="31476"/>
    <cellStyle name="Normal 8 2 2 3 4 5 2" xfId="31477"/>
    <cellStyle name="Normal 8 2 2 3 4 6" xfId="31478"/>
    <cellStyle name="Normal 8 2 2 3 5" xfId="31479"/>
    <cellStyle name="Normal 8 2 2 3 5 2" xfId="31480"/>
    <cellStyle name="Normal 8 2 2 3 5 2 2" xfId="31481"/>
    <cellStyle name="Normal 8 2 2 3 5 2 2 2" xfId="31482"/>
    <cellStyle name="Normal 8 2 2 3 5 2 3" xfId="31483"/>
    <cellStyle name="Normal 8 2 2 3 5 3" xfId="31484"/>
    <cellStyle name="Normal 8 2 2 3 5 3 2" xfId="31485"/>
    <cellStyle name="Normal 8 2 2 3 5 4" xfId="31486"/>
    <cellStyle name="Normal 8 2 2 3 6" xfId="31487"/>
    <cellStyle name="Normal 8 2 2 3 6 2" xfId="31488"/>
    <cellStyle name="Normal 8 2 2 3 6 2 2" xfId="31489"/>
    <cellStyle name="Normal 8 2 2 3 6 2 2 2" xfId="31490"/>
    <cellStyle name="Normal 8 2 2 3 6 2 3" xfId="31491"/>
    <cellStyle name="Normal 8 2 2 3 6 3" xfId="31492"/>
    <cellStyle name="Normal 8 2 2 3 6 3 2" xfId="31493"/>
    <cellStyle name="Normal 8 2 2 3 6 4" xfId="31494"/>
    <cellStyle name="Normal 8 2 2 3 7" xfId="31495"/>
    <cellStyle name="Normal 8 2 2 3 7 2" xfId="31496"/>
    <cellStyle name="Normal 8 2 2 3 7 2 2" xfId="31497"/>
    <cellStyle name="Normal 8 2 2 3 7 2 2 2" xfId="31498"/>
    <cellStyle name="Normal 8 2 2 3 7 2 3" xfId="31499"/>
    <cellStyle name="Normal 8 2 2 3 7 3" xfId="31500"/>
    <cellStyle name="Normal 8 2 2 3 7 3 2" xfId="31501"/>
    <cellStyle name="Normal 8 2 2 3 7 4" xfId="31502"/>
    <cellStyle name="Normal 8 2 2 3 8" xfId="31503"/>
    <cellStyle name="Normal 8 2 2 3 8 2" xfId="31504"/>
    <cellStyle name="Normal 8 2 2 3 8 2 2" xfId="31505"/>
    <cellStyle name="Normal 8 2 2 3 8 3" xfId="31506"/>
    <cellStyle name="Normal 8 2 2 3 9" xfId="31507"/>
    <cellStyle name="Normal 8 2 2 3 9 2" xfId="31508"/>
    <cellStyle name="Normal 8 2 2 4" xfId="31509"/>
    <cellStyle name="Normal 8 2 2 4 10" xfId="31510"/>
    <cellStyle name="Normal 8 2 2 4 2" xfId="31511"/>
    <cellStyle name="Normal 8 2 2 4 2 2" xfId="31512"/>
    <cellStyle name="Normal 8 2 2 4 2 2 2" xfId="31513"/>
    <cellStyle name="Normal 8 2 2 4 2 2 2 2" xfId="31514"/>
    <cellStyle name="Normal 8 2 2 4 2 2 2 2 2" xfId="31515"/>
    <cellStyle name="Normal 8 2 2 4 2 2 2 2 2 2" xfId="31516"/>
    <cellStyle name="Normal 8 2 2 4 2 2 2 2 2 2 2" xfId="31517"/>
    <cellStyle name="Normal 8 2 2 4 2 2 2 2 2 3" xfId="31518"/>
    <cellStyle name="Normal 8 2 2 4 2 2 2 2 3" xfId="31519"/>
    <cellStyle name="Normal 8 2 2 4 2 2 2 2 3 2" xfId="31520"/>
    <cellStyle name="Normal 8 2 2 4 2 2 2 2 4" xfId="31521"/>
    <cellStyle name="Normal 8 2 2 4 2 2 2 3" xfId="31522"/>
    <cellStyle name="Normal 8 2 2 4 2 2 2 3 2" xfId="31523"/>
    <cellStyle name="Normal 8 2 2 4 2 2 2 3 2 2" xfId="31524"/>
    <cellStyle name="Normal 8 2 2 4 2 2 2 3 2 2 2" xfId="31525"/>
    <cellStyle name="Normal 8 2 2 4 2 2 2 3 2 3" xfId="31526"/>
    <cellStyle name="Normal 8 2 2 4 2 2 2 3 3" xfId="31527"/>
    <cellStyle name="Normal 8 2 2 4 2 2 2 3 3 2" xfId="31528"/>
    <cellStyle name="Normal 8 2 2 4 2 2 2 3 4" xfId="31529"/>
    <cellStyle name="Normal 8 2 2 4 2 2 2 4" xfId="31530"/>
    <cellStyle name="Normal 8 2 2 4 2 2 2 4 2" xfId="31531"/>
    <cellStyle name="Normal 8 2 2 4 2 2 2 4 2 2" xfId="31532"/>
    <cellStyle name="Normal 8 2 2 4 2 2 2 4 3" xfId="31533"/>
    <cellStyle name="Normal 8 2 2 4 2 2 2 5" xfId="31534"/>
    <cellStyle name="Normal 8 2 2 4 2 2 2 5 2" xfId="31535"/>
    <cellStyle name="Normal 8 2 2 4 2 2 2 6" xfId="31536"/>
    <cellStyle name="Normal 8 2 2 4 2 2 3" xfId="31537"/>
    <cellStyle name="Normal 8 2 2 4 2 2 3 2" xfId="31538"/>
    <cellStyle name="Normal 8 2 2 4 2 2 3 2 2" xfId="31539"/>
    <cellStyle name="Normal 8 2 2 4 2 2 3 2 2 2" xfId="31540"/>
    <cellStyle name="Normal 8 2 2 4 2 2 3 2 3" xfId="31541"/>
    <cellStyle name="Normal 8 2 2 4 2 2 3 3" xfId="31542"/>
    <cellStyle name="Normal 8 2 2 4 2 2 3 3 2" xfId="31543"/>
    <cellStyle name="Normal 8 2 2 4 2 2 3 4" xfId="31544"/>
    <cellStyle name="Normal 8 2 2 4 2 2 4" xfId="31545"/>
    <cellStyle name="Normal 8 2 2 4 2 2 4 2" xfId="31546"/>
    <cellStyle name="Normal 8 2 2 4 2 2 4 2 2" xfId="31547"/>
    <cellStyle name="Normal 8 2 2 4 2 2 4 2 2 2" xfId="31548"/>
    <cellStyle name="Normal 8 2 2 4 2 2 4 2 3" xfId="31549"/>
    <cellStyle name="Normal 8 2 2 4 2 2 4 3" xfId="31550"/>
    <cellStyle name="Normal 8 2 2 4 2 2 4 3 2" xfId="31551"/>
    <cellStyle name="Normal 8 2 2 4 2 2 4 4" xfId="31552"/>
    <cellStyle name="Normal 8 2 2 4 2 2 5" xfId="31553"/>
    <cellStyle name="Normal 8 2 2 4 2 2 5 2" xfId="31554"/>
    <cellStyle name="Normal 8 2 2 4 2 2 5 2 2" xfId="31555"/>
    <cellStyle name="Normal 8 2 2 4 2 2 5 3" xfId="31556"/>
    <cellStyle name="Normal 8 2 2 4 2 2 6" xfId="31557"/>
    <cellStyle name="Normal 8 2 2 4 2 2 6 2" xfId="31558"/>
    <cellStyle name="Normal 8 2 2 4 2 2 7" xfId="31559"/>
    <cellStyle name="Normal 8 2 2 4 2 3" xfId="31560"/>
    <cellStyle name="Normal 8 2 2 4 2 3 2" xfId="31561"/>
    <cellStyle name="Normal 8 2 2 4 2 3 2 2" xfId="31562"/>
    <cellStyle name="Normal 8 2 2 4 2 3 2 2 2" xfId="31563"/>
    <cellStyle name="Normal 8 2 2 4 2 3 2 2 2 2" xfId="31564"/>
    <cellStyle name="Normal 8 2 2 4 2 3 2 2 3" xfId="31565"/>
    <cellStyle name="Normal 8 2 2 4 2 3 2 3" xfId="31566"/>
    <cellStyle name="Normal 8 2 2 4 2 3 2 3 2" xfId="31567"/>
    <cellStyle name="Normal 8 2 2 4 2 3 2 4" xfId="31568"/>
    <cellStyle name="Normal 8 2 2 4 2 3 3" xfId="31569"/>
    <cellStyle name="Normal 8 2 2 4 2 3 3 2" xfId="31570"/>
    <cellStyle name="Normal 8 2 2 4 2 3 3 2 2" xfId="31571"/>
    <cellStyle name="Normal 8 2 2 4 2 3 3 2 2 2" xfId="31572"/>
    <cellStyle name="Normal 8 2 2 4 2 3 3 2 3" xfId="31573"/>
    <cellStyle name="Normal 8 2 2 4 2 3 3 3" xfId="31574"/>
    <cellStyle name="Normal 8 2 2 4 2 3 3 3 2" xfId="31575"/>
    <cellStyle name="Normal 8 2 2 4 2 3 3 4" xfId="31576"/>
    <cellStyle name="Normal 8 2 2 4 2 3 4" xfId="31577"/>
    <cellStyle name="Normal 8 2 2 4 2 3 4 2" xfId="31578"/>
    <cellStyle name="Normal 8 2 2 4 2 3 4 2 2" xfId="31579"/>
    <cellStyle name="Normal 8 2 2 4 2 3 4 3" xfId="31580"/>
    <cellStyle name="Normal 8 2 2 4 2 3 5" xfId="31581"/>
    <cellStyle name="Normal 8 2 2 4 2 3 5 2" xfId="31582"/>
    <cellStyle name="Normal 8 2 2 4 2 3 6" xfId="31583"/>
    <cellStyle name="Normal 8 2 2 4 2 4" xfId="31584"/>
    <cellStyle name="Normal 8 2 2 4 2 4 2" xfId="31585"/>
    <cellStyle name="Normal 8 2 2 4 2 4 2 2" xfId="31586"/>
    <cellStyle name="Normal 8 2 2 4 2 4 2 2 2" xfId="31587"/>
    <cellStyle name="Normal 8 2 2 4 2 4 2 3" xfId="31588"/>
    <cellStyle name="Normal 8 2 2 4 2 4 3" xfId="31589"/>
    <cellStyle name="Normal 8 2 2 4 2 4 3 2" xfId="31590"/>
    <cellStyle name="Normal 8 2 2 4 2 4 4" xfId="31591"/>
    <cellStyle name="Normal 8 2 2 4 2 5" xfId="31592"/>
    <cellStyle name="Normal 8 2 2 4 2 5 2" xfId="31593"/>
    <cellStyle name="Normal 8 2 2 4 2 5 2 2" xfId="31594"/>
    <cellStyle name="Normal 8 2 2 4 2 5 2 2 2" xfId="31595"/>
    <cellStyle name="Normal 8 2 2 4 2 5 2 3" xfId="31596"/>
    <cellStyle name="Normal 8 2 2 4 2 5 3" xfId="31597"/>
    <cellStyle name="Normal 8 2 2 4 2 5 3 2" xfId="31598"/>
    <cellStyle name="Normal 8 2 2 4 2 5 4" xfId="31599"/>
    <cellStyle name="Normal 8 2 2 4 2 6" xfId="31600"/>
    <cellStyle name="Normal 8 2 2 4 2 6 2" xfId="31601"/>
    <cellStyle name="Normal 8 2 2 4 2 6 2 2" xfId="31602"/>
    <cellStyle name="Normal 8 2 2 4 2 6 2 2 2" xfId="31603"/>
    <cellStyle name="Normal 8 2 2 4 2 6 2 3" xfId="31604"/>
    <cellStyle name="Normal 8 2 2 4 2 6 3" xfId="31605"/>
    <cellStyle name="Normal 8 2 2 4 2 6 3 2" xfId="31606"/>
    <cellStyle name="Normal 8 2 2 4 2 6 4" xfId="31607"/>
    <cellStyle name="Normal 8 2 2 4 2 7" xfId="31608"/>
    <cellStyle name="Normal 8 2 2 4 2 7 2" xfId="31609"/>
    <cellStyle name="Normal 8 2 2 4 2 7 2 2" xfId="31610"/>
    <cellStyle name="Normal 8 2 2 4 2 7 3" xfId="31611"/>
    <cellStyle name="Normal 8 2 2 4 2 8" xfId="31612"/>
    <cellStyle name="Normal 8 2 2 4 2 8 2" xfId="31613"/>
    <cellStyle name="Normal 8 2 2 4 2 9" xfId="31614"/>
    <cellStyle name="Normal 8 2 2 4 3" xfId="31615"/>
    <cellStyle name="Normal 8 2 2 4 3 2" xfId="31616"/>
    <cellStyle name="Normal 8 2 2 4 3 2 2" xfId="31617"/>
    <cellStyle name="Normal 8 2 2 4 3 2 2 2" xfId="31618"/>
    <cellStyle name="Normal 8 2 2 4 3 2 2 2 2" xfId="31619"/>
    <cellStyle name="Normal 8 2 2 4 3 2 2 2 2 2" xfId="31620"/>
    <cellStyle name="Normal 8 2 2 4 3 2 2 2 3" xfId="31621"/>
    <cellStyle name="Normal 8 2 2 4 3 2 2 3" xfId="31622"/>
    <cellStyle name="Normal 8 2 2 4 3 2 2 3 2" xfId="31623"/>
    <cellStyle name="Normal 8 2 2 4 3 2 2 4" xfId="31624"/>
    <cellStyle name="Normal 8 2 2 4 3 2 3" xfId="31625"/>
    <cellStyle name="Normal 8 2 2 4 3 2 3 2" xfId="31626"/>
    <cellStyle name="Normal 8 2 2 4 3 2 3 2 2" xfId="31627"/>
    <cellStyle name="Normal 8 2 2 4 3 2 3 2 2 2" xfId="31628"/>
    <cellStyle name="Normal 8 2 2 4 3 2 3 2 3" xfId="31629"/>
    <cellStyle name="Normal 8 2 2 4 3 2 3 3" xfId="31630"/>
    <cellStyle name="Normal 8 2 2 4 3 2 3 3 2" xfId="31631"/>
    <cellStyle name="Normal 8 2 2 4 3 2 3 4" xfId="31632"/>
    <cellStyle name="Normal 8 2 2 4 3 2 4" xfId="31633"/>
    <cellStyle name="Normal 8 2 2 4 3 2 4 2" xfId="31634"/>
    <cellStyle name="Normal 8 2 2 4 3 2 4 2 2" xfId="31635"/>
    <cellStyle name="Normal 8 2 2 4 3 2 4 3" xfId="31636"/>
    <cellStyle name="Normal 8 2 2 4 3 2 5" xfId="31637"/>
    <cellStyle name="Normal 8 2 2 4 3 2 5 2" xfId="31638"/>
    <cellStyle name="Normal 8 2 2 4 3 2 6" xfId="31639"/>
    <cellStyle name="Normal 8 2 2 4 3 3" xfId="31640"/>
    <cellStyle name="Normal 8 2 2 4 3 3 2" xfId="31641"/>
    <cellStyle name="Normal 8 2 2 4 3 3 2 2" xfId="31642"/>
    <cellStyle name="Normal 8 2 2 4 3 3 2 2 2" xfId="31643"/>
    <cellStyle name="Normal 8 2 2 4 3 3 2 3" xfId="31644"/>
    <cellStyle name="Normal 8 2 2 4 3 3 3" xfId="31645"/>
    <cellStyle name="Normal 8 2 2 4 3 3 3 2" xfId="31646"/>
    <cellStyle name="Normal 8 2 2 4 3 3 4" xfId="31647"/>
    <cellStyle name="Normal 8 2 2 4 3 4" xfId="31648"/>
    <cellStyle name="Normal 8 2 2 4 3 4 2" xfId="31649"/>
    <cellStyle name="Normal 8 2 2 4 3 4 2 2" xfId="31650"/>
    <cellStyle name="Normal 8 2 2 4 3 4 2 2 2" xfId="31651"/>
    <cellStyle name="Normal 8 2 2 4 3 4 2 3" xfId="31652"/>
    <cellStyle name="Normal 8 2 2 4 3 4 3" xfId="31653"/>
    <cellStyle name="Normal 8 2 2 4 3 4 3 2" xfId="31654"/>
    <cellStyle name="Normal 8 2 2 4 3 4 4" xfId="31655"/>
    <cellStyle name="Normal 8 2 2 4 3 5" xfId="31656"/>
    <cellStyle name="Normal 8 2 2 4 3 5 2" xfId="31657"/>
    <cellStyle name="Normal 8 2 2 4 3 5 2 2" xfId="31658"/>
    <cellStyle name="Normal 8 2 2 4 3 5 3" xfId="31659"/>
    <cellStyle name="Normal 8 2 2 4 3 6" xfId="31660"/>
    <cellStyle name="Normal 8 2 2 4 3 6 2" xfId="31661"/>
    <cellStyle name="Normal 8 2 2 4 3 7" xfId="31662"/>
    <cellStyle name="Normal 8 2 2 4 4" xfId="31663"/>
    <cellStyle name="Normal 8 2 2 4 4 2" xfId="31664"/>
    <cellStyle name="Normal 8 2 2 4 4 2 2" xfId="31665"/>
    <cellStyle name="Normal 8 2 2 4 4 2 2 2" xfId="31666"/>
    <cellStyle name="Normal 8 2 2 4 4 2 2 2 2" xfId="31667"/>
    <cellStyle name="Normal 8 2 2 4 4 2 2 3" xfId="31668"/>
    <cellStyle name="Normal 8 2 2 4 4 2 3" xfId="31669"/>
    <cellStyle name="Normal 8 2 2 4 4 2 3 2" xfId="31670"/>
    <cellStyle name="Normal 8 2 2 4 4 2 4" xfId="31671"/>
    <cellStyle name="Normal 8 2 2 4 4 3" xfId="31672"/>
    <cellStyle name="Normal 8 2 2 4 4 3 2" xfId="31673"/>
    <cellStyle name="Normal 8 2 2 4 4 3 2 2" xfId="31674"/>
    <cellStyle name="Normal 8 2 2 4 4 3 2 2 2" xfId="31675"/>
    <cellStyle name="Normal 8 2 2 4 4 3 2 3" xfId="31676"/>
    <cellStyle name="Normal 8 2 2 4 4 3 3" xfId="31677"/>
    <cellStyle name="Normal 8 2 2 4 4 3 3 2" xfId="31678"/>
    <cellStyle name="Normal 8 2 2 4 4 3 4" xfId="31679"/>
    <cellStyle name="Normal 8 2 2 4 4 4" xfId="31680"/>
    <cellStyle name="Normal 8 2 2 4 4 4 2" xfId="31681"/>
    <cellStyle name="Normal 8 2 2 4 4 4 2 2" xfId="31682"/>
    <cellStyle name="Normal 8 2 2 4 4 4 3" xfId="31683"/>
    <cellStyle name="Normal 8 2 2 4 4 5" xfId="31684"/>
    <cellStyle name="Normal 8 2 2 4 4 5 2" xfId="31685"/>
    <cellStyle name="Normal 8 2 2 4 4 6" xfId="31686"/>
    <cellStyle name="Normal 8 2 2 4 5" xfId="31687"/>
    <cellStyle name="Normal 8 2 2 4 5 2" xfId="31688"/>
    <cellStyle name="Normal 8 2 2 4 5 2 2" xfId="31689"/>
    <cellStyle name="Normal 8 2 2 4 5 2 2 2" xfId="31690"/>
    <cellStyle name="Normal 8 2 2 4 5 2 3" xfId="31691"/>
    <cellStyle name="Normal 8 2 2 4 5 3" xfId="31692"/>
    <cellStyle name="Normal 8 2 2 4 5 3 2" xfId="31693"/>
    <cellStyle name="Normal 8 2 2 4 5 4" xfId="31694"/>
    <cellStyle name="Normal 8 2 2 4 6" xfId="31695"/>
    <cellStyle name="Normal 8 2 2 4 6 2" xfId="31696"/>
    <cellStyle name="Normal 8 2 2 4 6 2 2" xfId="31697"/>
    <cellStyle name="Normal 8 2 2 4 6 2 2 2" xfId="31698"/>
    <cellStyle name="Normal 8 2 2 4 6 2 3" xfId="31699"/>
    <cellStyle name="Normal 8 2 2 4 6 3" xfId="31700"/>
    <cellStyle name="Normal 8 2 2 4 6 3 2" xfId="31701"/>
    <cellStyle name="Normal 8 2 2 4 6 4" xfId="31702"/>
    <cellStyle name="Normal 8 2 2 4 7" xfId="31703"/>
    <cellStyle name="Normal 8 2 2 4 7 2" xfId="31704"/>
    <cellStyle name="Normal 8 2 2 4 7 2 2" xfId="31705"/>
    <cellStyle name="Normal 8 2 2 4 7 2 2 2" xfId="31706"/>
    <cellStyle name="Normal 8 2 2 4 7 2 3" xfId="31707"/>
    <cellStyle name="Normal 8 2 2 4 7 3" xfId="31708"/>
    <cellStyle name="Normal 8 2 2 4 7 3 2" xfId="31709"/>
    <cellStyle name="Normal 8 2 2 4 7 4" xfId="31710"/>
    <cellStyle name="Normal 8 2 2 4 8" xfId="31711"/>
    <cellStyle name="Normal 8 2 2 4 8 2" xfId="31712"/>
    <cellStyle name="Normal 8 2 2 4 8 2 2" xfId="31713"/>
    <cellStyle name="Normal 8 2 2 4 8 3" xfId="31714"/>
    <cellStyle name="Normal 8 2 2 4 9" xfId="31715"/>
    <cellStyle name="Normal 8 2 2 4 9 2" xfId="31716"/>
    <cellStyle name="Normal 8 2 2 5" xfId="31717"/>
    <cellStyle name="Normal 8 2 2 5 2" xfId="31718"/>
    <cellStyle name="Normal 8 2 2 5 2 2" xfId="31719"/>
    <cellStyle name="Normal 8 2 2 5 2 2 2" xfId="31720"/>
    <cellStyle name="Normal 8 2 2 5 2 2 2 2" xfId="31721"/>
    <cellStyle name="Normal 8 2 2 5 2 2 2 2 2" xfId="31722"/>
    <cellStyle name="Normal 8 2 2 5 2 2 2 2 2 2" xfId="31723"/>
    <cellStyle name="Normal 8 2 2 5 2 2 2 2 3" xfId="31724"/>
    <cellStyle name="Normal 8 2 2 5 2 2 2 3" xfId="31725"/>
    <cellStyle name="Normal 8 2 2 5 2 2 2 3 2" xfId="31726"/>
    <cellStyle name="Normal 8 2 2 5 2 2 2 4" xfId="31727"/>
    <cellStyle name="Normal 8 2 2 5 2 2 3" xfId="31728"/>
    <cellStyle name="Normal 8 2 2 5 2 2 3 2" xfId="31729"/>
    <cellStyle name="Normal 8 2 2 5 2 2 3 2 2" xfId="31730"/>
    <cellStyle name="Normal 8 2 2 5 2 2 3 2 2 2" xfId="31731"/>
    <cellStyle name="Normal 8 2 2 5 2 2 3 2 3" xfId="31732"/>
    <cellStyle name="Normal 8 2 2 5 2 2 3 3" xfId="31733"/>
    <cellStyle name="Normal 8 2 2 5 2 2 3 3 2" xfId="31734"/>
    <cellStyle name="Normal 8 2 2 5 2 2 3 4" xfId="31735"/>
    <cellStyle name="Normal 8 2 2 5 2 2 4" xfId="31736"/>
    <cellStyle name="Normal 8 2 2 5 2 2 4 2" xfId="31737"/>
    <cellStyle name="Normal 8 2 2 5 2 2 4 2 2" xfId="31738"/>
    <cellStyle name="Normal 8 2 2 5 2 2 4 3" xfId="31739"/>
    <cellStyle name="Normal 8 2 2 5 2 2 5" xfId="31740"/>
    <cellStyle name="Normal 8 2 2 5 2 2 5 2" xfId="31741"/>
    <cellStyle name="Normal 8 2 2 5 2 2 6" xfId="31742"/>
    <cellStyle name="Normal 8 2 2 5 2 3" xfId="31743"/>
    <cellStyle name="Normal 8 2 2 5 2 3 2" xfId="31744"/>
    <cellStyle name="Normal 8 2 2 5 2 3 2 2" xfId="31745"/>
    <cellStyle name="Normal 8 2 2 5 2 3 2 2 2" xfId="31746"/>
    <cellStyle name="Normal 8 2 2 5 2 3 2 3" xfId="31747"/>
    <cellStyle name="Normal 8 2 2 5 2 3 3" xfId="31748"/>
    <cellStyle name="Normal 8 2 2 5 2 3 3 2" xfId="31749"/>
    <cellStyle name="Normal 8 2 2 5 2 3 4" xfId="31750"/>
    <cellStyle name="Normal 8 2 2 5 2 4" xfId="31751"/>
    <cellStyle name="Normal 8 2 2 5 2 4 2" xfId="31752"/>
    <cellStyle name="Normal 8 2 2 5 2 4 2 2" xfId="31753"/>
    <cellStyle name="Normal 8 2 2 5 2 4 2 2 2" xfId="31754"/>
    <cellStyle name="Normal 8 2 2 5 2 4 2 3" xfId="31755"/>
    <cellStyle name="Normal 8 2 2 5 2 4 3" xfId="31756"/>
    <cellStyle name="Normal 8 2 2 5 2 4 3 2" xfId="31757"/>
    <cellStyle name="Normal 8 2 2 5 2 4 4" xfId="31758"/>
    <cellStyle name="Normal 8 2 2 5 2 5" xfId="31759"/>
    <cellStyle name="Normal 8 2 2 5 2 5 2" xfId="31760"/>
    <cellStyle name="Normal 8 2 2 5 2 5 2 2" xfId="31761"/>
    <cellStyle name="Normal 8 2 2 5 2 5 3" xfId="31762"/>
    <cellStyle name="Normal 8 2 2 5 2 6" xfId="31763"/>
    <cellStyle name="Normal 8 2 2 5 2 6 2" xfId="31764"/>
    <cellStyle name="Normal 8 2 2 5 2 7" xfId="31765"/>
    <cellStyle name="Normal 8 2 2 5 3" xfId="31766"/>
    <cellStyle name="Normal 8 2 2 5 3 2" xfId="31767"/>
    <cellStyle name="Normal 8 2 2 5 3 2 2" xfId="31768"/>
    <cellStyle name="Normal 8 2 2 5 3 2 2 2" xfId="31769"/>
    <cellStyle name="Normal 8 2 2 5 3 2 2 2 2" xfId="31770"/>
    <cellStyle name="Normal 8 2 2 5 3 2 2 3" xfId="31771"/>
    <cellStyle name="Normal 8 2 2 5 3 2 3" xfId="31772"/>
    <cellStyle name="Normal 8 2 2 5 3 2 3 2" xfId="31773"/>
    <cellStyle name="Normal 8 2 2 5 3 2 4" xfId="31774"/>
    <cellStyle name="Normal 8 2 2 5 3 3" xfId="31775"/>
    <cellStyle name="Normal 8 2 2 5 3 3 2" xfId="31776"/>
    <cellStyle name="Normal 8 2 2 5 3 3 2 2" xfId="31777"/>
    <cellStyle name="Normal 8 2 2 5 3 3 2 2 2" xfId="31778"/>
    <cellStyle name="Normal 8 2 2 5 3 3 2 3" xfId="31779"/>
    <cellStyle name="Normal 8 2 2 5 3 3 3" xfId="31780"/>
    <cellStyle name="Normal 8 2 2 5 3 3 3 2" xfId="31781"/>
    <cellStyle name="Normal 8 2 2 5 3 3 4" xfId="31782"/>
    <cellStyle name="Normal 8 2 2 5 3 4" xfId="31783"/>
    <cellStyle name="Normal 8 2 2 5 3 4 2" xfId="31784"/>
    <cellStyle name="Normal 8 2 2 5 3 4 2 2" xfId="31785"/>
    <cellStyle name="Normal 8 2 2 5 3 4 3" xfId="31786"/>
    <cellStyle name="Normal 8 2 2 5 3 5" xfId="31787"/>
    <cellStyle name="Normal 8 2 2 5 3 5 2" xfId="31788"/>
    <cellStyle name="Normal 8 2 2 5 3 6" xfId="31789"/>
    <cellStyle name="Normal 8 2 2 5 4" xfId="31790"/>
    <cellStyle name="Normal 8 2 2 5 4 2" xfId="31791"/>
    <cellStyle name="Normal 8 2 2 5 4 2 2" xfId="31792"/>
    <cellStyle name="Normal 8 2 2 5 4 2 2 2" xfId="31793"/>
    <cellStyle name="Normal 8 2 2 5 4 2 3" xfId="31794"/>
    <cellStyle name="Normal 8 2 2 5 4 3" xfId="31795"/>
    <cellStyle name="Normal 8 2 2 5 4 3 2" xfId="31796"/>
    <cellStyle name="Normal 8 2 2 5 4 4" xfId="31797"/>
    <cellStyle name="Normal 8 2 2 5 5" xfId="31798"/>
    <cellStyle name="Normal 8 2 2 5 5 2" xfId="31799"/>
    <cellStyle name="Normal 8 2 2 5 5 2 2" xfId="31800"/>
    <cellStyle name="Normal 8 2 2 5 5 2 2 2" xfId="31801"/>
    <cellStyle name="Normal 8 2 2 5 5 2 3" xfId="31802"/>
    <cellStyle name="Normal 8 2 2 5 5 3" xfId="31803"/>
    <cellStyle name="Normal 8 2 2 5 5 3 2" xfId="31804"/>
    <cellStyle name="Normal 8 2 2 5 5 4" xfId="31805"/>
    <cellStyle name="Normal 8 2 2 5 6" xfId="31806"/>
    <cellStyle name="Normal 8 2 2 5 6 2" xfId="31807"/>
    <cellStyle name="Normal 8 2 2 5 6 2 2" xfId="31808"/>
    <cellStyle name="Normal 8 2 2 5 6 2 2 2" xfId="31809"/>
    <cellStyle name="Normal 8 2 2 5 6 2 3" xfId="31810"/>
    <cellStyle name="Normal 8 2 2 5 6 3" xfId="31811"/>
    <cellStyle name="Normal 8 2 2 5 6 3 2" xfId="31812"/>
    <cellStyle name="Normal 8 2 2 5 6 4" xfId="31813"/>
    <cellStyle name="Normal 8 2 2 5 7" xfId="31814"/>
    <cellStyle name="Normal 8 2 2 5 7 2" xfId="31815"/>
    <cellStyle name="Normal 8 2 2 5 7 2 2" xfId="31816"/>
    <cellStyle name="Normal 8 2 2 5 7 3" xfId="31817"/>
    <cellStyle name="Normal 8 2 2 5 8" xfId="31818"/>
    <cellStyle name="Normal 8 2 2 5 8 2" xfId="31819"/>
    <cellStyle name="Normal 8 2 2 5 9" xfId="31820"/>
    <cellStyle name="Normal 8 2 2 6" xfId="31821"/>
    <cellStyle name="Normal 8 2 2 6 2" xfId="31822"/>
    <cellStyle name="Normal 8 2 2 6 2 2" xfId="31823"/>
    <cellStyle name="Normal 8 2 2 6 2 2 2" xfId="31824"/>
    <cellStyle name="Normal 8 2 2 6 2 2 2 2" xfId="31825"/>
    <cellStyle name="Normal 8 2 2 6 2 2 2 2 2" xfId="31826"/>
    <cellStyle name="Normal 8 2 2 6 2 2 2 3" xfId="31827"/>
    <cellStyle name="Normal 8 2 2 6 2 2 3" xfId="31828"/>
    <cellStyle name="Normal 8 2 2 6 2 2 3 2" xfId="31829"/>
    <cellStyle name="Normal 8 2 2 6 2 2 4" xfId="31830"/>
    <cellStyle name="Normal 8 2 2 6 2 3" xfId="31831"/>
    <cellStyle name="Normal 8 2 2 6 2 3 2" xfId="31832"/>
    <cellStyle name="Normal 8 2 2 6 2 3 2 2" xfId="31833"/>
    <cellStyle name="Normal 8 2 2 6 2 3 2 2 2" xfId="31834"/>
    <cellStyle name="Normal 8 2 2 6 2 3 2 3" xfId="31835"/>
    <cellStyle name="Normal 8 2 2 6 2 3 3" xfId="31836"/>
    <cellStyle name="Normal 8 2 2 6 2 3 3 2" xfId="31837"/>
    <cellStyle name="Normal 8 2 2 6 2 3 4" xfId="31838"/>
    <cellStyle name="Normal 8 2 2 6 2 4" xfId="31839"/>
    <cellStyle name="Normal 8 2 2 6 2 4 2" xfId="31840"/>
    <cellStyle name="Normal 8 2 2 6 2 4 2 2" xfId="31841"/>
    <cellStyle name="Normal 8 2 2 6 2 4 3" xfId="31842"/>
    <cellStyle name="Normal 8 2 2 6 2 5" xfId="31843"/>
    <cellStyle name="Normal 8 2 2 6 2 5 2" xfId="31844"/>
    <cellStyle name="Normal 8 2 2 6 2 6" xfId="31845"/>
    <cellStyle name="Normal 8 2 2 6 3" xfId="31846"/>
    <cellStyle name="Normal 8 2 2 6 3 2" xfId="31847"/>
    <cellStyle name="Normal 8 2 2 6 3 2 2" xfId="31848"/>
    <cellStyle name="Normal 8 2 2 6 3 2 2 2" xfId="31849"/>
    <cellStyle name="Normal 8 2 2 6 3 2 3" xfId="31850"/>
    <cellStyle name="Normal 8 2 2 6 3 3" xfId="31851"/>
    <cellStyle name="Normal 8 2 2 6 3 3 2" xfId="31852"/>
    <cellStyle name="Normal 8 2 2 6 3 4" xfId="31853"/>
    <cellStyle name="Normal 8 2 2 6 4" xfId="31854"/>
    <cellStyle name="Normal 8 2 2 6 4 2" xfId="31855"/>
    <cellStyle name="Normal 8 2 2 6 4 2 2" xfId="31856"/>
    <cellStyle name="Normal 8 2 2 6 4 2 2 2" xfId="31857"/>
    <cellStyle name="Normal 8 2 2 6 4 2 3" xfId="31858"/>
    <cellStyle name="Normal 8 2 2 6 4 3" xfId="31859"/>
    <cellStyle name="Normal 8 2 2 6 4 3 2" xfId="31860"/>
    <cellStyle name="Normal 8 2 2 6 4 4" xfId="31861"/>
    <cellStyle name="Normal 8 2 2 6 5" xfId="31862"/>
    <cellStyle name="Normal 8 2 2 6 5 2" xfId="31863"/>
    <cellStyle name="Normal 8 2 2 6 5 2 2" xfId="31864"/>
    <cellStyle name="Normal 8 2 2 6 5 3" xfId="31865"/>
    <cellStyle name="Normal 8 2 2 6 6" xfId="31866"/>
    <cellStyle name="Normal 8 2 2 6 6 2" xfId="31867"/>
    <cellStyle name="Normal 8 2 2 6 7" xfId="31868"/>
    <cellStyle name="Normal 8 2 2 7" xfId="31869"/>
    <cellStyle name="Normal 8 2 2 7 2" xfId="31870"/>
    <cellStyle name="Normal 8 2 2 7 2 2" xfId="31871"/>
    <cellStyle name="Normal 8 2 2 7 2 2 2" xfId="31872"/>
    <cellStyle name="Normal 8 2 2 7 2 2 2 2" xfId="31873"/>
    <cellStyle name="Normal 8 2 2 7 2 2 3" xfId="31874"/>
    <cellStyle name="Normal 8 2 2 7 2 3" xfId="31875"/>
    <cellStyle name="Normal 8 2 2 7 2 3 2" xfId="31876"/>
    <cellStyle name="Normal 8 2 2 7 2 4" xfId="31877"/>
    <cellStyle name="Normal 8 2 2 7 3" xfId="31878"/>
    <cellStyle name="Normal 8 2 2 7 3 2" xfId="31879"/>
    <cellStyle name="Normal 8 2 2 7 3 2 2" xfId="31880"/>
    <cellStyle name="Normal 8 2 2 7 3 2 2 2" xfId="31881"/>
    <cellStyle name="Normal 8 2 2 7 3 2 3" xfId="31882"/>
    <cellStyle name="Normal 8 2 2 7 3 3" xfId="31883"/>
    <cellStyle name="Normal 8 2 2 7 3 3 2" xfId="31884"/>
    <cellStyle name="Normal 8 2 2 7 3 4" xfId="31885"/>
    <cellStyle name="Normal 8 2 2 7 4" xfId="31886"/>
    <cellStyle name="Normal 8 2 2 7 4 2" xfId="31887"/>
    <cellStyle name="Normal 8 2 2 7 4 2 2" xfId="31888"/>
    <cellStyle name="Normal 8 2 2 7 4 3" xfId="31889"/>
    <cellStyle name="Normal 8 2 2 7 5" xfId="31890"/>
    <cellStyle name="Normal 8 2 2 7 5 2" xfId="31891"/>
    <cellStyle name="Normal 8 2 2 7 6" xfId="31892"/>
    <cellStyle name="Normal 8 2 2 8" xfId="31893"/>
    <cellStyle name="Normal 8 2 2 8 2" xfId="31894"/>
    <cellStyle name="Normal 8 2 2 8 2 2" xfId="31895"/>
    <cellStyle name="Normal 8 2 2 8 2 2 2" xfId="31896"/>
    <cellStyle name="Normal 8 2 2 8 2 3" xfId="31897"/>
    <cellStyle name="Normal 8 2 2 8 3" xfId="31898"/>
    <cellStyle name="Normal 8 2 2 8 3 2" xfId="31899"/>
    <cellStyle name="Normal 8 2 2 8 4" xfId="31900"/>
    <cellStyle name="Normal 8 2 2 9" xfId="31901"/>
    <cellStyle name="Normal 8 2 2 9 2" xfId="31902"/>
    <cellStyle name="Normal 8 2 2 9 2 2" xfId="31903"/>
    <cellStyle name="Normal 8 2 2 9 2 2 2" xfId="31904"/>
    <cellStyle name="Normal 8 2 2 9 2 3" xfId="31905"/>
    <cellStyle name="Normal 8 2 2 9 3" xfId="31906"/>
    <cellStyle name="Normal 8 2 2 9 3 2" xfId="31907"/>
    <cellStyle name="Normal 8 2 2 9 4" xfId="31908"/>
    <cellStyle name="Normal 8 2 3" xfId="31909"/>
    <cellStyle name="Normal 8 2 3 10" xfId="31910"/>
    <cellStyle name="Normal 8 2 3 10 2" xfId="31911"/>
    <cellStyle name="Normal 8 2 3 11" xfId="31912"/>
    <cellStyle name="Normal 8 2 3 2" xfId="31913"/>
    <cellStyle name="Normal 8 2 3 2 10" xfId="31914"/>
    <cellStyle name="Normal 8 2 3 2 2" xfId="31915"/>
    <cellStyle name="Normal 8 2 3 2 2 2" xfId="31916"/>
    <cellStyle name="Normal 8 2 3 2 2 2 2" xfId="31917"/>
    <cellStyle name="Normal 8 2 3 2 2 2 2 2" xfId="31918"/>
    <cellStyle name="Normal 8 2 3 2 2 2 2 2 2" xfId="31919"/>
    <cellStyle name="Normal 8 2 3 2 2 2 2 2 2 2" xfId="31920"/>
    <cellStyle name="Normal 8 2 3 2 2 2 2 2 2 2 2" xfId="31921"/>
    <cellStyle name="Normal 8 2 3 2 2 2 2 2 2 3" xfId="31922"/>
    <cellStyle name="Normal 8 2 3 2 2 2 2 2 3" xfId="31923"/>
    <cellStyle name="Normal 8 2 3 2 2 2 2 2 3 2" xfId="31924"/>
    <cellStyle name="Normal 8 2 3 2 2 2 2 2 4" xfId="31925"/>
    <cellStyle name="Normal 8 2 3 2 2 2 2 3" xfId="31926"/>
    <cellStyle name="Normal 8 2 3 2 2 2 2 3 2" xfId="31927"/>
    <cellStyle name="Normal 8 2 3 2 2 2 2 3 2 2" xfId="31928"/>
    <cellStyle name="Normal 8 2 3 2 2 2 2 3 2 2 2" xfId="31929"/>
    <cellStyle name="Normal 8 2 3 2 2 2 2 3 2 3" xfId="31930"/>
    <cellStyle name="Normal 8 2 3 2 2 2 2 3 3" xfId="31931"/>
    <cellStyle name="Normal 8 2 3 2 2 2 2 3 3 2" xfId="31932"/>
    <cellStyle name="Normal 8 2 3 2 2 2 2 3 4" xfId="31933"/>
    <cellStyle name="Normal 8 2 3 2 2 2 2 4" xfId="31934"/>
    <cellStyle name="Normal 8 2 3 2 2 2 2 4 2" xfId="31935"/>
    <cellStyle name="Normal 8 2 3 2 2 2 2 4 2 2" xfId="31936"/>
    <cellStyle name="Normal 8 2 3 2 2 2 2 4 3" xfId="31937"/>
    <cellStyle name="Normal 8 2 3 2 2 2 2 5" xfId="31938"/>
    <cellStyle name="Normal 8 2 3 2 2 2 2 5 2" xfId="31939"/>
    <cellStyle name="Normal 8 2 3 2 2 2 2 6" xfId="31940"/>
    <cellStyle name="Normal 8 2 3 2 2 2 3" xfId="31941"/>
    <cellStyle name="Normal 8 2 3 2 2 2 3 2" xfId="31942"/>
    <cellStyle name="Normal 8 2 3 2 2 2 3 2 2" xfId="31943"/>
    <cellStyle name="Normal 8 2 3 2 2 2 3 2 2 2" xfId="31944"/>
    <cellStyle name="Normal 8 2 3 2 2 2 3 2 3" xfId="31945"/>
    <cellStyle name="Normal 8 2 3 2 2 2 3 3" xfId="31946"/>
    <cellStyle name="Normal 8 2 3 2 2 2 3 3 2" xfId="31947"/>
    <cellStyle name="Normal 8 2 3 2 2 2 3 4" xfId="31948"/>
    <cellStyle name="Normal 8 2 3 2 2 2 4" xfId="31949"/>
    <cellStyle name="Normal 8 2 3 2 2 2 4 2" xfId="31950"/>
    <cellStyle name="Normal 8 2 3 2 2 2 4 2 2" xfId="31951"/>
    <cellStyle name="Normal 8 2 3 2 2 2 4 2 2 2" xfId="31952"/>
    <cellStyle name="Normal 8 2 3 2 2 2 4 2 3" xfId="31953"/>
    <cellStyle name="Normal 8 2 3 2 2 2 4 3" xfId="31954"/>
    <cellStyle name="Normal 8 2 3 2 2 2 4 3 2" xfId="31955"/>
    <cellStyle name="Normal 8 2 3 2 2 2 4 4" xfId="31956"/>
    <cellStyle name="Normal 8 2 3 2 2 2 5" xfId="31957"/>
    <cellStyle name="Normal 8 2 3 2 2 2 5 2" xfId="31958"/>
    <cellStyle name="Normal 8 2 3 2 2 2 5 2 2" xfId="31959"/>
    <cellStyle name="Normal 8 2 3 2 2 2 5 3" xfId="31960"/>
    <cellStyle name="Normal 8 2 3 2 2 2 6" xfId="31961"/>
    <cellStyle name="Normal 8 2 3 2 2 2 6 2" xfId="31962"/>
    <cellStyle name="Normal 8 2 3 2 2 2 7" xfId="31963"/>
    <cellStyle name="Normal 8 2 3 2 2 3" xfId="31964"/>
    <cellStyle name="Normal 8 2 3 2 2 3 2" xfId="31965"/>
    <cellStyle name="Normal 8 2 3 2 2 3 2 2" xfId="31966"/>
    <cellStyle name="Normal 8 2 3 2 2 3 2 2 2" xfId="31967"/>
    <cellStyle name="Normal 8 2 3 2 2 3 2 2 2 2" xfId="31968"/>
    <cellStyle name="Normal 8 2 3 2 2 3 2 2 3" xfId="31969"/>
    <cellStyle name="Normal 8 2 3 2 2 3 2 3" xfId="31970"/>
    <cellStyle name="Normal 8 2 3 2 2 3 2 3 2" xfId="31971"/>
    <cellStyle name="Normal 8 2 3 2 2 3 2 4" xfId="31972"/>
    <cellStyle name="Normal 8 2 3 2 2 3 3" xfId="31973"/>
    <cellStyle name="Normal 8 2 3 2 2 3 3 2" xfId="31974"/>
    <cellStyle name="Normal 8 2 3 2 2 3 3 2 2" xfId="31975"/>
    <cellStyle name="Normal 8 2 3 2 2 3 3 2 2 2" xfId="31976"/>
    <cellStyle name="Normal 8 2 3 2 2 3 3 2 3" xfId="31977"/>
    <cellStyle name="Normal 8 2 3 2 2 3 3 3" xfId="31978"/>
    <cellStyle name="Normal 8 2 3 2 2 3 3 3 2" xfId="31979"/>
    <cellStyle name="Normal 8 2 3 2 2 3 3 4" xfId="31980"/>
    <cellStyle name="Normal 8 2 3 2 2 3 4" xfId="31981"/>
    <cellStyle name="Normal 8 2 3 2 2 3 4 2" xfId="31982"/>
    <cellStyle name="Normal 8 2 3 2 2 3 4 2 2" xfId="31983"/>
    <cellStyle name="Normal 8 2 3 2 2 3 4 3" xfId="31984"/>
    <cellStyle name="Normal 8 2 3 2 2 3 5" xfId="31985"/>
    <cellStyle name="Normal 8 2 3 2 2 3 5 2" xfId="31986"/>
    <cellStyle name="Normal 8 2 3 2 2 3 6" xfId="31987"/>
    <cellStyle name="Normal 8 2 3 2 2 4" xfId="31988"/>
    <cellStyle name="Normal 8 2 3 2 2 4 2" xfId="31989"/>
    <cellStyle name="Normal 8 2 3 2 2 4 2 2" xfId="31990"/>
    <cellStyle name="Normal 8 2 3 2 2 4 2 2 2" xfId="31991"/>
    <cellStyle name="Normal 8 2 3 2 2 4 2 3" xfId="31992"/>
    <cellStyle name="Normal 8 2 3 2 2 4 3" xfId="31993"/>
    <cellStyle name="Normal 8 2 3 2 2 4 3 2" xfId="31994"/>
    <cellStyle name="Normal 8 2 3 2 2 4 4" xfId="31995"/>
    <cellStyle name="Normal 8 2 3 2 2 5" xfId="31996"/>
    <cellStyle name="Normal 8 2 3 2 2 5 2" xfId="31997"/>
    <cellStyle name="Normal 8 2 3 2 2 5 2 2" xfId="31998"/>
    <cellStyle name="Normal 8 2 3 2 2 5 2 2 2" xfId="31999"/>
    <cellStyle name="Normal 8 2 3 2 2 5 2 3" xfId="32000"/>
    <cellStyle name="Normal 8 2 3 2 2 5 3" xfId="32001"/>
    <cellStyle name="Normal 8 2 3 2 2 5 3 2" xfId="32002"/>
    <cellStyle name="Normal 8 2 3 2 2 5 4" xfId="32003"/>
    <cellStyle name="Normal 8 2 3 2 2 6" xfId="32004"/>
    <cellStyle name="Normal 8 2 3 2 2 6 2" xfId="32005"/>
    <cellStyle name="Normal 8 2 3 2 2 6 2 2" xfId="32006"/>
    <cellStyle name="Normal 8 2 3 2 2 6 2 2 2" xfId="32007"/>
    <cellStyle name="Normal 8 2 3 2 2 6 2 3" xfId="32008"/>
    <cellStyle name="Normal 8 2 3 2 2 6 3" xfId="32009"/>
    <cellStyle name="Normal 8 2 3 2 2 6 3 2" xfId="32010"/>
    <cellStyle name="Normal 8 2 3 2 2 6 4" xfId="32011"/>
    <cellStyle name="Normal 8 2 3 2 2 7" xfId="32012"/>
    <cellStyle name="Normal 8 2 3 2 2 7 2" xfId="32013"/>
    <cellStyle name="Normal 8 2 3 2 2 7 2 2" xfId="32014"/>
    <cellStyle name="Normal 8 2 3 2 2 7 3" xfId="32015"/>
    <cellStyle name="Normal 8 2 3 2 2 8" xfId="32016"/>
    <cellStyle name="Normal 8 2 3 2 2 8 2" xfId="32017"/>
    <cellStyle name="Normal 8 2 3 2 2 9" xfId="32018"/>
    <cellStyle name="Normal 8 2 3 2 3" xfId="32019"/>
    <cellStyle name="Normal 8 2 3 2 3 2" xfId="32020"/>
    <cellStyle name="Normal 8 2 3 2 3 2 2" xfId="32021"/>
    <cellStyle name="Normal 8 2 3 2 3 2 2 2" xfId="32022"/>
    <cellStyle name="Normal 8 2 3 2 3 2 2 2 2" xfId="32023"/>
    <cellStyle name="Normal 8 2 3 2 3 2 2 2 2 2" xfId="32024"/>
    <cellStyle name="Normal 8 2 3 2 3 2 2 2 3" xfId="32025"/>
    <cellStyle name="Normal 8 2 3 2 3 2 2 3" xfId="32026"/>
    <cellStyle name="Normal 8 2 3 2 3 2 2 3 2" xfId="32027"/>
    <cellStyle name="Normal 8 2 3 2 3 2 2 4" xfId="32028"/>
    <cellStyle name="Normal 8 2 3 2 3 2 3" xfId="32029"/>
    <cellStyle name="Normal 8 2 3 2 3 2 3 2" xfId="32030"/>
    <cellStyle name="Normal 8 2 3 2 3 2 3 2 2" xfId="32031"/>
    <cellStyle name="Normal 8 2 3 2 3 2 3 2 2 2" xfId="32032"/>
    <cellStyle name="Normal 8 2 3 2 3 2 3 2 3" xfId="32033"/>
    <cellStyle name="Normal 8 2 3 2 3 2 3 3" xfId="32034"/>
    <cellStyle name="Normal 8 2 3 2 3 2 3 3 2" xfId="32035"/>
    <cellStyle name="Normal 8 2 3 2 3 2 3 4" xfId="32036"/>
    <cellStyle name="Normal 8 2 3 2 3 2 4" xfId="32037"/>
    <cellStyle name="Normal 8 2 3 2 3 2 4 2" xfId="32038"/>
    <cellStyle name="Normal 8 2 3 2 3 2 4 2 2" xfId="32039"/>
    <cellStyle name="Normal 8 2 3 2 3 2 4 3" xfId="32040"/>
    <cellStyle name="Normal 8 2 3 2 3 2 5" xfId="32041"/>
    <cellStyle name="Normal 8 2 3 2 3 2 5 2" xfId="32042"/>
    <cellStyle name="Normal 8 2 3 2 3 2 6" xfId="32043"/>
    <cellStyle name="Normal 8 2 3 2 3 3" xfId="32044"/>
    <cellStyle name="Normal 8 2 3 2 3 3 2" xfId="32045"/>
    <cellStyle name="Normal 8 2 3 2 3 3 2 2" xfId="32046"/>
    <cellStyle name="Normal 8 2 3 2 3 3 2 2 2" xfId="32047"/>
    <cellStyle name="Normal 8 2 3 2 3 3 2 3" xfId="32048"/>
    <cellStyle name="Normal 8 2 3 2 3 3 3" xfId="32049"/>
    <cellStyle name="Normal 8 2 3 2 3 3 3 2" xfId="32050"/>
    <cellStyle name="Normal 8 2 3 2 3 3 4" xfId="32051"/>
    <cellStyle name="Normal 8 2 3 2 3 4" xfId="32052"/>
    <cellStyle name="Normal 8 2 3 2 3 4 2" xfId="32053"/>
    <cellStyle name="Normal 8 2 3 2 3 4 2 2" xfId="32054"/>
    <cellStyle name="Normal 8 2 3 2 3 4 2 2 2" xfId="32055"/>
    <cellStyle name="Normal 8 2 3 2 3 4 2 3" xfId="32056"/>
    <cellStyle name="Normal 8 2 3 2 3 4 3" xfId="32057"/>
    <cellStyle name="Normal 8 2 3 2 3 4 3 2" xfId="32058"/>
    <cellStyle name="Normal 8 2 3 2 3 4 4" xfId="32059"/>
    <cellStyle name="Normal 8 2 3 2 3 5" xfId="32060"/>
    <cellStyle name="Normal 8 2 3 2 3 5 2" xfId="32061"/>
    <cellStyle name="Normal 8 2 3 2 3 5 2 2" xfId="32062"/>
    <cellStyle name="Normal 8 2 3 2 3 5 3" xfId="32063"/>
    <cellStyle name="Normal 8 2 3 2 3 6" xfId="32064"/>
    <cellStyle name="Normal 8 2 3 2 3 6 2" xfId="32065"/>
    <cellStyle name="Normal 8 2 3 2 3 7" xfId="32066"/>
    <cellStyle name="Normal 8 2 3 2 4" xfId="32067"/>
    <cellStyle name="Normal 8 2 3 2 4 2" xfId="32068"/>
    <cellStyle name="Normal 8 2 3 2 4 2 2" xfId="32069"/>
    <cellStyle name="Normal 8 2 3 2 4 2 2 2" xfId="32070"/>
    <cellStyle name="Normal 8 2 3 2 4 2 2 2 2" xfId="32071"/>
    <cellStyle name="Normal 8 2 3 2 4 2 2 3" xfId="32072"/>
    <cellStyle name="Normal 8 2 3 2 4 2 3" xfId="32073"/>
    <cellStyle name="Normal 8 2 3 2 4 2 3 2" xfId="32074"/>
    <cellStyle name="Normal 8 2 3 2 4 2 4" xfId="32075"/>
    <cellStyle name="Normal 8 2 3 2 4 3" xfId="32076"/>
    <cellStyle name="Normal 8 2 3 2 4 3 2" xfId="32077"/>
    <cellStyle name="Normal 8 2 3 2 4 3 2 2" xfId="32078"/>
    <cellStyle name="Normal 8 2 3 2 4 3 2 2 2" xfId="32079"/>
    <cellStyle name="Normal 8 2 3 2 4 3 2 3" xfId="32080"/>
    <cellStyle name="Normal 8 2 3 2 4 3 3" xfId="32081"/>
    <cellStyle name="Normal 8 2 3 2 4 3 3 2" xfId="32082"/>
    <cellStyle name="Normal 8 2 3 2 4 3 4" xfId="32083"/>
    <cellStyle name="Normal 8 2 3 2 4 4" xfId="32084"/>
    <cellStyle name="Normal 8 2 3 2 4 4 2" xfId="32085"/>
    <cellStyle name="Normal 8 2 3 2 4 4 2 2" xfId="32086"/>
    <cellStyle name="Normal 8 2 3 2 4 4 3" xfId="32087"/>
    <cellStyle name="Normal 8 2 3 2 4 5" xfId="32088"/>
    <cellStyle name="Normal 8 2 3 2 4 5 2" xfId="32089"/>
    <cellStyle name="Normal 8 2 3 2 4 6" xfId="32090"/>
    <cellStyle name="Normal 8 2 3 2 5" xfId="32091"/>
    <cellStyle name="Normal 8 2 3 2 5 2" xfId="32092"/>
    <cellStyle name="Normal 8 2 3 2 5 2 2" xfId="32093"/>
    <cellStyle name="Normal 8 2 3 2 5 2 2 2" xfId="32094"/>
    <cellStyle name="Normal 8 2 3 2 5 2 3" xfId="32095"/>
    <cellStyle name="Normal 8 2 3 2 5 3" xfId="32096"/>
    <cellStyle name="Normal 8 2 3 2 5 3 2" xfId="32097"/>
    <cellStyle name="Normal 8 2 3 2 5 4" xfId="32098"/>
    <cellStyle name="Normal 8 2 3 2 6" xfId="32099"/>
    <cellStyle name="Normal 8 2 3 2 6 2" xfId="32100"/>
    <cellStyle name="Normal 8 2 3 2 6 2 2" xfId="32101"/>
    <cellStyle name="Normal 8 2 3 2 6 2 2 2" xfId="32102"/>
    <cellStyle name="Normal 8 2 3 2 6 2 3" xfId="32103"/>
    <cellStyle name="Normal 8 2 3 2 6 3" xfId="32104"/>
    <cellStyle name="Normal 8 2 3 2 6 3 2" xfId="32105"/>
    <cellStyle name="Normal 8 2 3 2 6 4" xfId="32106"/>
    <cellStyle name="Normal 8 2 3 2 7" xfId="32107"/>
    <cellStyle name="Normal 8 2 3 2 7 2" xfId="32108"/>
    <cellStyle name="Normal 8 2 3 2 7 2 2" xfId="32109"/>
    <cellStyle name="Normal 8 2 3 2 7 2 2 2" xfId="32110"/>
    <cellStyle name="Normal 8 2 3 2 7 2 3" xfId="32111"/>
    <cellStyle name="Normal 8 2 3 2 7 3" xfId="32112"/>
    <cellStyle name="Normal 8 2 3 2 7 3 2" xfId="32113"/>
    <cellStyle name="Normal 8 2 3 2 7 4" xfId="32114"/>
    <cellStyle name="Normal 8 2 3 2 8" xfId="32115"/>
    <cellStyle name="Normal 8 2 3 2 8 2" xfId="32116"/>
    <cellStyle name="Normal 8 2 3 2 8 2 2" xfId="32117"/>
    <cellStyle name="Normal 8 2 3 2 8 3" xfId="32118"/>
    <cellStyle name="Normal 8 2 3 2 9" xfId="32119"/>
    <cellStyle name="Normal 8 2 3 2 9 2" xfId="32120"/>
    <cellStyle name="Normal 8 2 3 3" xfId="32121"/>
    <cellStyle name="Normal 8 2 3 3 2" xfId="32122"/>
    <cellStyle name="Normal 8 2 3 3 2 2" xfId="32123"/>
    <cellStyle name="Normal 8 2 3 3 2 2 2" xfId="32124"/>
    <cellStyle name="Normal 8 2 3 3 2 2 2 2" xfId="32125"/>
    <cellStyle name="Normal 8 2 3 3 2 2 2 2 2" xfId="32126"/>
    <cellStyle name="Normal 8 2 3 3 2 2 2 2 2 2" xfId="32127"/>
    <cellStyle name="Normal 8 2 3 3 2 2 2 2 3" xfId="32128"/>
    <cellStyle name="Normal 8 2 3 3 2 2 2 3" xfId="32129"/>
    <cellStyle name="Normal 8 2 3 3 2 2 2 3 2" xfId="32130"/>
    <cellStyle name="Normal 8 2 3 3 2 2 2 4" xfId="32131"/>
    <cellStyle name="Normal 8 2 3 3 2 2 3" xfId="32132"/>
    <cellStyle name="Normal 8 2 3 3 2 2 3 2" xfId="32133"/>
    <cellStyle name="Normal 8 2 3 3 2 2 3 2 2" xfId="32134"/>
    <cellStyle name="Normal 8 2 3 3 2 2 3 2 2 2" xfId="32135"/>
    <cellStyle name="Normal 8 2 3 3 2 2 3 2 3" xfId="32136"/>
    <cellStyle name="Normal 8 2 3 3 2 2 3 3" xfId="32137"/>
    <cellStyle name="Normal 8 2 3 3 2 2 3 3 2" xfId="32138"/>
    <cellStyle name="Normal 8 2 3 3 2 2 3 4" xfId="32139"/>
    <cellStyle name="Normal 8 2 3 3 2 2 4" xfId="32140"/>
    <cellStyle name="Normal 8 2 3 3 2 2 4 2" xfId="32141"/>
    <cellStyle name="Normal 8 2 3 3 2 2 4 2 2" xfId="32142"/>
    <cellStyle name="Normal 8 2 3 3 2 2 4 3" xfId="32143"/>
    <cellStyle name="Normal 8 2 3 3 2 2 5" xfId="32144"/>
    <cellStyle name="Normal 8 2 3 3 2 2 5 2" xfId="32145"/>
    <cellStyle name="Normal 8 2 3 3 2 2 6" xfId="32146"/>
    <cellStyle name="Normal 8 2 3 3 2 3" xfId="32147"/>
    <cellStyle name="Normal 8 2 3 3 2 3 2" xfId="32148"/>
    <cellStyle name="Normal 8 2 3 3 2 3 2 2" xfId="32149"/>
    <cellStyle name="Normal 8 2 3 3 2 3 2 2 2" xfId="32150"/>
    <cellStyle name="Normal 8 2 3 3 2 3 2 3" xfId="32151"/>
    <cellStyle name="Normal 8 2 3 3 2 3 3" xfId="32152"/>
    <cellStyle name="Normal 8 2 3 3 2 3 3 2" xfId="32153"/>
    <cellStyle name="Normal 8 2 3 3 2 3 4" xfId="32154"/>
    <cellStyle name="Normal 8 2 3 3 2 4" xfId="32155"/>
    <cellStyle name="Normal 8 2 3 3 2 4 2" xfId="32156"/>
    <cellStyle name="Normal 8 2 3 3 2 4 2 2" xfId="32157"/>
    <cellStyle name="Normal 8 2 3 3 2 4 2 2 2" xfId="32158"/>
    <cellStyle name="Normal 8 2 3 3 2 4 2 3" xfId="32159"/>
    <cellStyle name="Normal 8 2 3 3 2 4 3" xfId="32160"/>
    <cellStyle name="Normal 8 2 3 3 2 4 3 2" xfId="32161"/>
    <cellStyle name="Normal 8 2 3 3 2 4 4" xfId="32162"/>
    <cellStyle name="Normal 8 2 3 3 2 5" xfId="32163"/>
    <cellStyle name="Normal 8 2 3 3 2 5 2" xfId="32164"/>
    <cellStyle name="Normal 8 2 3 3 2 5 2 2" xfId="32165"/>
    <cellStyle name="Normal 8 2 3 3 2 5 3" xfId="32166"/>
    <cellStyle name="Normal 8 2 3 3 2 6" xfId="32167"/>
    <cellStyle name="Normal 8 2 3 3 2 6 2" xfId="32168"/>
    <cellStyle name="Normal 8 2 3 3 2 7" xfId="32169"/>
    <cellStyle name="Normal 8 2 3 3 3" xfId="32170"/>
    <cellStyle name="Normal 8 2 3 3 3 2" xfId="32171"/>
    <cellStyle name="Normal 8 2 3 3 3 2 2" xfId="32172"/>
    <cellStyle name="Normal 8 2 3 3 3 2 2 2" xfId="32173"/>
    <cellStyle name="Normal 8 2 3 3 3 2 2 2 2" xfId="32174"/>
    <cellStyle name="Normal 8 2 3 3 3 2 2 3" xfId="32175"/>
    <cellStyle name="Normal 8 2 3 3 3 2 3" xfId="32176"/>
    <cellStyle name="Normal 8 2 3 3 3 2 3 2" xfId="32177"/>
    <cellStyle name="Normal 8 2 3 3 3 2 4" xfId="32178"/>
    <cellStyle name="Normal 8 2 3 3 3 3" xfId="32179"/>
    <cellStyle name="Normal 8 2 3 3 3 3 2" xfId="32180"/>
    <cellStyle name="Normal 8 2 3 3 3 3 2 2" xfId="32181"/>
    <cellStyle name="Normal 8 2 3 3 3 3 2 2 2" xfId="32182"/>
    <cellStyle name="Normal 8 2 3 3 3 3 2 3" xfId="32183"/>
    <cellStyle name="Normal 8 2 3 3 3 3 3" xfId="32184"/>
    <cellStyle name="Normal 8 2 3 3 3 3 3 2" xfId="32185"/>
    <cellStyle name="Normal 8 2 3 3 3 3 4" xfId="32186"/>
    <cellStyle name="Normal 8 2 3 3 3 4" xfId="32187"/>
    <cellStyle name="Normal 8 2 3 3 3 4 2" xfId="32188"/>
    <cellStyle name="Normal 8 2 3 3 3 4 2 2" xfId="32189"/>
    <cellStyle name="Normal 8 2 3 3 3 4 3" xfId="32190"/>
    <cellStyle name="Normal 8 2 3 3 3 5" xfId="32191"/>
    <cellStyle name="Normal 8 2 3 3 3 5 2" xfId="32192"/>
    <cellStyle name="Normal 8 2 3 3 3 6" xfId="32193"/>
    <cellStyle name="Normal 8 2 3 3 4" xfId="32194"/>
    <cellStyle name="Normal 8 2 3 3 4 2" xfId="32195"/>
    <cellStyle name="Normal 8 2 3 3 4 2 2" xfId="32196"/>
    <cellStyle name="Normal 8 2 3 3 4 2 2 2" xfId="32197"/>
    <cellStyle name="Normal 8 2 3 3 4 2 3" xfId="32198"/>
    <cellStyle name="Normal 8 2 3 3 4 3" xfId="32199"/>
    <cellStyle name="Normal 8 2 3 3 4 3 2" xfId="32200"/>
    <cellStyle name="Normal 8 2 3 3 4 4" xfId="32201"/>
    <cellStyle name="Normal 8 2 3 3 5" xfId="32202"/>
    <cellStyle name="Normal 8 2 3 3 5 2" xfId="32203"/>
    <cellStyle name="Normal 8 2 3 3 5 2 2" xfId="32204"/>
    <cellStyle name="Normal 8 2 3 3 5 2 2 2" xfId="32205"/>
    <cellStyle name="Normal 8 2 3 3 5 2 3" xfId="32206"/>
    <cellStyle name="Normal 8 2 3 3 5 3" xfId="32207"/>
    <cellStyle name="Normal 8 2 3 3 5 3 2" xfId="32208"/>
    <cellStyle name="Normal 8 2 3 3 5 4" xfId="32209"/>
    <cellStyle name="Normal 8 2 3 3 6" xfId="32210"/>
    <cellStyle name="Normal 8 2 3 3 6 2" xfId="32211"/>
    <cellStyle name="Normal 8 2 3 3 6 2 2" xfId="32212"/>
    <cellStyle name="Normal 8 2 3 3 6 2 2 2" xfId="32213"/>
    <cellStyle name="Normal 8 2 3 3 6 2 3" xfId="32214"/>
    <cellStyle name="Normal 8 2 3 3 6 3" xfId="32215"/>
    <cellStyle name="Normal 8 2 3 3 6 3 2" xfId="32216"/>
    <cellStyle name="Normal 8 2 3 3 6 4" xfId="32217"/>
    <cellStyle name="Normal 8 2 3 3 7" xfId="32218"/>
    <cellStyle name="Normal 8 2 3 3 7 2" xfId="32219"/>
    <cellStyle name="Normal 8 2 3 3 7 2 2" xfId="32220"/>
    <cellStyle name="Normal 8 2 3 3 7 3" xfId="32221"/>
    <cellStyle name="Normal 8 2 3 3 8" xfId="32222"/>
    <cellStyle name="Normal 8 2 3 3 8 2" xfId="32223"/>
    <cellStyle name="Normal 8 2 3 3 9" xfId="32224"/>
    <cellStyle name="Normal 8 2 3 4" xfId="32225"/>
    <cellStyle name="Normal 8 2 3 4 2" xfId="32226"/>
    <cellStyle name="Normal 8 2 3 4 2 2" xfId="32227"/>
    <cellStyle name="Normal 8 2 3 4 2 2 2" xfId="32228"/>
    <cellStyle name="Normal 8 2 3 4 2 2 2 2" xfId="32229"/>
    <cellStyle name="Normal 8 2 3 4 2 2 2 2 2" xfId="32230"/>
    <cellStyle name="Normal 8 2 3 4 2 2 2 3" xfId="32231"/>
    <cellStyle name="Normal 8 2 3 4 2 2 3" xfId="32232"/>
    <cellStyle name="Normal 8 2 3 4 2 2 3 2" xfId="32233"/>
    <cellStyle name="Normal 8 2 3 4 2 2 4" xfId="32234"/>
    <cellStyle name="Normal 8 2 3 4 2 3" xfId="32235"/>
    <cellStyle name="Normal 8 2 3 4 2 3 2" xfId="32236"/>
    <cellStyle name="Normal 8 2 3 4 2 3 2 2" xfId="32237"/>
    <cellStyle name="Normal 8 2 3 4 2 3 2 2 2" xfId="32238"/>
    <cellStyle name="Normal 8 2 3 4 2 3 2 3" xfId="32239"/>
    <cellStyle name="Normal 8 2 3 4 2 3 3" xfId="32240"/>
    <cellStyle name="Normal 8 2 3 4 2 3 3 2" xfId="32241"/>
    <cellStyle name="Normal 8 2 3 4 2 3 4" xfId="32242"/>
    <cellStyle name="Normal 8 2 3 4 2 4" xfId="32243"/>
    <cellStyle name="Normal 8 2 3 4 2 4 2" xfId="32244"/>
    <cellStyle name="Normal 8 2 3 4 2 4 2 2" xfId="32245"/>
    <cellStyle name="Normal 8 2 3 4 2 4 3" xfId="32246"/>
    <cellStyle name="Normal 8 2 3 4 2 5" xfId="32247"/>
    <cellStyle name="Normal 8 2 3 4 2 5 2" xfId="32248"/>
    <cellStyle name="Normal 8 2 3 4 2 6" xfId="32249"/>
    <cellStyle name="Normal 8 2 3 4 3" xfId="32250"/>
    <cellStyle name="Normal 8 2 3 4 3 2" xfId="32251"/>
    <cellStyle name="Normal 8 2 3 4 3 2 2" xfId="32252"/>
    <cellStyle name="Normal 8 2 3 4 3 2 2 2" xfId="32253"/>
    <cellStyle name="Normal 8 2 3 4 3 2 3" xfId="32254"/>
    <cellStyle name="Normal 8 2 3 4 3 3" xfId="32255"/>
    <cellStyle name="Normal 8 2 3 4 3 3 2" xfId="32256"/>
    <cellStyle name="Normal 8 2 3 4 3 4" xfId="32257"/>
    <cellStyle name="Normal 8 2 3 4 4" xfId="32258"/>
    <cellStyle name="Normal 8 2 3 4 4 2" xfId="32259"/>
    <cellStyle name="Normal 8 2 3 4 4 2 2" xfId="32260"/>
    <cellStyle name="Normal 8 2 3 4 4 2 2 2" xfId="32261"/>
    <cellStyle name="Normal 8 2 3 4 4 2 3" xfId="32262"/>
    <cellStyle name="Normal 8 2 3 4 4 3" xfId="32263"/>
    <cellStyle name="Normal 8 2 3 4 4 3 2" xfId="32264"/>
    <cellStyle name="Normal 8 2 3 4 4 4" xfId="32265"/>
    <cellStyle name="Normal 8 2 3 4 5" xfId="32266"/>
    <cellStyle name="Normal 8 2 3 4 5 2" xfId="32267"/>
    <cellStyle name="Normal 8 2 3 4 5 2 2" xfId="32268"/>
    <cellStyle name="Normal 8 2 3 4 5 3" xfId="32269"/>
    <cellStyle name="Normal 8 2 3 4 6" xfId="32270"/>
    <cellStyle name="Normal 8 2 3 4 6 2" xfId="32271"/>
    <cellStyle name="Normal 8 2 3 4 7" xfId="32272"/>
    <cellStyle name="Normal 8 2 3 5" xfId="32273"/>
    <cellStyle name="Normal 8 2 3 5 2" xfId="32274"/>
    <cellStyle name="Normal 8 2 3 5 2 2" xfId="32275"/>
    <cellStyle name="Normal 8 2 3 5 2 2 2" xfId="32276"/>
    <cellStyle name="Normal 8 2 3 5 2 2 2 2" xfId="32277"/>
    <cellStyle name="Normal 8 2 3 5 2 2 3" xfId="32278"/>
    <cellStyle name="Normal 8 2 3 5 2 3" xfId="32279"/>
    <cellStyle name="Normal 8 2 3 5 2 3 2" xfId="32280"/>
    <cellStyle name="Normal 8 2 3 5 2 4" xfId="32281"/>
    <cellStyle name="Normal 8 2 3 5 3" xfId="32282"/>
    <cellStyle name="Normal 8 2 3 5 3 2" xfId="32283"/>
    <cellStyle name="Normal 8 2 3 5 3 2 2" xfId="32284"/>
    <cellStyle name="Normal 8 2 3 5 3 2 2 2" xfId="32285"/>
    <cellStyle name="Normal 8 2 3 5 3 2 3" xfId="32286"/>
    <cellStyle name="Normal 8 2 3 5 3 3" xfId="32287"/>
    <cellStyle name="Normal 8 2 3 5 3 3 2" xfId="32288"/>
    <cellStyle name="Normal 8 2 3 5 3 4" xfId="32289"/>
    <cellStyle name="Normal 8 2 3 5 4" xfId="32290"/>
    <cellStyle name="Normal 8 2 3 5 4 2" xfId="32291"/>
    <cellStyle name="Normal 8 2 3 5 4 2 2" xfId="32292"/>
    <cellStyle name="Normal 8 2 3 5 4 3" xfId="32293"/>
    <cellStyle name="Normal 8 2 3 5 5" xfId="32294"/>
    <cellStyle name="Normal 8 2 3 5 5 2" xfId="32295"/>
    <cellStyle name="Normal 8 2 3 5 6" xfId="32296"/>
    <cellStyle name="Normal 8 2 3 6" xfId="32297"/>
    <cellStyle name="Normal 8 2 3 6 2" xfId="32298"/>
    <cellStyle name="Normal 8 2 3 6 2 2" xfId="32299"/>
    <cellStyle name="Normal 8 2 3 6 2 2 2" xfId="32300"/>
    <cellStyle name="Normal 8 2 3 6 2 3" xfId="32301"/>
    <cellStyle name="Normal 8 2 3 6 3" xfId="32302"/>
    <cellStyle name="Normal 8 2 3 6 3 2" xfId="32303"/>
    <cellStyle name="Normal 8 2 3 6 4" xfId="32304"/>
    <cellStyle name="Normal 8 2 3 7" xfId="32305"/>
    <cellStyle name="Normal 8 2 3 7 2" xfId="32306"/>
    <cellStyle name="Normal 8 2 3 7 2 2" xfId="32307"/>
    <cellStyle name="Normal 8 2 3 7 2 2 2" xfId="32308"/>
    <cellStyle name="Normal 8 2 3 7 2 3" xfId="32309"/>
    <cellStyle name="Normal 8 2 3 7 3" xfId="32310"/>
    <cellStyle name="Normal 8 2 3 7 3 2" xfId="32311"/>
    <cellStyle name="Normal 8 2 3 7 4" xfId="32312"/>
    <cellStyle name="Normal 8 2 3 8" xfId="32313"/>
    <cellStyle name="Normal 8 2 3 8 2" xfId="32314"/>
    <cellStyle name="Normal 8 2 3 8 2 2" xfId="32315"/>
    <cellStyle name="Normal 8 2 3 8 2 2 2" xfId="32316"/>
    <cellStyle name="Normal 8 2 3 8 2 3" xfId="32317"/>
    <cellStyle name="Normal 8 2 3 8 3" xfId="32318"/>
    <cellStyle name="Normal 8 2 3 8 3 2" xfId="32319"/>
    <cellStyle name="Normal 8 2 3 8 4" xfId="32320"/>
    <cellStyle name="Normal 8 2 3 9" xfId="32321"/>
    <cellStyle name="Normal 8 2 3 9 2" xfId="32322"/>
    <cellStyle name="Normal 8 2 3 9 2 2" xfId="32323"/>
    <cellStyle name="Normal 8 2 3 9 3" xfId="32324"/>
    <cellStyle name="Normal 8 2 4" xfId="32325"/>
    <cellStyle name="Normal 8 2 4 10" xfId="32326"/>
    <cellStyle name="Normal 8 2 4 2" xfId="32327"/>
    <cellStyle name="Normal 8 2 4 2 2" xfId="32328"/>
    <cellStyle name="Normal 8 2 4 2 2 2" xfId="32329"/>
    <cellStyle name="Normal 8 2 4 2 2 2 2" xfId="32330"/>
    <cellStyle name="Normal 8 2 4 2 2 2 2 2" xfId="32331"/>
    <cellStyle name="Normal 8 2 4 2 2 2 2 2 2" xfId="32332"/>
    <cellStyle name="Normal 8 2 4 2 2 2 2 2 2 2" xfId="32333"/>
    <cellStyle name="Normal 8 2 4 2 2 2 2 2 3" xfId="32334"/>
    <cellStyle name="Normal 8 2 4 2 2 2 2 3" xfId="32335"/>
    <cellStyle name="Normal 8 2 4 2 2 2 2 3 2" xfId="32336"/>
    <cellStyle name="Normal 8 2 4 2 2 2 2 4" xfId="32337"/>
    <cellStyle name="Normal 8 2 4 2 2 2 3" xfId="32338"/>
    <cellStyle name="Normal 8 2 4 2 2 2 3 2" xfId="32339"/>
    <cellStyle name="Normal 8 2 4 2 2 2 3 2 2" xfId="32340"/>
    <cellStyle name="Normal 8 2 4 2 2 2 3 2 2 2" xfId="32341"/>
    <cellStyle name="Normal 8 2 4 2 2 2 3 2 3" xfId="32342"/>
    <cellStyle name="Normal 8 2 4 2 2 2 3 3" xfId="32343"/>
    <cellStyle name="Normal 8 2 4 2 2 2 3 3 2" xfId="32344"/>
    <cellStyle name="Normal 8 2 4 2 2 2 3 4" xfId="32345"/>
    <cellStyle name="Normal 8 2 4 2 2 2 4" xfId="32346"/>
    <cellStyle name="Normal 8 2 4 2 2 2 4 2" xfId="32347"/>
    <cellStyle name="Normal 8 2 4 2 2 2 4 2 2" xfId="32348"/>
    <cellStyle name="Normal 8 2 4 2 2 2 4 3" xfId="32349"/>
    <cellStyle name="Normal 8 2 4 2 2 2 5" xfId="32350"/>
    <cellStyle name="Normal 8 2 4 2 2 2 5 2" xfId="32351"/>
    <cellStyle name="Normal 8 2 4 2 2 2 6" xfId="32352"/>
    <cellStyle name="Normal 8 2 4 2 2 3" xfId="32353"/>
    <cellStyle name="Normal 8 2 4 2 2 3 2" xfId="32354"/>
    <cellStyle name="Normal 8 2 4 2 2 3 2 2" xfId="32355"/>
    <cellStyle name="Normal 8 2 4 2 2 3 2 2 2" xfId="32356"/>
    <cellStyle name="Normal 8 2 4 2 2 3 2 3" xfId="32357"/>
    <cellStyle name="Normal 8 2 4 2 2 3 3" xfId="32358"/>
    <cellStyle name="Normal 8 2 4 2 2 3 3 2" xfId="32359"/>
    <cellStyle name="Normal 8 2 4 2 2 3 4" xfId="32360"/>
    <cellStyle name="Normal 8 2 4 2 2 4" xfId="32361"/>
    <cellStyle name="Normal 8 2 4 2 2 4 2" xfId="32362"/>
    <cellStyle name="Normal 8 2 4 2 2 4 2 2" xfId="32363"/>
    <cellStyle name="Normal 8 2 4 2 2 4 2 2 2" xfId="32364"/>
    <cellStyle name="Normal 8 2 4 2 2 4 2 3" xfId="32365"/>
    <cellStyle name="Normal 8 2 4 2 2 4 3" xfId="32366"/>
    <cellStyle name="Normal 8 2 4 2 2 4 3 2" xfId="32367"/>
    <cellStyle name="Normal 8 2 4 2 2 4 4" xfId="32368"/>
    <cellStyle name="Normal 8 2 4 2 2 5" xfId="32369"/>
    <cellStyle name="Normal 8 2 4 2 2 5 2" xfId="32370"/>
    <cellStyle name="Normal 8 2 4 2 2 5 2 2" xfId="32371"/>
    <cellStyle name="Normal 8 2 4 2 2 5 3" xfId="32372"/>
    <cellStyle name="Normal 8 2 4 2 2 6" xfId="32373"/>
    <cellStyle name="Normal 8 2 4 2 2 6 2" xfId="32374"/>
    <cellStyle name="Normal 8 2 4 2 2 7" xfId="32375"/>
    <cellStyle name="Normal 8 2 4 2 3" xfId="32376"/>
    <cellStyle name="Normal 8 2 4 2 3 2" xfId="32377"/>
    <cellStyle name="Normal 8 2 4 2 3 2 2" xfId="32378"/>
    <cellStyle name="Normal 8 2 4 2 3 2 2 2" xfId="32379"/>
    <cellStyle name="Normal 8 2 4 2 3 2 2 2 2" xfId="32380"/>
    <cellStyle name="Normal 8 2 4 2 3 2 2 3" xfId="32381"/>
    <cellStyle name="Normal 8 2 4 2 3 2 3" xfId="32382"/>
    <cellStyle name="Normal 8 2 4 2 3 2 3 2" xfId="32383"/>
    <cellStyle name="Normal 8 2 4 2 3 2 4" xfId="32384"/>
    <cellStyle name="Normal 8 2 4 2 3 3" xfId="32385"/>
    <cellStyle name="Normal 8 2 4 2 3 3 2" xfId="32386"/>
    <cellStyle name="Normal 8 2 4 2 3 3 2 2" xfId="32387"/>
    <cellStyle name="Normal 8 2 4 2 3 3 2 2 2" xfId="32388"/>
    <cellStyle name="Normal 8 2 4 2 3 3 2 3" xfId="32389"/>
    <cellStyle name="Normal 8 2 4 2 3 3 3" xfId="32390"/>
    <cellStyle name="Normal 8 2 4 2 3 3 3 2" xfId="32391"/>
    <cellStyle name="Normal 8 2 4 2 3 3 4" xfId="32392"/>
    <cellStyle name="Normal 8 2 4 2 3 4" xfId="32393"/>
    <cellStyle name="Normal 8 2 4 2 3 4 2" xfId="32394"/>
    <cellStyle name="Normal 8 2 4 2 3 4 2 2" xfId="32395"/>
    <cellStyle name="Normal 8 2 4 2 3 4 3" xfId="32396"/>
    <cellStyle name="Normal 8 2 4 2 3 5" xfId="32397"/>
    <cellStyle name="Normal 8 2 4 2 3 5 2" xfId="32398"/>
    <cellStyle name="Normal 8 2 4 2 3 6" xfId="32399"/>
    <cellStyle name="Normal 8 2 4 2 4" xfId="32400"/>
    <cellStyle name="Normal 8 2 4 2 4 2" xfId="32401"/>
    <cellStyle name="Normal 8 2 4 2 4 2 2" xfId="32402"/>
    <cellStyle name="Normal 8 2 4 2 4 2 2 2" xfId="32403"/>
    <cellStyle name="Normal 8 2 4 2 4 2 3" xfId="32404"/>
    <cellStyle name="Normal 8 2 4 2 4 3" xfId="32405"/>
    <cellStyle name="Normal 8 2 4 2 4 3 2" xfId="32406"/>
    <cellStyle name="Normal 8 2 4 2 4 4" xfId="32407"/>
    <cellStyle name="Normal 8 2 4 2 5" xfId="32408"/>
    <cellStyle name="Normal 8 2 4 2 5 2" xfId="32409"/>
    <cellStyle name="Normal 8 2 4 2 5 2 2" xfId="32410"/>
    <cellStyle name="Normal 8 2 4 2 5 2 2 2" xfId="32411"/>
    <cellStyle name="Normal 8 2 4 2 5 2 3" xfId="32412"/>
    <cellStyle name="Normal 8 2 4 2 5 3" xfId="32413"/>
    <cellStyle name="Normal 8 2 4 2 5 3 2" xfId="32414"/>
    <cellStyle name="Normal 8 2 4 2 5 4" xfId="32415"/>
    <cellStyle name="Normal 8 2 4 2 6" xfId="32416"/>
    <cellStyle name="Normal 8 2 4 2 6 2" xfId="32417"/>
    <cellStyle name="Normal 8 2 4 2 6 2 2" xfId="32418"/>
    <cellStyle name="Normal 8 2 4 2 6 2 2 2" xfId="32419"/>
    <cellStyle name="Normal 8 2 4 2 6 2 3" xfId="32420"/>
    <cellStyle name="Normal 8 2 4 2 6 3" xfId="32421"/>
    <cellStyle name="Normal 8 2 4 2 6 3 2" xfId="32422"/>
    <cellStyle name="Normal 8 2 4 2 6 4" xfId="32423"/>
    <cellStyle name="Normal 8 2 4 2 7" xfId="32424"/>
    <cellStyle name="Normal 8 2 4 2 7 2" xfId="32425"/>
    <cellStyle name="Normal 8 2 4 2 7 2 2" xfId="32426"/>
    <cellStyle name="Normal 8 2 4 2 7 3" xfId="32427"/>
    <cellStyle name="Normal 8 2 4 2 8" xfId="32428"/>
    <cellStyle name="Normal 8 2 4 2 8 2" xfId="32429"/>
    <cellStyle name="Normal 8 2 4 2 9" xfId="32430"/>
    <cellStyle name="Normal 8 2 4 3" xfId="32431"/>
    <cellStyle name="Normal 8 2 4 3 2" xfId="32432"/>
    <cellStyle name="Normal 8 2 4 3 2 2" xfId="32433"/>
    <cellStyle name="Normal 8 2 4 3 2 2 2" xfId="32434"/>
    <cellStyle name="Normal 8 2 4 3 2 2 2 2" xfId="32435"/>
    <cellStyle name="Normal 8 2 4 3 2 2 2 2 2" xfId="32436"/>
    <cellStyle name="Normal 8 2 4 3 2 2 2 3" xfId="32437"/>
    <cellStyle name="Normal 8 2 4 3 2 2 3" xfId="32438"/>
    <cellStyle name="Normal 8 2 4 3 2 2 3 2" xfId="32439"/>
    <cellStyle name="Normal 8 2 4 3 2 2 4" xfId="32440"/>
    <cellStyle name="Normal 8 2 4 3 2 3" xfId="32441"/>
    <cellStyle name="Normal 8 2 4 3 2 3 2" xfId="32442"/>
    <cellStyle name="Normal 8 2 4 3 2 3 2 2" xfId="32443"/>
    <cellStyle name="Normal 8 2 4 3 2 3 2 2 2" xfId="32444"/>
    <cellStyle name="Normal 8 2 4 3 2 3 2 3" xfId="32445"/>
    <cellStyle name="Normal 8 2 4 3 2 3 3" xfId="32446"/>
    <cellStyle name="Normal 8 2 4 3 2 3 3 2" xfId="32447"/>
    <cellStyle name="Normal 8 2 4 3 2 3 4" xfId="32448"/>
    <cellStyle name="Normal 8 2 4 3 2 4" xfId="32449"/>
    <cellStyle name="Normal 8 2 4 3 2 4 2" xfId="32450"/>
    <cellStyle name="Normal 8 2 4 3 2 4 2 2" xfId="32451"/>
    <cellStyle name="Normal 8 2 4 3 2 4 3" xfId="32452"/>
    <cellStyle name="Normal 8 2 4 3 2 5" xfId="32453"/>
    <cellStyle name="Normal 8 2 4 3 2 5 2" xfId="32454"/>
    <cellStyle name="Normal 8 2 4 3 2 6" xfId="32455"/>
    <cellStyle name="Normal 8 2 4 3 3" xfId="32456"/>
    <cellStyle name="Normal 8 2 4 3 3 2" xfId="32457"/>
    <cellStyle name="Normal 8 2 4 3 3 2 2" xfId="32458"/>
    <cellStyle name="Normal 8 2 4 3 3 2 2 2" xfId="32459"/>
    <cellStyle name="Normal 8 2 4 3 3 2 3" xfId="32460"/>
    <cellStyle name="Normal 8 2 4 3 3 3" xfId="32461"/>
    <cellStyle name="Normal 8 2 4 3 3 3 2" xfId="32462"/>
    <cellStyle name="Normal 8 2 4 3 3 4" xfId="32463"/>
    <cellStyle name="Normal 8 2 4 3 4" xfId="32464"/>
    <cellStyle name="Normal 8 2 4 3 4 2" xfId="32465"/>
    <cellStyle name="Normal 8 2 4 3 4 2 2" xfId="32466"/>
    <cellStyle name="Normal 8 2 4 3 4 2 2 2" xfId="32467"/>
    <cellStyle name="Normal 8 2 4 3 4 2 3" xfId="32468"/>
    <cellStyle name="Normal 8 2 4 3 4 3" xfId="32469"/>
    <cellStyle name="Normal 8 2 4 3 4 3 2" xfId="32470"/>
    <cellStyle name="Normal 8 2 4 3 4 4" xfId="32471"/>
    <cellStyle name="Normal 8 2 4 3 5" xfId="32472"/>
    <cellStyle name="Normal 8 2 4 3 5 2" xfId="32473"/>
    <cellStyle name="Normal 8 2 4 3 5 2 2" xfId="32474"/>
    <cellStyle name="Normal 8 2 4 3 5 3" xfId="32475"/>
    <cellStyle name="Normal 8 2 4 3 6" xfId="32476"/>
    <cellStyle name="Normal 8 2 4 3 6 2" xfId="32477"/>
    <cellStyle name="Normal 8 2 4 3 7" xfId="32478"/>
    <cellStyle name="Normal 8 2 4 4" xfId="32479"/>
    <cellStyle name="Normal 8 2 4 4 2" xfId="32480"/>
    <cellStyle name="Normal 8 2 4 4 2 2" xfId="32481"/>
    <cellStyle name="Normal 8 2 4 4 2 2 2" xfId="32482"/>
    <cellStyle name="Normal 8 2 4 4 2 2 2 2" xfId="32483"/>
    <cellStyle name="Normal 8 2 4 4 2 2 3" xfId="32484"/>
    <cellStyle name="Normal 8 2 4 4 2 3" xfId="32485"/>
    <cellStyle name="Normal 8 2 4 4 2 3 2" xfId="32486"/>
    <cellStyle name="Normal 8 2 4 4 2 4" xfId="32487"/>
    <cellStyle name="Normal 8 2 4 4 3" xfId="32488"/>
    <cellStyle name="Normal 8 2 4 4 3 2" xfId="32489"/>
    <cellStyle name="Normal 8 2 4 4 3 2 2" xfId="32490"/>
    <cellStyle name="Normal 8 2 4 4 3 2 2 2" xfId="32491"/>
    <cellStyle name="Normal 8 2 4 4 3 2 3" xfId="32492"/>
    <cellStyle name="Normal 8 2 4 4 3 3" xfId="32493"/>
    <cellStyle name="Normal 8 2 4 4 3 3 2" xfId="32494"/>
    <cellStyle name="Normal 8 2 4 4 3 4" xfId="32495"/>
    <cellStyle name="Normal 8 2 4 4 4" xfId="32496"/>
    <cellStyle name="Normal 8 2 4 4 4 2" xfId="32497"/>
    <cellStyle name="Normal 8 2 4 4 4 2 2" xfId="32498"/>
    <cellStyle name="Normal 8 2 4 4 4 3" xfId="32499"/>
    <cellStyle name="Normal 8 2 4 4 5" xfId="32500"/>
    <cellStyle name="Normal 8 2 4 4 5 2" xfId="32501"/>
    <cellStyle name="Normal 8 2 4 4 6" xfId="32502"/>
    <cellStyle name="Normal 8 2 4 5" xfId="32503"/>
    <cellStyle name="Normal 8 2 4 5 2" xfId="32504"/>
    <cellStyle name="Normal 8 2 4 5 2 2" xfId="32505"/>
    <cellStyle name="Normal 8 2 4 5 2 2 2" xfId="32506"/>
    <cellStyle name="Normal 8 2 4 5 2 3" xfId="32507"/>
    <cellStyle name="Normal 8 2 4 5 3" xfId="32508"/>
    <cellStyle name="Normal 8 2 4 5 3 2" xfId="32509"/>
    <cellStyle name="Normal 8 2 4 5 4" xfId="32510"/>
    <cellStyle name="Normal 8 2 4 6" xfId="32511"/>
    <cellStyle name="Normal 8 2 4 6 2" xfId="32512"/>
    <cellStyle name="Normal 8 2 4 6 2 2" xfId="32513"/>
    <cellStyle name="Normal 8 2 4 6 2 2 2" xfId="32514"/>
    <cellStyle name="Normal 8 2 4 6 2 3" xfId="32515"/>
    <cellStyle name="Normal 8 2 4 6 3" xfId="32516"/>
    <cellStyle name="Normal 8 2 4 6 3 2" xfId="32517"/>
    <cellStyle name="Normal 8 2 4 6 4" xfId="32518"/>
    <cellStyle name="Normal 8 2 4 7" xfId="32519"/>
    <cellStyle name="Normal 8 2 4 7 2" xfId="32520"/>
    <cellStyle name="Normal 8 2 4 7 2 2" xfId="32521"/>
    <cellStyle name="Normal 8 2 4 7 2 2 2" xfId="32522"/>
    <cellStyle name="Normal 8 2 4 7 2 3" xfId="32523"/>
    <cellStyle name="Normal 8 2 4 7 3" xfId="32524"/>
    <cellStyle name="Normal 8 2 4 7 3 2" xfId="32525"/>
    <cellStyle name="Normal 8 2 4 7 4" xfId="32526"/>
    <cellStyle name="Normal 8 2 4 8" xfId="32527"/>
    <cellStyle name="Normal 8 2 4 8 2" xfId="32528"/>
    <cellStyle name="Normal 8 2 4 8 2 2" xfId="32529"/>
    <cellStyle name="Normal 8 2 4 8 3" xfId="32530"/>
    <cellStyle name="Normal 8 2 4 9" xfId="32531"/>
    <cellStyle name="Normal 8 2 4 9 2" xfId="32532"/>
    <cellStyle name="Normal 8 2 5" xfId="32533"/>
    <cellStyle name="Normal 8 2 5 10" xfId="32534"/>
    <cellStyle name="Normal 8 2 5 2" xfId="32535"/>
    <cellStyle name="Normal 8 2 5 2 2" xfId="32536"/>
    <cellStyle name="Normal 8 2 5 2 2 2" xfId="32537"/>
    <cellStyle name="Normal 8 2 5 2 2 2 2" xfId="32538"/>
    <cellStyle name="Normal 8 2 5 2 2 2 2 2" xfId="32539"/>
    <cellStyle name="Normal 8 2 5 2 2 2 2 2 2" xfId="32540"/>
    <cellStyle name="Normal 8 2 5 2 2 2 2 2 2 2" xfId="32541"/>
    <cellStyle name="Normal 8 2 5 2 2 2 2 2 3" xfId="32542"/>
    <cellStyle name="Normal 8 2 5 2 2 2 2 3" xfId="32543"/>
    <cellStyle name="Normal 8 2 5 2 2 2 2 3 2" xfId="32544"/>
    <cellStyle name="Normal 8 2 5 2 2 2 2 4" xfId="32545"/>
    <cellStyle name="Normal 8 2 5 2 2 2 3" xfId="32546"/>
    <cellStyle name="Normal 8 2 5 2 2 2 3 2" xfId="32547"/>
    <cellStyle name="Normal 8 2 5 2 2 2 3 2 2" xfId="32548"/>
    <cellStyle name="Normal 8 2 5 2 2 2 3 2 2 2" xfId="32549"/>
    <cellStyle name="Normal 8 2 5 2 2 2 3 2 3" xfId="32550"/>
    <cellStyle name="Normal 8 2 5 2 2 2 3 3" xfId="32551"/>
    <cellStyle name="Normal 8 2 5 2 2 2 3 3 2" xfId="32552"/>
    <cellStyle name="Normal 8 2 5 2 2 2 3 4" xfId="32553"/>
    <cellStyle name="Normal 8 2 5 2 2 2 4" xfId="32554"/>
    <cellStyle name="Normal 8 2 5 2 2 2 4 2" xfId="32555"/>
    <cellStyle name="Normal 8 2 5 2 2 2 4 2 2" xfId="32556"/>
    <cellStyle name="Normal 8 2 5 2 2 2 4 3" xfId="32557"/>
    <cellStyle name="Normal 8 2 5 2 2 2 5" xfId="32558"/>
    <cellStyle name="Normal 8 2 5 2 2 2 5 2" xfId="32559"/>
    <cellStyle name="Normal 8 2 5 2 2 2 6" xfId="32560"/>
    <cellStyle name="Normal 8 2 5 2 2 3" xfId="32561"/>
    <cellStyle name="Normal 8 2 5 2 2 3 2" xfId="32562"/>
    <cellStyle name="Normal 8 2 5 2 2 3 2 2" xfId="32563"/>
    <cellStyle name="Normal 8 2 5 2 2 3 2 2 2" xfId="32564"/>
    <cellStyle name="Normal 8 2 5 2 2 3 2 3" xfId="32565"/>
    <cellStyle name="Normal 8 2 5 2 2 3 3" xfId="32566"/>
    <cellStyle name="Normal 8 2 5 2 2 3 3 2" xfId="32567"/>
    <cellStyle name="Normal 8 2 5 2 2 3 4" xfId="32568"/>
    <cellStyle name="Normal 8 2 5 2 2 4" xfId="32569"/>
    <cellStyle name="Normal 8 2 5 2 2 4 2" xfId="32570"/>
    <cellStyle name="Normal 8 2 5 2 2 4 2 2" xfId="32571"/>
    <cellStyle name="Normal 8 2 5 2 2 4 2 2 2" xfId="32572"/>
    <cellStyle name="Normal 8 2 5 2 2 4 2 3" xfId="32573"/>
    <cellStyle name="Normal 8 2 5 2 2 4 3" xfId="32574"/>
    <cellStyle name="Normal 8 2 5 2 2 4 3 2" xfId="32575"/>
    <cellStyle name="Normal 8 2 5 2 2 4 4" xfId="32576"/>
    <cellStyle name="Normal 8 2 5 2 2 5" xfId="32577"/>
    <cellStyle name="Normal 8 2 5 2 2 5 2" xfId="32578"/>
    <cellStyle name="Normal 8 2 5 2 2 5 2 2" xfId="32579"/>
    <cellStyle name="Normal 8 2 5 2 2 5 3" xfId="32580"/>
    <cellStyle name="Normal 8 2 5 2 2 6" xfId="32581"/>
    <cellStyle name="Normal 8 2 5 2 2 6 2" xfId="32582"/>
    <cellStyle name="Normal 8 2 5 2 2 7" xfId="32583"/>
    <cellStyle name="Normal 8 2 5 2 3" xfId="32584"/>
    <cellStyle name="Normal 8 2 5 2 3 2" xfId="32585"/>
    <cellStyle name="Normal 8 2 5 2 3 2 2" xfId="32586"/>
    <cellStyle name="Normal 8 2 5 2 3 2 2 2" xfId="32587"/>
    <cellStyle name="Normal 8 2 5 2 3 2 2 2 2" xfId="32588"/>
    <cellStyle name="Normal 8 2 5 2 3 2 2 3" xfId="32589"/>
    <cellStyle name="Normal 8 2 5 2 3 2 3" xfId="32590"/>
    <cellStyle name="Normal 8 2 5 2 3 2 3 2" xfId="32591"/>
    <cellStyle name="Normal 8 2 5 2 3 2 4" xfId="32592"/>
    <cellStyle name="Normal 8 2 5 2 3 3" xfId="32593"/>
    <cellStyle name="Normal 8 2 5 2 3 3 2" xfId="32594"/>
    <cellStyle name="Normal 8 2 5 2 3 3 2 2" xfId="32595"/>
    <cellStyle name="Normal 8 2 5 2 3 3 2 2 2" xfId="32596"/>
    <cellStyle name="Normal 8 2 5 2 3 3 2 3" xfId="32597"/>
    <cellStyle name="Normal 8 2 5 2 3 3 3" xfId="32598"/>
    <cellStyle name="Normal 8 2 5 2 3 3 3 2" xfId="32599"/>
    <cellStyle name="Normal 8 2 5 2 3 3 4" xfId="32600"/>
    <cellStyle name="Normal 8 2 5 2 3 4" xfId="32601"/>
    <cellStyle name="Normal 8 2 5 2 3 4 2" xfId="32602"/>
    <cellStyle name="Normal 8 2 5 2 3 4 2 2" xfId="32603"/>
    <cellStyle name="Normal 8 2 5 2 3 4 3" xfId="32604"/>
    <cellStyle name="Normal 8 2 5 2 3 5" xfId="32605"/>
    <cellStyle name="Normal 8 2 5 2 3 5 2" xfId="32606"/>
    <cellStyle name="Normal 8 2 5 2 3 6" xfId="32607"/>
    <cellStyle name="Normal 8 2 5 2 4" xfId="32608"/>
    <cellStyle name="Normal 8 2 5 2 4 2" xfId="32609"/>
    <cellStyle name="Normal 8 2 5 2 4 2 2" xfId="32610"/>
    <cellStyle name="Normal 8 2 5 2 4 2 2 2" xfId="32611"/>
    <cellStyle name="Normal 8 2 5 2 4 2 3" xfId="32612"/>
    <cellStyle name="Normal 8 2 5 2 4 3" xfId="32613"/>
    <cellStyle name="Normal 8 2 5 2 4 3 2" xfId="32614"/>
    <cellStyle name="Normal 8 2 5 2 4 4" xfId="32615"/>
    <cellStyle name="Normal 8 2 5 2 5" xfId="32616"/>
    <cellStyle name="Normal 8 2 5 2 5 2" xfId="32617"/>
    <cellStyle name="Normal 8 2 5 2 5 2 2" xfId="32618"/>
    <cellStyle name="Normal 8 2 5 2 5 2 2 2" xfId="32619"/>
    <cellStyle name="Normal 8 2 5 2 5 2 3" xfId="32620"/>
    <cellStyle name="Normal 8 2 5 2 5 3" xfId="32621"/>
    <cellStyle name="Normal 8 2 5 2 5 3 2" xfId="32622"/>
    <cellStyle name="Normal 8 2 5 2 5 4" xfId="32623"/>
    <cellStyle name="Normal 8 2 5 2 6" xfId="32624"/>
    <cellStyle name="Normal 8 2 5 2 6 2" xfId="32625"/>
    <cellStyle name="Normal 8 2 5 2 6 2 2" xfId="32626"/>
    <cellStyle name="Normal 8 2 5 2 6 2 2 2" xfId="32627"/>
    <cellStyle name="Normal 8 2 5 2 6 2 3" xfId="32628"/>
    <cellStyle name="Normal 8 2 5 2 6 3" xfId="32629"/>
    <cellStyle name="Normal 8 2 5 2 6 3 2" xfId="32630"/>
    <cellStyle name="Normal 8 2 5 2 6 4" xfId="32631"/>
    <cellStyle name="Normal 8 2 5 2 7" xfId="32632"/>
    <cellStyle name="Normal 8 2 5 2 7 2" xfId="32633"/>
    <cellStyle name="Normal 8 2 5 2 7 2 2" xfId="32634"/>
    <cellStyle name="Normal 8 2 5 2 7 3" xfId="32635"/>
    <cellStyle name="Normal 8 2 5 2 8" xfId="32636"/>
    <cellStyle name="Normal 8 2 5 2 8 2" xfId="32637"/>
    <cellStyle name="Normal 8 2 5 2 9" xfId="32638"/>
    <cellStyle name="Normal 8 2 5 3" xfId="32639"/>
    <cellStyle name="Normal 8 2 5 3 2" xfId="32640"/>
    <cellStyle name="Normal 8 2 5 3 2 2" xfId="32641"/>
    <cellStyle name="Normal 8 2 5 3 2 2 2" xfId="32642"/>
    <cellStyle name="Normal 8 2 5 3 2 2 2 2" xfId="32643"/>
    <cellStyle name="Normal 8 2 5 3 2 2 2 2 2" xfId="32644"/>
    <cellStyle name="Normal 8 2 5 3 2 2 2 3" xfId="32645"/>
    <cellStyle name="Normal 8 2 5 3 2 2 3" xfId="32646"/>
    <cellStyle name="Normal 8 2 5 3 2 2 3 2" xfId="32647"/>
    <cellStyle name="Normal 8 2 5 3 2 2 4" xfId="32648"/>
    <cellStyle name="Normal 8 2 5 3 2 3" xfId="32649"/>
    <cellStyle name="Normal 8 2 5 3 2 3 2" xfId="32650"/>
    <cellStyle name="Normal 8 2 5 3 2 3 2 2" xfId="32651"/>
    <cellStyle name="Normal 8 2 5 3 2 3 2 2 2" xfId="32652"/>
    <cellStyle name="Normal 8 2 5 3 2 3 2 3" xfId="32653"/>
    <cellStyle name="Normal 8 2 5 3 2 3 3" xfId="32654"/>
    <cellStyle name="Normal 8 2 5 3 2 3 3 2" xfId="32655"/>
    <cellStyle name="Normal 8 2 5 3 2 3 4" xfId="32656"/>
    <cellStyle name="Normal 8 2 5 3 2 4" xfId="32657"/>
    <cellStyle name="Normal 8 2 5 3 2 4 2" xfId="32658"/>
    <cellStyle name="Normal 8 2 5 3 2 4 2 2" xfId="32659"/>
    <cellStyle name="Normal 8 2 5 3 2 4 3" xfId="32660"/>
    <cellStyle name="Normal 8 2 5 3 2 5" xfId="32661"/>
    <cellStyle name="Normal 8 2 5 3 2 5 2" xfId="32662"/>
    <cellStyle name="Normal 8 2 5 3 2 6" xfId="32663"/>
    <cellStyle name="Normal 8 2 5 3 3" xfId="32664"/>
    <cellStyle name="Normal 8 2 5 3 3 2" xfId="32665"/>
    <cellStyle name="Normal 8 2 5 3 3 2 2" xfId="32666"/>
    <cellStyle name="Normal 8 2 5 3 3 2 2 2" xfId="32667"/>
    <cellStyle name="Normal 8 2 5 3 3 2 3" xfId="32668"/>
    <cellStyle name="Normal 8 2 5 3 3 3" xfId="32669"/>
    <cellStyle name="Normal 8 2 5 3 3 3 2" xfId="32670"/>
    <cellStyle name="Normal 8 2 5 3 3 4" xfId="32671"/>
    <cellStyle name="Normal 8 2 5 3 4" xfId="32672"/>
    <cellStyle name="Normal 8 2 5 3 4 2" xfId="32673"/>
    <cellStyle name="Normal 8 2 5 3 4 2 2" xfId="32674"/>
    <cellStyle name="Normal 8 2 5 3 4 2 2 2" xfId="32675"/>
    <cellStyle name="Normal 8 2 5 3 4 2 3" xfId="32676"/>
    <cellStyle name="Normal 8 2 5 3 4 3" xfId="32677"/>
    <cellStyle name="Normal 8 2 5 3 4 3 2" xfId="32678"/>
    <cellStyle name="Normal 8 2 5 3 4 4" xfId="32679"/>
    <cellStyle name="Normal 8 2 5 3 5" xfId="32680"/>
    <cellStyle name="Normal 8 2 5 3 5 2" xfId="32681"/>
    <cellStyle name="Normal 8 2 5 3 5 2 2" xfId="32682"/>
    <cellStyle name="Normal 8 2 5 3 5 3" xfId="32683"/>
    <cellStyle name="Normal 8 2 5 3 6" xfId="32684"/>
    <cellStyle name="Normal 8 2 5 3 6 2" xfId="32685"/>
    <cellStyle name="Normal 8 2 5 3 7" xfId="32686"/>
    <cellStyle name="Normal 8 2 5 4" xfId="32687"/>
    <cellStyle name="Normal 8 2 5 4 2" xfId="32688"/>
    <cellStyle name="Normal 8 2 5 4 2 2" xfId="32689"/>
    <cellStyle name="Normal 8 2 5 4 2 2 2" xfId="32690"/>
    <cellStyle name="Normal 8 2 5 4 2 2 2 2" xfId="32691"/>
    <cellStyle name="Normal 8 2 5 4 2 2 3" xfId="32692"/>
    <cellStyle name="Normal 8 2 5 4 2 3" xfId="32693"/>
    <cellStyle name="Normal 8 2 5 4 2 3 2" xfId="32694"/>
    <cellStyle name="Normal 8 2 5 4 2 4" xfId="32695"/>
    <cellStyle name="Normal 8 2 5 4 3" xfId="32696"/>
    <cellStyle name="Normal 8 2 5 4 3 2" xfId="32697"/>
    <cellStyle name="Normal 8 2 5 4 3 2 2" xfId="32698"/>
    <cellStyle name="Normal 8 2 5 4 3 2 2 2" xfId="32699"/>
    <cellStyle name="Normal 8 2 5 4 3 2 3" xfId="32700"/>
    <cellStyle name="Normal 8 2 5 4 3 3" xfId="32701"/>
    <cellStyle name="Normal 8 2 5 4 3 3 2" xfId="32702"/>
    <cellStyle name="Normal 8 2 5 4 3 4" xfId="32703"/>
    <cellStyle name="Normal 8 2 5 4 4" xfId="32704"/>
    <cellStyle name="Normal 8 2 5 4 4 2" xfId="32705"/>
    <cellStyle name="Normal 8 2 5 4 4 2 2" xfId="32706"/>
    <cellStyle name="Normal 8 2 5 4 4 3" xfId="32707"/>
    <cellStyle name="Normal 8 2 5 4 5" xfId="32708"/>
    <cellStyle name="Normal 8 2 5 4 5 2" xfId="32709"/>
    <cellStyle name="Normal 8 2 5 4 6" xfId="32710"/>
    <cellStyle name="Normal 8 2 5 5" xfId="32711"/>
    <cellStyle name="Normal 8 2 5 5 2" xfId="32712"/>
    <cellStyle name="Normal 8 2 5 5 2 2" xfId="32713"/>
    <cellStyle name="Normal 8 2 5 5 2 2 2" xfId="32714"/>
    <cellStyle name="Normal 8 2 5 5 2 3" xfId="32715"/>
    <cellStyle name="Normal 8 2 5 5 3" xfId="32716"/>
    <cellStyle name="Normal 8 2 5 5 3 2" xfId="32717"/>
    <cellStyle name="Normal 8 2 5 5 4" xfId="32718"/>
    <cellStyle name="Normal 8 2 5 6" xfId="32719"/>
    <cellStyle name="Normal 8 2 5 6 2" xfId="32720"/>
    <cellStyle name="Normal 8 2 5 6 2 2" xfId="32721"/>
    <cellStyle name="Normal 8 2 5 6 2 2 2" xfId="32722"/>
    <cellStyle name="Normal 8 2 5 6 2 3" xfId="32723"/>
    <cellStyle name="Normal 8 2 5 6 3" xfId="32724"/>
    <cellStyle name="Normal 8 2 5 6 3 2" xfId="32725"/>
    <cellStyle name="Normal 8 2 5 6 4" xfId="32726"/>
    <cellStyle name="Normal 8 2 5 7" xfId="32727"/>
    <cellStyle name="Normal 8 2 5 7 2" xfId="32728"/>
    <cellStyle name="Normal 8 2 5 7 2 2" xfId="32729"/>
    <cellStyle name="Normal 8 2 5 7 2 2 2" xfId="32730"/>
    <cellStyle name="Normal 8 2 5 7 2 3" xfId="32731"/>
    <cellStyle name="Normal 8 2 5 7 3" xfId="32732"/>
    <cellStyle name="Normal 8 2 5 7 3 2" xfId="32733"/>
    <cellStyle name="Normal 8 2 5 7 4" xfId="32734"/>
    <cellStyle name="Normal 8 2 5 8" xfId="32735"/>
    <cellStyle name="Normal 8 2 5 8 2" xfId="32736"/>
    <cellStyle name="Normal 8 2 5 8 2 2" xfId="32737"/>
    <cellStyle name="Normal 8 2 5 8 3" xfId="32738"/>
    <cellStyle name="Normal 8 2 5 9" xfId="32739"/>
    <cellStyle name="Normal 8 2 5 9 2" xfId="32740"/>
    <cellStyle name="Normal 8 2 6" xfId="32741"/>
    <cellStyle name="Normal 8 2 6 2" xfId="32742"/>
    <cellStyle name="Normal 8 2 6 2 2" xfId="32743"/>
    <cellStyle name="Normal 8 2 6 2 2 2" xfId="32744"/>
    <cellStyle name="Normal 8 2 6 2 2 2 2" xfId="32745"/>
    <cellStyle name="Normal 8 2 6 2 2 2 2 2" xfId="32746"/>
    <cellStyle name="Normal 8 2 6 2 2 2 2 2 2" xfId="32747"/>
    <cellStyle name="Normal 8 2 6 2 2 2 2 3" xfId="32748"/>
    <cellStyle name="Normal 8 2 6 2 2 2 3" xfId="32749"/>
    <cellStyle name="Normal 8 2 6 2 2 2 3 2" xfId="32750"/>
    <cellStyle name="Normal 8 2 6 2 2 2 4" xfId="32751"/>
    <cellStyle name="Normal 8 2 6 2 2 3" xfId="32752"/>
    <cellStyle name="Normal 8 2 6 2 2 3 2" xfId="32753"/>
    <cellStyle name="Normal 8 2 6 2 2 3 2 2" xfId="32754"/>
    <cellStyle name="Normal 8 2 6 2 2 3 2 2 2" xfId="32755"/>
    <cellStyle name="Normal 8 2 6 2 2 3 2 3" xfId="32756"/>
    <cellStyle name="Normal 8 2 6 2 2 3 3" xfId="32757"/>
    <cellStyle name="Normal 8 2 6 2 2 3 3 2" xfId="32758"/>
    <cellStyle name="Normal 8 2 6 2 2 3 4" xfId="32759"/>
    <cellStyle name="Normal 8 2 6 2 2 4" xfId="32760"/>
    <cellStyle name="Normal 8 2 6 2 2 4 2" xfId="32761"/>
    <cellStyle name="Normal 8 2 6 2 2 4 2 2" xfId="32762"/>
    <cellStyle name="Normal 8 2 6 2 2 4 3" xfId="32763"/>
    <cellStyle name="Normal 8 2 6 2 2 5" xfId="32764"/>
    <cellStyle name="Normal 8 2 6 2 2 5 2" xfId="32765"/>
    <cellStyle name="Normal 8 2 6 2 2 6" xfId="32766"/>
    <cellStyle name="Normal 8 2 6 2 3" xfId="32767"/>
    <cellStyle name="Normal 8 2 6 2 3 2" xfId="32768"/>
    <cellStyle name="Normal 8 2 6 2 3 2 2" xfId="32769"/>
    <cellStyle name="Normal 8 2 6 2 3 2 2 2" xfId="32770"/>
    <cellStyle name="Normal 8 2 6 2 3 2 3" xfId="32771"/>
    <cellStyle name="Normal 8 2 6 2 3 3" xfId="32772"/>
    <cellStyle name="Normal 8 2 6 2 3 3 2" xfId="32773"/>
    <cellStyle name="Normal 8 2 6 2 3 4" xfId="32774"/>
    <cellStyle name="Normal 8 2 6 2 4" xfId="32775"/>
    <cellStyle name="Normal 8 2 6 2 4 2" xfId="32776"/>
    <cellStyle name="Normal 8 2 6 2 4 2 2" xfId="32777"/>
    <cellStyle name="Normal 8 2 6 2 4 2 2 2" xfId="32778"/>
    <cellStyle name="Normal 8 2 6 2 4 2 3" xfId="32779"/>
    <cellStyle name="Normal 8 2 6 2 4 3" xfId="32780"/>
    <cellStyle name="Normal 8 2 6 2 4 3 2" xfId="32781"/>
    <cellStyle name="Normal 8 2 6 2 4 4" xfId="32782"/>
    <cellStyle name="Normal 8 2 6 2 5" xfId="32783"/>
    <cellStyle name="Normal 8 2 6 2 5 2" xfId="32784"/>
    <cellStyle name="Normal 8 2 6 2 5 2 2" xfId="32785"/>
    <cellStyle name="Normal 8 2 6 2 5 3" xfId="32786"/>
    <cellStyle name="Normal 8 2 6 2 6" xfId="32787"/>
    <cellStyle name="Normal 8 2 6 2 6 2" xfId="32788"/>
    <cellStyle name="Normal 8 2 6 2 7" xfId="32789"/>
    <cellStyle name="Normal 8 2 6 3" xfId="32790"/>
    <cellStyle name="Normal 8 2 6 3 2" xfId="32791"/>
    <cellStyle name="Normal 8 2 6 3 2 2" xfId="32792"/>
    <cellStyle name="Normal 8 2 6 3 2 2 2" xfId="32793"/>
    <cellStyle name="Normal 8 2 6 3 2 2 2 2" xfId="32794"/>
    <cellStyle name="Normal 8 2 6 3 2 2 3" xfId="32795"/>
    <cellStyle name="Normal 8 2 6 3 2 3" xfId="32796"/>
    <cellStyle name="Normal 8 2 6 3 2 3 2" xfId="32797"/>
    <cellStyle name="Normal 8 2 6 3 2 4" xfId="32798"/>
    <cellStyle name="Normal 8 2 6 3 3" xfId="32799"/>
    <cellStyle name="Normal 8 2 6 3 3 2" xfId="32800"/>
    <cellStyle name="Normal 8 2 6 3 3 2 2" xfId="32801"/>
    <cellStyle name="Normal 8 2 6 3 3 2 2 2" xfId="32802"/>
    <cellStyle name="Normal 8 2 6 3 3 2 3" xfId="32803"/>
    <cellStyle name="Normal 8 2 6 3 3 3" xfId="32804"/>
    <cellStyle name="Normal 8 2 6 3 3 3 2" xfId="32805"/>
    <cellStyle name="Normal 8 2 6 3 3 4" xfId="32806"/>
    <cellStyle name="Normal 8 2 6 3 4" xfId="32807"/>
    <cellStyle name="Normal 8 2 6 3 4 2" xfId="32808"/>
    <cellStyle name="Normal 8 2 6 3 4 2 2" xfId="32809"/>
    <cellStyle name="Normal 8 2 6 3 4 3" xfId="32810"/>
    <cellStyle name="Normal 8 2 6 3 5" xfId="32811"/>
    <cellStyle name="Normal 8 2 6 3 5 2" xfId="32812"/>
    <cellStyle name="Normal 8 2 6 3 6" xfId="32813"/>
    <cellStyle name="Normal 8 2 6 4" xfId="32814"/>
    <cellStyle name="Normal 8 2 6 4 2" xfId="32815"/>
    <cellStyle name="Normal 8 2 6 4 2 2" xfId="32816"/>
    <cellStyle name="Normal 8 2 6 4 2 2 2" xfId="32817"/>
    <cellStyle name="Normal 8 2 6 4 2 3" xfId="32818"/>
    <cellStyle name="Normal 8 2 6 4 3" xfId="32819"/>
    <cellStyle name="Normal 8 2 6 4 3 2" xfId="32820"/>
    <cellStyle name="Normal 8 2 6 4 4" xfId="32821"/>
    <cellStyle name="Normal 8 2 6 5" xfId="32822"/>
    <cellStyle name="Normal 8 2 6 5 2" xfId="32823"/>
    <cellStyle name="Normal 8 2 6 5 2 2" xfId="32824"/>
    <cellStyle name="Normal 8 2 6 5 2 2 2" xfId="32825"/>
    <cellStyle name="Normal 8 2 6 5 2 3" xfId="32826"/>
    <cellStyle name="Normal 8 2 6 5 3" xfId="32827"/>
    <cellStyle name="Normal 8 2 6 5 3 2" xfId="32828"/>
    <cellStyle name="Normal 8 2 6 5 4" xfId="32829"/>
    <cellStyle name="Normal 8 2 6 6" xfId="32830"/>
    <cellStyle name="Normal 8 2 6 6 2" xfId="32831"/>
    <cellStyle name="Normal 8 2 6 6 2 2" xfId="32832"/>
    <cellStyle name="Normal 8 2 6 6 2 2 2" xfId="32833"/>
    <cellStyle name="Normal 8 2 6 6 2 3" xfId="32834"/>
    <cellStyle name="Normal 8 2 6 6 3" xfId="32835"/>
    <cellStyle name="Normal 8 2 6 6 3 2" xfId="32836"/>
    <cellStyle name="Normal 8 2 6 6 4" xfId="32837"/>
    <cellStyle name="Normal 8 2 6 7" xfId="32838"/>
    <cellStyle name="Normal 8 2 6 7 2" xfId="32839"/>
    <cellStyle name="Normal 8 2 6 7 2 2" xfId="32840"/>
    <cellStyle name="Normal 8 2 6 7 3" xfId="32841"/>
    <cellStyle name="Normal 8 2 6 8" xfId="32842"/>
    <cellStyle name="Normal 8 2 6 8 2" xfId="32843"/>
    <cellStyle name="Normal 8 2 6 9" xfId="32844"/>
    <cellStyle name="Normal 8 2 7" xfId="32845"/>
    <cellStyle name="Normal 8 2 7 2" xfId="32846"/>
    <cellStyle name="Normal 8 2 7 2 2" xfId="32847"/>
    <cellStyle name="Normal 8 2 7 2 2 2" xfId="32848"/>
    <cellStyle name="Normal 8 2 7 2 2 2 2" xfId="32849"/>
    <cellStyle name="Normal 8 2 7 2 2 2 2 2" xfId="32850"/>
    <cellStyle name="Normal 8 2 7 2 2 2 3" xfId="32851"/>
    <cellStyle name="Normal 8 2 7 2 2 3" xfId="32852"/>
    <cellStyle name="Normal 8 2 7 2 2 3 2" xfId="32853"/>
    <cellStyle name="Normal 8 2 7 2 2 4" xfId="32854"/>
    <cellStyle name="Normal 8 2 7 2 3" xfId="32855"/>
    <cellStyle name="Normal 8 2 7 2 3 2" xfId="32856"/>
    <cellStyle name="Normal 8 2 7 2 3 2 2" xfId="32857"/>
    <cellStyle name="Normal 8 2 7 2 3 2 2 2" xfId="32858"/>
    <cellStyle name="Normal 8 2 7 2 3 2 3" xfId="32859"/>
    <cellStyle name="Normal 8 2 7 2 3 3" xfId="32860"/>
    <cellStyle name="Normal 8 2 7 2 3 3 2" xfId="32861"/>
    <cellStyle name="Normal 8 2 7 2 3 4" xfId="32862"/>
    <cellStyle name="Normal 8 2 7 2 4" xfId="32863"/>
    <cellStyle name="Normal 8 2 7 2 4 2" xfId="32864"/>
    <cellStyle name="Normal 8 2 7 2 4 2 2" xfId="32865"/>
    <cellStyle name="Normal 8 2 7 2 4 3" xfId="32866"/>
    <cellStyle name="Normal 8 2 7 2 5" xfId="32867"/>
    <cellStyle name="Normal 8 2 7 2 5 2" xfId="32868"/>
    <cellStyle name="Normal 8 2 7 2 6" xfId="32869"/>
    <cellStyle name="Normal 8 2 7 3" xfId="32870"/>
    <cellStyle name="Normal 8 2 7 3 2" xfId="32871"/>
    <cellStyle name="Normal 8 2 7 3 2 2" xfId="32872"/>
    <cellStyle name="Normal 8 2 7 3 2 2 2" xfId="32873"/>
    <cellStyle name="Normal 8 2 7 3 2 3" xfId="32874"/>
    <cellStyle name="Normal 8 2 7 3 3" xfId="32875"/>
    <cellStyle name="Normal 8 2 7 3 3 2" xfId="32876"/>
    <cellStyle name="Normal 8 2 7 3 4" xfId="32877"/>
    <cellStyle name="Normal 8 2 7 4" xfId="32878"/>
    <cellStyle name="Normal 8 2 7 4 2" xfId="32879"/>
    <cellStyle name="Normal 8 2 7 4 2 2" xfId="32880"/>
    <cellStyle name="Normal 8 2 7 4 2 2 2" xfId="32881"/>
    <cellStyle name="Normal 8 2 7 4 2 3" xfId="32882"/>
    <cellStyle name="Normal 8 2 7 4 3" xfId="32883"/>
    <cellStyle name="Normal 8 2 7 4 3 2" xfId="32884"/>
    <cellStyle name="Normal 8 2 7 4 4" xfId="32885"/>
    <cellStyle name="Normal 8 2 7 5" xfId="32886"/>
    <cellStyle name="Normal 8 2 7 5 2" xfId="32887"/>
    <cellStyle name="Normal 8 2 7 5 2 2" xfId="32888"/>
    <cellStyle name="Normal 8 2 7 5 3" xfId="32889"/>
    <cellStyle name="Normal 8 2 7 6" xfId="32890"/>
    <cellStyle name="Normal 8 2 7 6 2" xfId="32891"/>
    <cellStyle name="Normal 8 2 7 7" xfId="32892"/>
    <cellStyle name="Normal 8 2 8" xfId="32893"/>
    <cellStyle name="Normal 8 2 8 2" xfId="32894"/>
    <cellStyle name="Normal 8 2 8 2 2" xfId="32895"/>
    <cellStyle name="Normal 8 2 8 2 2 2" xfId="32896"/>
    <cellStyle name="Normal 8 2 8 2 2 2 2" xfId="32897"/>
    <cellStyle name="Normal 8 2 8 2 2 3" xfId="32898"/>
    <cellStyle name="Normal 8 2 8 2 3" xfId="32899"/>
    <cellStyle name="Normal 8 2 8 2 3 2" xfId="32900"/>
    <cellStyle name="Normal 8 2 8 2 4" xfId="32901"/>
    <cellStyle name="Normal 8 2 8 3" xfId="32902"/>
    <cellStyle name="Normal 8 2 8 3 2" xfId="32903"/>
    <cellStyle name="Normal 8 2 8 3 2 2" xfId="32904"/>
    <cellStyle name="Normal 8 2 8 3 2 2 2" xfId="32905"/>
    <cellStyle name="Normal 8 2 8 3 2 3" xfId="32906"/>
    <cellStyle name="Normal 8 2 8 3 3" xfId="32907"/>
    <cellStyle name="Normal 8 2 8 3 3 2" xfId="32908"/>
    <cellStyle name="Normal 8 2 8 3 4" xfId="32909"/>
    <cellStyle name="Normal 8 2 8 4" xfId="32910"/>
    <cellStyle name="Normal 8 2 8 4 2" xfId="32911"/>
    <cellStyle name="Normal 8 2 8 4 2 2" xfId="32912"/>
    <cellStyle name="Normal 8 2 8 4 3" xfId="32913"/>
    <cellStyle name="Normal 8 2 8 5" xfId="32914"/>
    <cellStyle name="Normal 8 2 8 5 2" xfId="32915"/>
    <cellStyle name="Normal 8 2 8 6" xfId="32916"/>
    <cellStyle name="Normal 8 2 9" xfId="32917"/>
    <cellStyle name="Normal 8 2 9 2" xfId="32918"/>
    <cellStyle name="Normal 8 2 9 2 2" xfId="32919"/>
    <cellStyle name="Normal 8 2 9 2 2 2" xfId="32920"/>
    <cellStyle name="Normal 8 2 9 2 3" xfId="32921"/>
    <cellStyle name="Normal 8 2 9 3" xfId="32922"/>
    <cellStyle name="Normal 8 2 9 3 2" xfId="32923"/>
    <cellStyle name="Normal 8 2 9 4" xfId="32924"/>
    <cellStyle name="Normal 8 3" xfId="32925"/>
    <cellStyle name="Normal 8 3 10" xfId="32926"/>
    <cellStyle name="Normal 8 3 10 2" xfId="32927"/>
    <cellStyle name="Normal 8 3 10 2 2" xfId="32928"/>
    <cellStyle name="Normal 8 3 10 2 2 2" xfId="32929"/>
    <cellStyle name="Normal 8 3 10 2 3" xfId="32930"/>
    <cellStyle name="Normal 8 3 10 3" xfId="32931"/>
    <cellStyle name="Normal 8 3 10 3 2" xfId="32932"/>
    <cellStyle name="Normal 8 3 10 4" xfId="32933"/>
    <cellStyle name="Normal 8 3 11" xfId="32934"/>
    <cellStyle name="Normal 8 3 11 2" xfId="32935"/>
    <cellStyle name="Normal 8 3 11 2 2" xfId="32936"/>
    <cellStyle name="Normal 8 3 11 3" xfId="32937"/>
    <cellStyle name="Normal 8 3 12" xfId="32938"/>
    <cellStyle name="Normal 8 3 12 2" xfId="32939"/>
    <cellStyle name="Normal 8 3 13" xfId="32940"/>
    <cellStyle name="Normal 8 3 2" xfId="32941"/>
    <cellStyle name="Normal 8 3 2 10" xfId="32942"/>
    <cellStyle name="Normal 8 3 2 10 2" xfId="32943"/>
    <cellStyle name="Normal 8 3 2 11" xfId="32944"/>
    <cellStyle name="Normal 8 3 2 2" xfId="32945"/>
    <cellStyle name="Normal 8 3 2 2 10" xfId="32946"/>
    <cellStyle name="Normal 8 3 2 2 2" xfId="32947"/>
    <cellStyle name="Normal 8 3 2 2 2 2" xfId="32948"/>
    <cellStyle name="Normal 8 3 2 2 2 2 2" xfId="32949"/>
    <cellStyle name="Normal 8 3 2 2 2 2 2 2" xfId="32950"/>
    <cellStyle name="Normal 8 3 2 2 2 2 2 2 2" xfId="32951"/>
    <cellStyle name="Normal 8 3 2 2 2 2 2 2 2 2" xfId="32952"/>
    <cellStyle name="Normal 8 3 2 2 2 2 2 2 2 2 2" xfId="32953"/>
    <cellStyle name="Normal 8 3 2 2 2 2 2 2 2 3" xfId="32954"/>
    <cellStyle name="Normal 8 3 2 2 2 2 2 2 3" xfId="32955"/>
    <cellStyle name="Normal 8 3 2 2 2 2 2 2 3 2" xfId="32956"/>
    <cellStyle name="Normal 8 3 2 2 2 2 2 2 4" xfId="32957"/>
    <cellStyle name="Normal 8 3 2 2 2 2 2 3" xfId="32958"/>
    <cellStyle name="Normal 8 3 2 2 2 2 2 3 2" xfId="32959"/>
    <cellStyle name="Normal 8 3 2 2 2 2 2 3 2 2" xfId="32960"/>
    <cellStyle name="Normal 8 3 2 2 2 2 2 3 2 2 2" xfId="32961"/>
    <cellStyle name="Normal 8 3 2 2 2 2 2 3 2 3" xfId="32962"/>
    <cellStyle name="Normal 8 3 2 2 2 2 2 3 3" xfId="32963"/>
    <cellStyle name="Normal 8 3 2 2 2 2 2 3 3 2" xfId="32964"/>
    <cellStyle name="Normal 8 3 2 2 2 2 2 3 4" xfId="32965"/>
    <cellStyle name="Normal 8 3 2 2 2 2 2 4" xfId="32966"/>
    <cellStyle name="Normal 8 3 2 2 2 2 2 4 2" xfId="32967"/>
    <cellStyle name="Normal 8 3 2 2 2 2 2 4 2 2" xfId="32968"/>
    <cellStyle name="Normal 8 3 2 2 2 2 2 4 3" xfId="32969"/>
    <cellStyle name="Normal 8 3 2 2 2 2 2 5" xfId="32970"/>
    <cellStyle name="Normal 8 3 2 2 2 2 2 5 2" xfId="32971"/>
    <cellStyle name="Normal 8 3 2 2 2 2 2 6" xfId="32972"/>
    <cellStyle name="Normal 8 3 2 2 2 2 3" xfId="32973"/>
    <cellStyle name="Normal 8 3 2 2 2 2 3 2" xfId="32974"/>
    <cellStyle name="Normal 8 3 2 2 2 2 3 2 2" xfId="32975"/>
    <cellStyle name="Normal 8 3 2 2 2 2 3 2 2 2" xfId="32976"/>
    <cellStyle name="Normal 8 3 2 2 2 2 3 2 3" xfId="32977"/>
    <cellStyle name="Normal 8 3 2 2 2 2 3 3" xfId="32978"/>
    <cellStyle name="Normal 8 3 2 2 2 2 3 3 2" xfId="32979"/>
    <cellStyle name="Normal 8 3 2 2 2 2 3 4" xfId="32980"/>
    <cellStyle name="Normal 8 3 2 2 2 2 4" xfId="32981"/>
    <cellStyle name="Normal 8 3 2 2 2 2 4 2" xfId="32982"/>
    <cellStyle name="Normal 8 3 2 2 2 2 4 2 2" xfId="32983"/>
    <cellStyle name="Normal 8 3 2 2 2 2 4 2 2 2" xfId="32984"/>
    <cellStyle name="Normal 8 3 2 2 2 2 4 2 3" xfId="32985"/>
    <cellStyle name="Normal 8 3 2 2 2 2 4 3" xfId="32986"/>
    <cellStyle name="Normal 8 3 2 2 2 2 4 3 2" xfId="32987"/>
    <cellStyle name="Normal 8 3 2 2 2 2 4 4" xfId="32988"/>
    <cellStyle name="Normal 8 3 2 2 2 2 5" xfId="32989"/>
    <cellStyle name="Normal 8 3 2 2 2 2 5 2" xfId="32990"/>
    <cellStyle name="Normal 8 3 2 2 2 2 5 2 2" xfId="32991"/>
    <cellStyle name="Normal 8 3 2 2 2 2 5 3" xfId="32992"/>
    <cellStyle name="Normal 8 3 2 2 2 2 6" xfId="32993"/>
    <cellStyle name="Normal 8 3 2 2 2 2 6 2" xfId="32994"/>
    <cellStyle name="Normal 8 3 2 2 2 2 7" xfId="32995"/>
    <cellStyle name="Normal 8 3 2 2 2 3" xfId="32996"/>
    <cellStyle name="Normal 8 3 2 2 2 3 2" xfId="32997"/>
    <cellStyle name="Normal 8 3 2 2 2 3 2 2" xfId="32998"/>
    <cellStyle name="Normal 8 3 2 2 2 3 2 2 2" xfId="32999"/>
    <cellStyle name="Normal 8 3 2 2 2 3 2 2 2 2" xfId="33000"/>
    <cellStyle name="Normal 8 3 2 2 2 3 2 2 3" xfId="33001"/>
    <cellStyle name="Normal 8 3 2 2 2 3 2 3" xfId="33002"/>
    <cellStyle name="Normal 8 3 2 2 2 3 2 3 2" xfId="33003"/>
    <cellStyle name="Normal 8 3 2 2 2 3 2 4" xfId="33004"/>
    <cellStyle name="Normal 8 3 2 2 2 3 3" xfId="33005"/>
    <cellStyle name="Normal 8 3 2 2 2 3 3 2" xfId="33006"/>
    <cellStyle name="Normal 8 3 2 2 2 3 3 2 2" xfId="33007"/>
    <cellStyle name="Normal 8 3 2 2 2 3 3 2 2 2" xfId="33008"/>
    <cellStyle name="Normal 8 3 2 2 2 3 3 2 3" xfId="33009"/>
    <cellStyle name="Normal 8 3 2 2 2 3 3 3" xfId="33010"/>
    <cellStyle name="Normal 8 3 2 2 2 3 3 3 2" xfId="33011"/>
    <cellStyle name="Normal 8 3 2 2 2 3 3 4" xfId="33012"/>
    <cellStyle name="Normal 8 3 2 2 2 3 4" xfId="33013"/>
    <cellStyle name="Normal 8 3 2 2 2 3 4 2" xfId="33014"/>
    <cellStyle name="Normal 8 3 2 2 2 3 4 2 2" xfId="33015"/>
    <cellStyle name="Normal 8 3 2 2 2 3 4 3" xfId="33016"/>
    <cellStyle name="Normal 8 3 2 2 2 3 5" xfId="33017"/>
    <cellStyle name="Normal 8 3 2 2 2 3 5 2" xfId="33018"/>
    <cellStyle name="Normal 8 3 2 2 2 3 6" xfId="33019"/>
    <cellStyle name="Normal 8 3 2 2 2 4" xfId="33020"/>
    <cellStyle name="Normal 8 3 2 2 2 4 2" xfId="33021"/>
    <cellStyle name="Normal 8 3 2 2 2 4 2 2" xfId="33022"/>
    <cellStyle name="Normal 8 3 2 2 2 4 2 2 2" xfId="33023"/>
    <cellStyle name="Normal 8 3 2 2 2 4 2 3" xfId="33024"/>
    <cellStyle name="Normal 8 3 2 2 2 4 3" xfId="33025"/>
    <cellStyle name="Normal 8 3 2 2 2 4 3 2" xfId="33026"/>
    <cellStyle name="Normal 8 3 2 2 2 4 4" xfId="33027"/>
    <cellStyle name="Normal 8 3 2 2 2 5" xfId="33028"/>
    <cellStyle name="Normal 8 3 2 2 2 5 2" xfId="33029"/>
    <cellStyle name="Normal 8 3 2 2 2 5 2 2" xfId="33030"/>
    <cellStyle name="Normal 8 3 2 2 2 5 2 2 2" xfId="33031"/>
    <cellStyle name="Normal 8 3 2 2 2 5 2 3" xfId="33032"/>
    <cellStyle name="Normal 8 3 2 2 2 5 3" xfId="33033"/>
    <cellStyle name="Normal 8 3 2 2 2 5 3 2" xfId="33034"/>
    <cellStyle name="Normal 8 3 2 2 2 5 4" xfId="33035"/>
    <cellStyle name="Normal 8 3 2 2 2 6" xfId="33036"/>
    <cellStyle name="Normal 8 3 2 2 2 6 2" xfId="33037"/>
    <cellStyle name="Normal 8 3 2 2 2 6 2 2" xfId="33038"/>
    <cellStyle name="Normal 8 3 2 2 2 6 2 2 2" xfId="33039"/>
    <cellStyle name="Normal 8 3 2 2 2 6 2 3" xfId="33040"/>
    <cellStyle name="Normal 8 3 2 2 2 6 3" xfId="33041"/>
    <cellStyle name="Normal 8 3 2 2 2 6 3 2" xfId="33042"/>
    <cellStyle name="Normal 8 3 2 2 2 6 4" xfId="33043"/>
    <cellStyle name="Normal 8 3 2 2 2 7" xfId="33044"/>
    <cellStyle name="Normal 8 3 2 2 2 7 2" xfId="33045"/>
    <cellStyle name="Normal 8 3 2 2 2 7 2 2" xfId="33046"/>
    <cellStyle name="Normal 8 3 2 2 2 7 3" xfId="33047"/>
    <cellStyle name="Normal 8 3 2 2 2 8" xfId="33048"/>
    <cellStyle name="Normal 8 3 2 2 2 8 2" xfId="33049"/>
    <cellStyle name="Normal 8 3 2 2 2 9" xfId="33050"/>
    <cellStyle name="Normal 8 3 2 2 3" xfId="33051"/>
    <cellStyle name="Normal 8 3 2 2 3 2" xfId="33052"/>
    <cellStyle name="Normal 8 3 2 2 3 2 2" xfId="33053"/>
    <cellStyle name="Normal 8 3 2 2 3 2 2 2" xfId="33054"/>
    <cellStyle name="Normal 8 3 2 2 3 2 2 2 2" xfId="33055"/>
    <cellStyle name="Normal 8 3 2 2 3 2 2 2 2 2" xfId="33056"/>
    <cellStyle name="Normal 8 3 2 2 3 2 2 2 3" xfId="33057"/>
    <cellStyle name="Normal 8 3 2 2 3 2 2 3" xfId="33058"/>
    <cellStyle name="Normal 8 3 2 2 3 2 2 3 2" xfId="33059"/>
    <cellStyle name="Normal 8 3 2 2 3 2 2 4" xfId="33060"/>
    <cellStyle name="Normal 8 3 2 2 3 2 3" xfId="33061"/>
    <cellStyle name="Normal 8 3 2 2 3 2 3 2" xfId="33062"/>
    <cellStyle name="Normal 8 3 2 2 3 2 3 2 2" xfId="33063"/>
    <cellStyle name="Normal 8 3 2 2 3 2 3 2 2 2" xfId="33064"/>
    <cellStyle name="Normal 8 3 2 2 3 2 3 2 3" xfId="33065"/>
    <cellStyle name="Normal 8 3 2 2 3 2 3 3" xfId="33066"/>
    <cellStyle name="Normal 8 3 2 2 3 2 3 3 2" xfId="33067"/>
    <cellStyle name="Normal 8 3 2 2 3 2 3 4" xfId="33068"/>
    <cellStyle name="Normal 8 3 2 2 3 2 4" xfId="33069"/>
    <cellStyle name="Normal 8 3 2 2 3 2 4 2" xfId="33070"/>
    <cellStyle name="Normal 8 3 2 2 3 2 4 2 2" xfId="33071"/>
    <cellStyle name="Normal 8 3 2 2 3 2 4 3" xfId="33072"/>
    <cellStyle name="Normal 8 3 2 2 3 2 5" xfId="33073"/>
    <cellStyle name="Normal 8 3 2 2 3 2 5 2" xfId="33074"/>
    <cellStyle name="Normal 8 3 2 2 3 2 6" xfId="33075"/>
    <cellStyle name="Normal 8 3 2 2 3 3" xfId="33076"/>
    <cellStyle name="Normal 8 3 2 2 3 3 2" xfId="33077"/>
    <cellStyle name="Normal 8 3 2 2 3 3 2 2" xfId="33078"/>
    <cellStyle name="Normal 8 3 2 2 3 3 2 2 2" xfId="33079"/>
    <cellStyle name="Normal 8 3 2 2 3 3 2 3" xfId="33080"/>
    <cellStyle name="Normal 8 3 2 2 3 3 3" xfId="33081"/>
    <cellStyle name="Normal 8 3 2 2 3 3 3 2" xfId="33082"/>
    <cellStyle name="Normal 8 3 2 2 3 3 4" xfId="33083"/>
    <cellStyle name="Normal 8 3 2 2 3 4" xfId="33084"/>
    <cellStyle name="Normal 8 3 2 2 3 4 2" xfId="33085"/>
    <cellStyle name="Normal 8 3 2 2 3 4 2 2" xfId="33086"/>
    <cellStyle name="Normal 8 3 2 2 3 4 2 2 2" xfId="33087"/>
    <cellStyle name="Normal 8 3 2 2 3 4 2 3" xfId="33088"/>
    <cellStyle name="Normal 8 3 2 2 3 4 3" xfId="33089"/>
    <cellStyle name="Normal 8 3 2 2 3 4 3 2" xfId="33090"/>
    <cellStyle name="Normal 8 3 2 2 3 4 4" xfId="33091"/>
    <cellStyle name="Normal 8 3 2 2 3 5" xfId="33092"/>
    <cellStyle name="Normal 8 3 2 2 3 5 2" xfId="33093"/>
    <cellStyle name="Normal 8 3 2 2 3 5 2 2" xfId="33094"/>
    <cellStyle name="Normal 8 3 2 2 3 5 3" xfId="33095"/>
    <cellStyle name="Normal 8 3 2 2 3 6" xfId="33096"/>
    <cellStyle name="Normal 8 3 2 2 3 6 2" xfId="33097"/>
    <cellStyle name="Normal 8 3 2 2 3 7" xfId="33098"/>
    <cellStyle name="Normal 8 3 2 2 4" xfId="33099"/>
    <cellStyle name="Normal 8 3 2 2 4 2" xfId="33100"/>
    <cellStyle name="Normal 8 3 2 2 4 2 2" xfId="33101"/>
    <cellStyle name="Normal 8 3 2 2 4 2 2 2" xfId="33102"/>
    <cellStyle name="Normal 8 3 2 2 4 2 2 2 2" xfId="33103"/>
    <cellStyle name="Normal 8 3 2 2 4 2 2 3" xfId="33104"/>
    <cellStyle name="Normal 8 3 2 2 4 2 3" xfId="33105"/>
    <cellStyle name="Normal 8 3 2 2 4 2 3 2" xfId="33106"/>
    <cellStyle name="Normal 8 3 2 2 4 2 4" xfId="33107"/>
    <cellStyle name="Normal 8 3 2 2 4 3" xfId="33108"/>
    <cellStyle name="Normal 8 3 2 2 4 3 2" xfId="33109"/>
    <cellStyle name="Normal 8 3 2 2 4 3 2 2" xfId="33110"/>
    <cellStyle name="Normal 8 3 2 2 4 3 2 2 2" xfId="33111"/>
    <cellStyle name="Normal 8 3 2 2 4 3 2 3" xfId="33112"/>
    <cellStyle name="Normal 8 3 2 2 4 3 3" xfId="33113"/>
    <cellStyle name="Normal 8 3 2 2 4 3 3 2" xfId="33114"/>
    <cellStyle name="Normal 8 3 2 2 4 3 4" xfId="33115"/>
    <cellStyle name="Normal 8 3 2 2 4 4" xfId="33116"/>
    <cellStyle name="Normal 8 3 2 2 4 4 2" xfId="33117"/>
    <cellStyle name="Normal 8 3 2 2 4 4 2 2" xfId="33118"/>
    <cellStyle name="Normal 8 3 2 2 4 4 3" xfId="33119"/>
    <cellStyle name="Normal 8 3 2 2 4 5" xfId="33120"/>
    <cellStyle name="Normal 8 3 2 2 4 5 2" xfId="33121"/>
    <cellStyle name="Normal 8 3 2 2 4 6" xfId="33122"/>
    <cellStyle name="Normal 8 3 2 2 5" xfId="33123"/>
    <cellStyle name="Normal 8 3 2 2 5 2" xfId="33124"/>
    <cellStyle name="Normal 8 3 2 2 5 2 2" xfId="33125"/>
    <cellStyle name="Normal 8 3 2 2 5 2 2 2" xfId="33126"/>
    <cellStyle name="Normal 8 3 2 2 5 2 3" xfId="33127"/>
    <cellStyle name="Normal 8 3 2 2 5 3" xfId="33128"/>
    <cellStyle name="Normal 8 3 2 2 5 3 2" xfId="33129"/>
    <cellStyle name="Normal 8 3 2 2 5 4" xfId="33130"/>
    <cellStyle name="Normal 8 3 2 2 6" xfId="33131"/>
    <cellStyle name="Normal 8 3 2 2 6 2" xfId="33132"/>
    <cellStyle name="Normal 8 3 2 2 6 2 2" xfId="33133"/>
    <cellStyle name="Normal 8 3 2 2 6 2 2 2" xfId="33134"/>
    <cellStyle name="Normal 8 3 2 2 6 2 3" xfId="33135"/>
    <cellStyle name="Normal 8 3 2 2 6 3" xfId="33136"/>
    <cellStyle name="Normal 8 3 2 2 6 3 2" xfId="33137"/>
    <cellStyle name="Normal 8 3 2 2 6 4" xfId="33138"/>
    <cellStyle name="Normal 8 3 2 2 7" xfId="33139"/>
    <cellStyle name="Normal 8 3 2 2 7 2" xfId="33140"/>
    <cellStyle name="Normal 8 3 2 2 7 2 2" xfId="33141"/>
    <cellStyle name="Normal 8 3 2 2 7 2 2 2" xfId="33142"/>
    <cellStyle name="Normal 8 3 2 2 7 2 3" xfId="33143"/>
    <cellStyle name="Normal 8 3 2 2 7 3" xfId="33144"/>
    <cellStyle name="Normal 8 3 2 2 7 3 2" xfId="33145"/>
    <cellStyle name="Normal 8 3 2 2 7 4" xfId="33146"/>
    <cellStyle name="Normal 8 3 2 2 8" xfId="33147"/>
    <cellStyle name="Normal 8 3 2 2 8 2" xfId="33148"/>
    <cellStyle name="Normal 8 3 2 2 8 2 2" xfId="33149"/>
    <cellStyle name="Normal 8 3 2 2 8 3" xfId="33150"/>
    <cellStyle name="Normal 8 3 2 2 9" xfId="33151"/>
    <cellStyle name="Normal 8 3 2 2 9 2" xfId="33152"/>
    <cellStyle name="Normal 8 3 2 3" xfId="33153"/>
    <cellStyle name="Normal 8 3 2 3 2" xfId="33154"/>
    <cellStyle name="Normal 8 3 2 3 2 2" xfId="33155"/>
    <cellStyle name="Normal 8 3 2 3 2 2 2" xfId="33156"/>
    <cellStyle name="Normal 8 3 2 3 2 2 2 2" xfId="33157"/>
    <cellStyle name="Normal 8 3 2 3 2 2 2 2 2" xfId="33158"/>
    <cellStyle name="Normal 8 3 2 3 2 2 2 2 2 2" xfId="33159"/>
    <cellStyle name="Normal 8 3 2 3 2 2 2 2 3" xfId="33160"/>
    <cellStyle name="Normal 8 3 2 3 2 2 2 3" xfId="33161"/>
    <cellStyle name="Normal 8 3 2 3 2 2 2 3 2" xfId="33162"/>
    <cellStyle name="Normal 8 3 2 3 2 2 2 4" xfId="33163"/>
    <cellStyle name="Normal 8 3 2 3 2 2 3" xfId="33164"/>
    <cellStyle name="Normal 8 3 2 3 2 2 3 2" xfId="33165"/>
    <cellStyle name="Normal 8 3 2 3 2 2 3 2 2" xfId="33166"/>
    <cellStyle name="Normal 8 3 2 3 2 2 3 2 2 2" xfId="33167"/>
    <cellStyle name="Normal 8 3 2 3 2 2 3 2 3" xfId="33168"/>
    <cellStyle name="Normal 8 3 2 3 2 2 3 3" xfId="33169"/>
    <cellStyle name="Normal 8 3 2 3 2 2 3 3 2" xfId="33170"/>
    <cellStyle name="Normal 8 3 2 3 2 2 3 4" xfId="33171"/>
    <cellStyle name="Normal 8 3 2 3 2 2 4" xfId="33172"/>
    <cellStyle name="Normal 8 3 2 3 2 2 4 2" xfId="33173"/>
    <cellStyle name="Normal 8 3 2 3 2 2 4 2 2" xfId="33174"/>
    <cellStyle name="Normal 8 3 2 3 2 2 4 3" xfId="33175"/>
    <cellStyle name="Normal 8 3 2 3 2 2 5" xfId="33176"/>
    <cellStyle name="Normal 8 3 2 3 2 2 5 2" xfId="33177"/>
    <cellStyle name="Normal 8 3 2 3 2 2 6" xfId="33178"/>
    <cellStyle name="Normal 8 3 2 3 2 3" xfId="33179"/>
    <cellStyle name="Normal 8 3 2 3 2 3 2" xfId="33180"/>
    <cellStyle name="Normal 8 3 2 3 2 3 2 2" xfId="33181"/>
    <cellStyle name="Normal 8 3 2 3 2 3 2 2 2" xfId="33182"/>
    <cellStyle name="Normal 8 3 2 3 2 3 2 3" xfId="33183"/>
    <cellStyle name="Normal 8 3 2 3 2 3 3" xfId="33184"/>
    <cellStyle name="Normal 8 3 2 3 2 3 3 2" xfId="33185"/>
    <cellStyle name="Normal 8 3 2 3 2 3 4" xfId="33186"/>
    <cellStyle name="Normal 8 3 2 3 2 4" xfId="33187"/>
    <cellStyle name="Normal 8 3 2 3 2 4 2" xfId="33188"/>
    <cellStyle name="Normal 8 3 2 3 2 4 2 2" xfId="33189"/>
    <cellStyle name="Normal 8 3 2 3 2 4 2 2 2" xfId="33190"/>
    <cellStyle name="Normal 8 3 2 3 2 4 2 3" xfId="33191"/>
    <cellStyle name="Normal 8 3 2 3 2 4 3" xfId="33192"/>
    <cellStyle name="Normal 8 3 2 3 2 4 3 2" xfId="33193"/>
    <cellStyle name="Normal 8 3 2 3 2 4 4" xfId="33194"/>
    <cellStyle name="Normal 8 3 2 3 2 5" xfId="33195"/>
    <cellStyle name="Normal 8 3 2 3 2 5 2" xfId="33196"/>
    <cellStyle name="Normal 8 3 2 3 2 5 2 2" xfId="33197"/>
    <cellStyle name="Normal 8 3 2 3 2 5 3" xfId="33198"/>
    <cellStyle name="Normal 8 3 2 3 2 6" xfId="33199"/>
    <cellStyle name="Normal 8 3 2 3 2 6 2" xfId="33200"/>
    <cellStyle name="Normal 8 3 2 3 2 7" xfId="33201"/>
    <cellStyle name="Normal 8 3 2 3 3" xfId="33202"/>
    <cellStyle name="Normal 8 3 2 3 3 2" xfId="33203"/>
    <cellStyle name="Normal 8 3 2 3 3 2 2" xfId="33204"/>
    <cellStyle name="Normal 8 3 2 3 3 2 2 2" xfId="33205"/>
    <cellStyle name="Normal 8 3 2 3 3 2 2 2 2" xfId="33206"/>
    <cellStyle name="Normal 8 3 2 3 3 2 2 3" xfId="33207"/>
    <cellStyle name="Normal 8 3 2 3 3 2 3" xfId="33208"/>
    <cellStyle name="Normal 8 3 2 3 3 2 3 2" xfId="33209"/>
    <cellStyle name="Normal 8 3 2 3 3 2 4" xfId="33210"/>
    <cellStyle name="Normal 8 3 2 3 3 3" xfId="33211"/>
    <cellStyle name="Normal 8 3 2 3 3 3 2" xfId="33212"/>
    <cellStyle name="Normal 8 3 2 3 3 3 2 2" xfId="33213"/>
    <cellStyle name="Normal 8 3 2 3 3 3 2 2 2" xfId="33214"/>
    <cellStyle name="Normal 8 3 2 3 3 3 2 3" xfId="33215"/>
    <cellStyle name="Normal 8 3 2 3 3 3 3" xfId="33216"/>
    <cellStyle name="Normal 8 3 2 3 3 3 3 2" xfId="33217"/>
    <cellStyle name="Normal 8 3 2 3 3 3 4" xfId="33218"/>
    <cellStyle name="Normal 8 3 2 3 3 4" xfId="33219"/>
    <cellStyle name="Normal 8 3 2 3 3 4 2" xfId="33220"/>
    <cellStyle name="Normal 8 3 2 3 3 4 2 2" xfId="33221"/>
    <cellStyle name="Normal 8 3 2 3 3 4 3" xfId="33222"/>
    <cellStyle name="Normal 8 3 2 3 3 5" xfId="33223"/>
    <cellStyle name="Normal 8 3 2 3 3 5 2" xfId="33224"/>
    <cellStyle name="Normal 8 3 2 3 3 6" xfId="33225"/>
    <cellStyle name="Normal 8 3 2 3 4" xfId="33226"/>
    <cellStyle name="Normal 8 3 2 3 4 2" xfId="33227"/>
    <cellStyle name="Normal 8 3 2 3 4 2 2" xfId="33228"/>
    <cellStyle name="Normal 8 3 2 3 4 2 2 2" xfId="33229"/>
    <cellStyle name="Normal 8 3 2 3 4 2 3" xfId="33230"/>
    <cellStyle name="Normal 8 3 2 3 4 3" xfId="33231"/>
    <cellStyle name="Normal 8 3 2 3 4 3 2" xfId="33232"/>
    <cellStyle name="Normal 8 3 2 3 4 4" xfId="33233"/>
    <cellStyle name="Normal 8 3 2 3 5" xfId="33234"/>
    <cellStyle name="Normal 8 3 2 3 5 2" xfId="33235"/>
    <cellStyle name="Normal 8 3 2 3 5 2 2" xfId="33236"/>
    <cellStyle name="Normal 8 3 2 3 5 2 2 2" xfId="33237"/>
    <cellStyle name="Normal 8 3 2 3 5 2 3" xfId="33238"/>
    <cellStyle name="Normal 8 3 2 3 5 3" xfId="33239"/>
    <cellStyle name="Normal 8 3 2 3 5 3 2" xfId="33240"/>
    <cellStyle name="Normal 8 3 2 3 5 4" xfId="33241"/>
    <cellStyle name="Normal 8 3 2 3 6" xfId="33242"/>
    <cellStyle name="Normal 8 3 2 3 6 2" xfId="33243"/>
    <cellStyle name="Normal 8 3 2 3 6 2 2" xfId="33244"/>
    <cellStyle name="Normal 8 3 2 3 6 2 2 2" xfId="33245"/>
    <cellStyle name="Normal 8 3 2 3 6 2 3" xfId="33246"/>
    <cellStyle name="Normal 8 3 2 3 6 3" xfId="33247"/>
    <cellStyle name="Normal 8 3 2 3 6 3 2" xfId="33248"/>
    <cellStyle name="Normal 8 3 2 3 6 4" xfId="33249"/>
    <cellStyle name="Normal 8 3 2 3 7" xfId="33250"/>
    <cellStyle name="Normal 8 3 2 3 7 2" xfId="33251"/>
    <cellStyle name="Normal 8 3 2 3 7 2 2" xfId="33252"/>
    <cellStyle name="Normal 8 3 2 3 7 3" xfId="33253"/>
    <cellStyle name="Normal 8 3 2 3 8" xfId="33254"/>
    <cellStyle name="Normal 8 3 2 3 8 2" xfId="33255"/>
    <cellStyle name="Normal 8 3 2 3 9" xfId="33256"/>
    <cellStyle name="Normal 8 3 2 4" xfId="33257"/>
    <cellStyle name="Normal 8 3 2 4 2" xfId="33258"/>
    <cellStyle name="Normal 8 3 2 4 2 2" xfId="33259"/>
    <cellStyle name="Normal 8 3 2 4 2 2 2" xfId="33260"/>
    <cellStyle name="Normal 8 3 2 4 2 2 2 2" xfId="33261"/>
    <cellStyle name="Normal 8 3 2 4 2 2 2 2 2" xfId="33262"/>
    <cellStyle name="Normal 8 3 2 4 2 2 2 3" xfId="33263"/>
    <cellStyle name="Normal 8 3 2 4 2 2 3" xfId="33264"/>
    <cellStyle name="Normal 8 3 2 4 2 2 3 2" xfId="33265"/>
    <cellStyle name="Normal 8 3 2 4 2 2 4" xfId="33266"/>
    <cellStyle name="Normal 8 3 2 4 2 3" xfId="33267"/>
    <cellStyle name="Normal 8 3 2 4 2 3 2" xfId="33268"/>
    <cellStyle name="Normal 8 3 2 4 2 3 2 2" xfId="33269"/>
    <cellStyle name="Normal 8 3 2 4 2 3 2 2 2" xfId="33270"/>
    <cellStyle name="Normal 8 3 2 4 2 3 2 3" xfId="33271"/>
    <cellStyle name="Normal 8 3 2 4 2 3 3" xfId="33272"/>
    <cellStyle name="Normal 8 3 2 4 2 3 3 2" xfId="33273"/>
    <cellStyle name="Normal 8 3 2 4 2 3 4" xfId="33274"/>
    <cellStyle name="Normal 8 3 2 4 2 4" xfId="33275"/>
    <cellStyle name="Normal 8 3 2 4 2 4 2" xfId="33276"/>
    <cellStyle name="Normal 8 3 2 4 2 4 2 2" xfId="33277"/>
    <cellStyle name="Normal 8 3 2 4 2 4 3" xfId="33278"/>
    <cellStyle name="Normal 8 3 2 4 2 5" xfId="33279"/>
    <cellStyle name="Normal 8 3 2 4 2 5 2" xfId="33280"/>
    <cellStyle name="Normal 8 3 2 4 2 6" xfId="33281"/>
    <cellStyle name="Normal 8 3 2 4 3" xfId="33282"/>
    <cellStyle name="Normal 8 3 2 4 3 2" xfId="33283"/>
    <cellStyle name="Normal 8 3 2 4 3 2 2" xfId="33284"/>
    <cellStyle name="Normal 8 3 2 4 3 2 2 2" xfId="33285"/>
    <cellStyle name="Normal 8 3 2 4 3 2 3" xfId="33286"/>
    <cellStyle name="Normal 8 3 2 4 3 3" xfId="33287"/>
    <cellStyle name="Normal 8 3 2 4 3 3 2" xfId="33288"/>
    <cellStyle name="Normal 8 3 2 4 3 4" xfId="33289"/>
    <cellStyle name="Normal 8 3 2 4 4" xfId="33290"/>
    <cellStyle name="Normal 8 3 2 4 4 2" xfId="33291"/>
    <cellStyle name="Normal 8 3 2 4 4 2 2" xfId="33292"/>
    <cellStyle name="Normal 8 3 2 4 4 2 2 2" xfId="33293"/>
    <cellStyle name="Normal 8 3 2 4 4 2 3" xfId="33294"/>
    <cellStyle name="Normal 8 3 2 4 4 3" xfId="33295"/>
    <cellStyle name="Normal 8 3 2 4 4 3 2" xfId="33296"/>
    <cellStyle name="Normal 8 3 2 4 4 4" xfId="33297"/>
    <cellStyle name="Normal 8 3 2 4 5" xfId="33298"/>
    <cellStyle name="Normal 8 3 2 4 5 2" xfId="33299"/>
    <cellStyle name="Normal 8 3 2 4 5 2 2" xfId="33300"/>
    <cellStyle name="Normal 8 3 2 4 5 3" xfId="33301"/>
    <cellStyle name="Normal 8 3 2 4 6" xfId="33302"/>
    <cellStyle name="Normal 8 3 2 4 6 2" xfId="33303"/>
    <cellStyle name="Normal 8 3 2 4 7" xfId="33304"/>
    <cellStyle name="Normal 8 3 2 5" xfId="33305"/>
    <cellStyle name="Normal 8 3 2 5 2" xfId="33306"/>
    <cellStyle name="Normal 8 3 2 5 2 2" xfId="33307"/>
    <cellStyle name="Normal 8 3 2 5 2 2 2" xfId="33308"/>
    <cellStyle name="Normal 8 3 2 5 2 2 2 2" xfId="33309"/>
    <cellStyle name="Normal 8 3 2 5 2 2 3" xfId="33310"/>
    <cellStyle name="Normal 8 3 2 5 2 3" xfId="33311"/>
    <cellStyle name="Normal 8 3 2 5 2 3 2" xfId="33312"/>
    <cellStyle name="Normal 8 3 2 5 2 4" xfId="33313"/>
    <cellStyle name="Normal 8 3 2 5 3" xfId="33314"/>
    <cellStyle name="Normal 8 3 2 5 3 2" xfId="33315"/>
    <cellStyle name="Normal 8 3 2 5 3 2 2" xfId="33316"/>
    <cellStyle name="Normal 8 3 2 5 3 2 2 2" xfId="33317"/>
    <cellStyle name="Normal 8 3 2 5 3 2 3" xfId="33318"/>
    <cellStyle name="Normal 8 3 2 5 3 3" xfId="33319"/>
    <cellStyle name="Normal 8 3 2 5 3 3 2" xfId="33320"/>
    <cellStyle name="Normal 8 3 2 5 3 4" xfId="33321"/>
    <cellStyle name="Normal 8 3 2 5 4" xfId="33322"/>
    <cellStyle name="Normal 8 3 2 5 4 2" xfId="33323"/>
    <cellStyle name="Normal 8 3 2 5 4 2 2" xfId="33324"/>
    <cellStyle name="Normal 8 3 2 5 4 3" xfId="33325"/>
    <cellStyle name="Normal 8 3 2 5 5" xfId="33326"/>
    <cellStyle name="Normal 8 3 2 5 5 2" xfId="33327"/>
    <cellStyle name="Normal 8 3 2 5 6" xfId="33328"/>
    <cellStyle name="Normal 8 3 2 6" xfId="33329"/>
    <cellStyle name="Normal 8 3 2 6 2" xfId="33330"/>
    <cellStyle name="Normal 8 3 2 6 2 2" xfId="33331"/>
    <cellStyle name="Normal 8 3 2 6 2 2 2" xfId="33332"/>
    <cellStyle name="Normal 8 3 2 6 2 3" xfId="33333"/>
    <cellStyle name="Normal 8 3 2 6 3" xfId="33334"/>
    <cellStyle name="Normal 8 3 2 6 3 2" xfId="33335"/>
    <cellStyle name="Normal 8 3 2 6 4" xfId="33336"/>
    <cellStyle name="Normal 8 3 2 7" xfId="33337"/>
    <cellStyle name="Normal 8 3 2 7 2" xfId="33338"/>
    <cellStyle name="Normal 8 3 2 7 2 2" xfId="33339"/>
    <cellStyle name="Normal 8 3 2 7 2 2 2" xfId="33340"/>
    <cellStyle name="Normal 8 3 2 7 2 3" xfId="33341"/>
    <cellStyle name="Normal 8 3 2 7 3" xfId="33342"/>
    <cellStyle name="Normal 8 3 2 7 3 2" xfId="33343"/>
    <cellStyle name="Normal 8 3 2 7 4" xfId="33344"/>
    <cellStyle name="Normal 8 3 2 8" xfId="33345"/>
    <cellStyle name="Normal 8 3 2 8 2" xfId="33346"/>
    <cellStyle name="Normal 8 3 2 8 2 2" xfId="33347"/>
    <cellStyle name="Normal 8 3 2 8 2 2 2" xfId="33348"/>
    <cellStyle name="Normal 8 3 2 8 2 3" xfId="33349"/>
    <cellStyle name="Normal 8 3 2 8 3" xfId="33350"/>
    <cellStyle name="Normal 8 3 2 8 3 2" xfId="33351"/>
    <cellStyle name="Normal 8 3 2 8 4" xfId="33352"/>
    <cellStyle name="Normal 8 3 2 9" xfId="33353"/>
    <cellStyle name="Normal 8 3 2 9 2" xfId="33354"/>
    <cellStyle name="Normal 8 3 2 9 2 2" xfId="33355"/>
    <cellStyle name="Normal 8 3 2 9 3" xfId="33356"/>
    <cellStyle name="Normal 8 3 3" xfId="33357"/>
    <cellStyle name="Normal 8 3 3 10" xfId="33358"/>
    <cellStyle name="Normal 8 3 3 2" xfId="33359"/>
    <cellStyle name="Normal 8 3 3 2 2" xfId="33360"/>
    <cellStyle name="Normal 8 3 3 2 2 2" xfId="33361"/>
    <cellStyle name="Normal 8 3 3 2 2 2 2" xfId="33362"/>
    <cellStyle name="Normal 8 3 3 2 2 2 2 2" xfId="33363"/>
    <cellStyle name="Normal 8 3 3 2 2 2 2 2 2" xfId="33364"/>
    <cellStyle name="Normal 8 3 3 2 2 2 2 2 2 2" xfId="33365"/>
    <cellStyle name="Normal 8 3 3 2 2 2 2 2 3" xfId="33366"/>
    <cellStyle name="Normal 8 3 3 2 2 2 2 3" xfId="33367"/>
    <cellStyle name="Normal 8 3 3 2 2 2 2 3 2" xfId="33368"/>
    <cellStyle name="Normal 8 3 3 2 2 2 2 4" xfId="33369"/>
    <cellStyle name="Normal 8 3 3 2 2 2 3" xfId="33370"/>
    <cellStyle name="Normal 8 3 3 2 2 2 3 2" xfId="33371"/>
    <cellStyle name="Normal 8 3 3 2 2 2 3 2 2" xfId="33372"/>
    <cellStyle name="Normal 8 3 3 2 2 2 3 2 2 2" xfId="33373"/>
    <cellStyle name="Normal 8 3 3 2 2 2 3 2 3" xfId="33374"/>
    <cellStyle name="Normal 8 3 3 2 2 2 3 3" xfId="33375"/>
    <cellStyle name="Normal 8 3 3 2 2 2 3 3 2" xfId="33376"/>
    <cellStyle name="Normal 8 3 3 2 2 2 3 4" xfId="33377"/>
    <cellStyle name="Normal 8 3 3 2 2 2 4" xfId="33378"/>
    <cellStyle name="Normal 8 3 3 2 2 2 4 2" xfId="33379"/>
    <cellStyle name="Normal 8 3 3 2 2 2 4 2 2" xfId="33380"/>
    <cellStyle name="Normal 8 3 3 2 2 2 4 3" xfId="33381"/>
    <cellStyle name="Normal 8 3 3 2 2 2 5" xfId="33382"/>
    <cellStyle name="Normal 8 3 3 2 2 2 5 2" xfId="33383"/>
    <cellStyle name="Normal 8 3 3 2 2 2 6" xfId="33384"/>
    <cellStyle name="Normal 8 3 3 2 2 3" xfId="33385"/>
    <cellStyle name="Normal 8 3 3 2 2 3 2" xfId="33386"/>
    <cellStyle name="Normal 8 3 3 2 2 3 2 2" xfId="33387"/>
    <cellStyle name="Normal 8 3 3 2 2 3 2 2 2" xfId="33388"/>
    <cellStyle name="Normal 8 3 3 2 2 3 2 3" xfId="33389"/>
    <cellStyle name="Normal 8 3 3 2 2 3 3" xfId="33390"/>
    <cellStyle name="Normal 8 3 3 2 2 3 3 2" xfId="33391"/>
    <cellStyle name="Normal 8 3 3 2 2 3 4" xfId="33392"/>
    <cellStyle name="Normal 8 3 3 2 2 4" xfId="33393"/>
    <cellStyle name="Normal 8 3 3 2 2 4 2" xfId="33394"/>
    <cellStyle name="Normal 8 3 3 2 2 4 2 2" xfId="33395"/>
    <cellStyle name="Normal 8 3 3 2 2 4 2 2 2" xfId="33396"/>
    <cellStyle name="Normal 8 3 3 2 2 4 2 3" xfId="33397"/>
    <cellStyle name="Normal 8 3 3 2 2 4 3" xfId="33398"/>
    <cellStyle name="Normal 8 3 3 2 2 4 3 2" xfId="33399"/>
    <cellStyle name="Normal 8 3 3 2 2 4 4" xfId="33400"/>
    <cellStyle name="Normal 8 3 3 2 2 5" xfId="33401"/>
    <cellStyle name="Normal 8 3 3 2 2 5 2" xfId="33402"/>
    <cellStyle name="Normal 8 3 3 2 2 5 2 2" xfId="33403"/>
    <cellStyle name="Normal 8 3 3 2 2 5 3" xfId="33404"/>
    <cellStyle name="Normal 8 3 3 2 2 6" xfId="33405"/>
    <cellStyle name="Normal 8 3 3 2 2 6 2" xfId="33406"/>
    <cellStyle name="Normal 8 3 3 2 2 7" xfId="33407"/>
    <cellStyle name="Normal 8 3 3 2 3" xfId="33408"/>
    <cellStyle name="Normal 8 3 3 2 3 2" xfId="33409"/>
    <cellStyle name="Normal 8 3 3 2 3 2 2" xfId="33410"/>
    <cellStyle name="Normal 8 3 3 2 3 2 2 2" xfId="33411"/>
    <cellStyle name="Normal 8 3 3 2 3 2 2 2 2" xfId="33412"/>
    <cellStyle name="Normal 8 3 3 2 3 2 2 3" xfId="33413"/>
    <cellStyle name="Normal 8 3 3 2 3 2 3" xfId="33414"/>
    <cellStyle name="Normal 8 3 3 2 3 2 3 2" xfId="33415"/>
    <cellStyle name="Normal 8 3 3 2 3 2 4" xfId="33416"/>
    <cellStyle name="Normal 8 3 3 2 3 3" xfId="33417"/>
    <cellStyle name="Normal 8 3 3 2 3 3 2" xfId="33418"/>
    <cellStyle name="Normal 8 3 3 2 3 3 2 2" xfId="33419"/>
    <cellStyle name="Normal 8 3 3 2 3 3 2 2 2" xfId="33420"/>
    <cellStyle name="Normal 8 3 3 2 3 3 2 3" xfId="33421"/>
    <cellStyle name="Normal 8 3 3 2 3 3 3" xfId="33422"/>
    <cellStyle name="Normal 8 3 3 2 3 3 3 2" xfId="33423"/>
    <cellStyle name="Normal 8 3 3 2 3 3 4" xfId="33424"/>
    <cellStyle name="Normal 8 3 3 2 3 4" xfId="33425"/>
    <cellStyle name="Normal 8 3 3 2 3 4 2" xfId="33426"/>
    <cellStyle name="Normal 8 3 3 2 3 4 2 2" xfId="33427"/>
    <cellStyle name="Normal 8 3 3 2 3 4 3" xfId="33428"/>
    <cellStyle name="Normal 8 3 3 2 3 5" xfId="33429"/>
    <cellStyle name="Normal 8 3 3 2 3 5 2" xfId="33430"/>
    <cellStyle name="Normal 8 3 3 2 3 6" xfId="33431"/>
    <cellStyle name="Normal 8 3 3 2 4" xfId="33432"/>
    <cellStyle name="Normal 8 3 3 2 4 2" xfId="33433"/>
    <cellStyle name="Normal 8 3 3 2 4 2 2" xfId="33434"/>
    <cellStyle name="Normal 8 3 3 2 4 2 2 2" xfId="33435"/>
    <cellStyle name="Normal 8 3 3 2 4 2 3" xfId="33436"/>
    <cellStyle name="Normal 8 3 3 2 4 3" xfId="33437"/>
    <cellStyle name="Normal 8 3 3 2 4 3 2" xfId="33438"/>
    <cellStyle name="Normal 8 3 3 2 4 4" xfId="33439"/>
    <cellStyle name="Normal 8 3 3 2 5" xfId="33440"/>
    <cellStyle name="Normal 8 3 3 2 5 2" xfId="33441"/>
    <cellStyle name="Normal 8 3 3 2 5 2 2" xfId="33442"/>
    <cellStyle name="Normal 8 3 3 2 5 2 2 2" xfId="33443"/>
    <cellStyle name="Normal 8 3 3 2 5 2 3" xfId="33444"/>
    <cellStyle name="Normal 8 3 3 2 5 3" xfId="33445"/>
    <cellStyle name="Normal 8 3 3 2 5 3 2" xfId="33446"/>
    <cellStyle name="Normal 8 3 3 2 5 4" xfId="33447"/>
    <cellStyle name="Normal 8 3 3 2 6" xfId="33448"/>
    <cellStyle name="Normal 8 3 3 2 6 2" xfId="33449"/>
    <cellStyle name="Normal 8 3 3 2 6 2 2" xfId="33450"/>
    <cellStyle name="Normal 8 3 3 2 6 2 2 2" xfId="33451"/>
    <cellStyle name="Normal 8 3 3 2 6 2 3" xfId="33452"/>
    <cellStyle name="Normal 8 3 3 2 6 3" xfId="33453"/>
    <cellStyle name="Normal 8 3 3 2 6 3 2" xfId="33454"/>
    <cellStyle name="Normal 8 3 3 2 6 4" xfId="33455"/>
    <cellStyle name="Normal 8 3 3 2 7" xfId="33456"/>
    <cellStyle name="Normal 8 3 3 2 7 2" xfId="33457"/>
    <cellStyle name="Normal 8 3 3 2 7 2 2" xfId="33458"/>
    <cellStyle name="Normal 8 3 3 2 7 3" xfId="33459"/>
    <cellStyle name="Normal 8 3 3 2 8" xfId="33460"/>
    <cellStyle name="Normal 8 3 3 2 8 2" xfId="33461"/>
    <cellStyle name="Normal 8 3 3 2 9" xfId="33462"/>
    <cellStyle name="Normal 8 3 3 3" xfId="33463"/>
    <cellStyle name="Normal 8 3 3 3 2" xfId="33464"/>
    <cellStyle name="Normal 8 3 3 3 2 2" xfId="33465"/>
    <cellStyle name="Normal 8 3 3 3 2 2 2" xfId="33466"/>
    <cellStyle name="Normal 8 3 3 3 2 2 2 2" xfId="33467"/>
    <cellStyle name="Normal 8 3 3 3 2 2 2 2 2" xfId="33468"/>
    <cellStyle name="Normal 8 3 3 3 2 2 2 3" xfId="33469"/>
    <cellStyle name="Normal 8 3 3 3 2 2 3" xfId="33470"/>
    <cellStyle name="Normal 8 3 3 3 2 2 3 2" xfId="33471"/>
    <cellStyle name="Normal 8 3 3 3 2 2 4" xfId="33472"/>
    <cellStyle name="Normal 8 3 3 3 2 3" xfId="33473"/>
    <cellStyle name="Normal 8 3 3 3 2 3 2" xfId="33474"/>
    <cellStyle name="Normal 8 3 3 3 2 3 2 2" xfId="33475"/>
    <cellStyle name="Normal 8 3 3 3 2 3 2 2 2" xfId="33476"/>
    <cellStyle name="Normal 8 3 3 3 2 3 2 3" xfId="33477"/>
    <cellStyle name="Normal 8 3 3 3 2 3 3" xfId="33478"/>
    <cellStyle name="Normal 8 3 3 3 2 3 3 2" xfId="33479"/>
    <cellStyle name="Normal 8 3 3 3 2 3 4" xfId="33480"/>
    <cellStyle name="Normal 8 3 3 3 2 4" xfId="33481"/>
    <cellStyle name="Normal 8 3 3 3 2 4 2" xfId="33482"/>
    <cellStyle name="Normal 8 3 3 3 2 4 2 2" xfId="33483"/>
    <cellStyle name="Normal 8 3 3 3 2 4 3" xfId="33484"/>
    <cellStyle name="Normal 8 3 3 3 2 5" xfId="33485"/>
    <cellStyle name="Normal 8 3 3 3 2 5 2" xfId="33486"/>
    <cellStyle name="Normal 8 3 3 3 2 6" xfId="33487"/>
    <cellStyle name="Normal 8 3 3 3 3" xfId="33488"/>
    <cellStyle name="Normal 8 3 3 3 3 2" xfId="33489"/>
    <cellStyle name="Normal 8 3 3 3 3 2 2" xfId="33490"/>
    <cellStyle name="Normal 8 3 3 3 3 2 2 2" xfId="33491"/>
    <cellStyle name="Normal 8 3 3 3 3 2 3" xfId="33492"/>
    <cellStyle name="Normal 8 3 3 3 3 3" xfId="33493"/>
    <cellStyle name="Normal 8 3 3 3 3 3 2" xfId="33494"/>
    <cellStyle name="Normal 8 3 3 3 3 4" xfId="33495"/>
    <cellStyle name="Normal 8 3 3 3 4" xfId="33496"/>
    <cellStyle name="Normal 8 3 3 3 4 2" xfId="33497"/>
    <cellStyle name="Normal 8 3 3 3 4 2 2" xfId="33498"/>
    <cellStyle name="Normal 8 3 3 3 4 2 2 2" xfId="33499"/>
    <cellStyle name="Normal 8 3 3 3 4 2 3" xfId="33500"/>
    <cellStyle name="Normal 8 3 3 3 4 3" xfId="33501"/>
    <cellStyle name="Normal 8 3 3 3 4 3 2" xfId="33502"/>
    <cellStyle name="Normal 8 3 3 3 4 4" xfId="33503"/>
    <cellStyle name="Normal 8 3 3 3 5" xfId="33504"/>
    <cellStyle name="Normal 8 3 3 3 5 2" xfId="33505"/>
    <cellStyle name="Normal 8 3 3 3 5 2 2" xfId="33506"/>
    <cellStyle name="Normal 8 3 3 3 5 3" xfId="33507"/>
    <cellStyle name="Normal 8 3 3 3 6" xfId="33508"/>
    <cellStyle name="Normal 8 3 3 3 6 2" xfId="33509"/>
    <cellStyle name="Normal 8 3 3 3 7" xfId="33510"/>
    <cellStyle name="Normal 8 3 3 4" xfId="33511"/>
    <cellStyle name="Normal 8 3 3 4 2" xfId="33512"/>
    <cellStyle name="Normal 8 3 3 4 2 2" xfId="33513"/>
    <cellStyle name="Normal 8 3 3 4 2 2 2" xfId="33514"/>
    <cellStyle name="Normal 8 3 3 4 2 2 2 2" xfId="33515"/>
    <cellStyle name="Normal 8 3 3 4 2 2 3" xfId="33516"/>
    <cellStyle name="Normal 8 3 3 4 2 3" xfId="33517"/>
    <cellStyle name="Normal 8 3 3 4 2 3 2" xfId="33518"/>
    <cellStyle name="Normal 8 3 3 4 2 4" xfId="33519"/>
    <cellStyle name="Normal 8 3 3 4 3" xfId="33520"/>
    <cellStyle name="Normal 8 3 3 4 3 2" xfId="33521"/>
    <cellStyle name="Normal 8 3 3 4 3 2 2" xfId="33522"/>
    <cellStyle name="Normal 8 3 3 4 3 2 2 2" xfId="33523"/>
    <cellStyle name="Normal 8 3 3 4 3 2 3" xfId="33524"/>
    <cellStyle name="Normal 8 3 3 4 3 3" xfId="33525"/>
    <cellStyle name="Normal 8 3 3 4 3 3 2" xfId="33526"/>
    <cellStyle name="Normal 8 3 3 4 3 4" xfId="33527"/>
    <cellStyle name="Normal 8 3 3 4 4" xfId="33528"/>
    <cellStyle name="Normal 8 3 3 4 4 2" xfId="33529"/>
    <cellStyle name="Normal 8 3 3 4 4 2 2" xfId="33530"/>
    <cellStyle name="Normal 8 3 3 4 4 3" xfId="33531"/>
    <cellStyle name="Normal 8 3 3 4 5" xfId="33532"/>
    <cellStyle name="Normal 8 3 3 4 5 2" xfId="33533"/>
    <cellStyle name="Normal 8 3 3 4 6" xfId="33534"/>
    <cellStyle name="Normal 8 3 3 5" xfId="33535"/>
    <cellStyle name="Normal 8 3 3 5 2" xfId="33536"/>
    <cellStyle name="Normal 8 3 3 5 2 2" xfId="33537"/>
    <cellStyle name="Normal 8 3 3 5 2 2 2" xfId="33538"/>
    <cellStyle name="Normal 8 3 3 5 2 3" xfId="33539"/>
    <cellStyle name="Normal 8 3 3 5 3" xfId="33540"/>
    <cellStyle name="Normal 8 3 3 5 3 2" xfId="33541"/>
    <cellStyle name="Normal 8 3 3 5 4" xfId="33542"/>
    <cellStyle name="Normal 8 3 3 6" xfId="33543"/>
    <cellStyle name="Normal 8 3 3 6 2" xfId="33544"/>
    <cellStyle name="Normal 8 3 3 6 2 2" xfId="33545"/>
    <cellStyle name="Normal 8 3 3 6 2 2 2" xfId="33546"/>
    <cellStyle name="Normal 8 3 3 6 2 3" xfId="33547"/>
    <cellStyle name="Normal 8 3 3 6 3" xfId="33548"/>
    <cellStyle name="Normal 8 3 3 6 3 2" xfId="33549"/>
    <cellStyle name="Normal 8 3 3 6 4" xfId="33550"/>
    <cellStyle name="Normal 8 3 3 7" xfId="33551"/>
    <cellStyle name="Normal 8 3 3 7 2" xfId="33552"/>
    <cellStyle name="Normal 8 3 3 7 2 2" xfId="33553"/>
    <cellStyle name="Normal 8 3 3 7 2 2 2" xfId="33554"/>
    <cellStyle name="Normal 8 3 3 7 2 3" xfId="33555"/>
    <cellStyle name="Normal 8 3 3 7 3" xfId="33556"/>
    <cellStyle name="Normal 8 3 3 7 3 2" xfId="33557"/>
    <cellStyle name="Normal 8 3 3 7 4" xfId="33558"/>
    <cellStyle name="Normal 8 3 3 8" xfId="33559"/>
    <cellStyle name="Normal 8 3 3 8 2" xfId="33560"/>
    <cellStyle name="Normal 8 3 3 8 2 2" xfId="33561"/>
    <cellStyle name="Normal 8 3 3 8 3" xfId="33562"/>
    <cellStyle name="Normal 8 3 3 9" xfId="33563"/>
    <cellStyle name="Normal 8 3 3 9 2" xfId="33564"/>
    <cellStyle name="Normal 8 3 4" xfId="33565"/>
    <cellStyle name="Normal 8 3 4 10" xfId="33566"/>
    <cellStyle name="Normal 8 3 4 2" xfId="33567"/>
    <cellStyle name="Normal 8 3 4 2 2" xfId="33568"/>
    <cellStyle name="Normal 8 3 4 2 2 2" xfId="33569"/>
    <cellStyle name="Normal 8 3 4 2 2 2 2" xfId="33570"/>
    <cellStyle name="Normal 8 3 4 2 2 2 2 2" xfId="33571"/>
    <cellStyle name="Normal 8 3 4 2 2 2 2 2 2" xfId="33572"/>
    <cellStyle name="Normal 8 3 4 2 2 2 2 2 2 2" xfId="33573"/>
    <cellStyle name="Normal 8 3 4 2 2 2 2 2 3" xfId="33574"/>
    <cellStyle name="Normal 8 3 4 2 2 2 2 3" xfId="33575"/>
    <cellStyle name="Normal 8 3 4 2 2 2 2 3 2" xfId="33576"/>
    <cellStyle name="Normal 8 3 4 2 2 2 2 4" xfId="33577"/>
    <cellStyle name="Normal 8 3 4 2 2 2 3" xfId="33578"/>
    <cellStyle name="Normal 8 3 4 2 2 2 3 2" xfId="33579"/>
    <cellStyle name="Normal 8 3 4 2 2 2 3 2 2" xfId="33580"/>
    <cellStyle name="Normal 8 3 4 2 2 2 3 2 2 2" xfId="33581"/>
    <cellStyle name="Normal 8 3 4 2 2 2 3 2 3" xfId="33582"/>
    <cellStyle name="Normal 8 3 4 2 2 2 3 3" xfId="33583"/>
    <cellStyle name="Normal 8 3 4 2 2 2 3 3 2" xfId="33584"/>
    <cellStyle name="Normal 8 3 4 2 2 2 3 4" xfId="33585"/>
    <cellStyle name="Normal 8 3 4 2 2 2 4" xfId="33586"/>
    <cellStyle name="Normal 8 3 4 2 2 2 4 2" xfId="33587"/>
    <cellStyle name="Normal 8 3 4 2 2 2 4 2 2" xfId="33588"/>
    <cellStyle name="Normal 8 3 4 2 2 2 4 3" xfId="33589"/>
    <cellStyle name="Normal 8 3 4 2 2 2 5" xfId="33590"/>
    <cellStyle name="Normal 8 3 4 2 2 2 5 2" xfId="33591"/>
    <cellStyle name="Normal 8 3 4 2 2 2 6" xfId="33592"/>
    <cellStyle name="Normal 8 3 4 2 2 3" xfId="33593"/>
    <cellStyle name="Normal 8 3 4 2 2 3 2" xfId="33594"/>
    <cellStyle name="Normal 8 3 4 2 2 3 2 2" xfId="33595"/>
    <cellStyle name="Normal 8 3 4 2 2 3 2 2 2" xfId="33596"/>
    <cellStyle name="Normal 8 3 4 2 2 3 2 3" xfId="33597"/>
    <cellStyle name="Normal 8 3 4 2 2 3 3" xfId="33598"/>
    <cellStyle name="Normal 8 3 4 2 2 3 3 2" xfId="33599"/>
    <cellStyle name="Normal 8 3 4 2 2 3 4" xfId="33600"/>
    <cellStyle name="Normal 8 3 4 2 2 4" xfId="33601"/>
    <cellStyle name="Normal 8 3 4 2 2 4 2" xfId="33602"/>
    <cellStyle name="Normal 8 3 4 2 2 4 2 2" xfId="33603"/>
    <cellStyle name="Normal 8 3 4 2 2 4 2 2 2" xfId="33604"/>
    <cellStyle name="Normal 8 3 4 2 2 4 2 3" xfId="33605"/>
    <cellStyle name="Normal 8 3 4 2 2 4 3" xfId="33606"/>
    <cellStyle name="Normal 8 3 4 2 2 4 3 2" xfId="33607"/>
    <cellStyle name="Normal 8 3 4 2 2 4 4" xfId="33608"/>
    <cellStyle name="Normal 8 3 4 2 2 5" xfId="33609"/>
    <cellStyle name="Normal 8 3 4 2 2 5 2" xfId="33610"/>
    <cellStyle name="Normal 8 3 4 2 2 5 2 2" xfId="33611"/>
    <cellStyle name="Normal 8 3 4 2 2 5 3" xfId="33612"/>
    <cellStyle name="Normal 8 3 4 2 2 6" xfId="33613"/>
    <cellStyle name="Normal 8 3 4 2 2 6 2" xfId="33614"/>
    <cellStyle name="Normal 8 3 4 2 2 7" xfId="33615"/>
    <cellStyle name="Normal 8 3 4 2 3" xfId="33616"/>
    <cellStyle name="Normal 8 3 4 2 3 2" xfId="33617"/>
    <cellStyle name="Normal 8 3 4 2 3 2 2" xfId="33618"/>
    <cellStyle name="Normal 8 3 4 2 3 2 2 2" xfId="33619"/>
    <cellStyle name="Normal 8 3 4 2 3 2 2 2 2" xfId="33620"/>
    <cellStyle name="Normal 8 3 4 2 3 2 2 3" xfId="33621"/>
    <cellStyle name="Normal 8 3 4 2 3 2 3" xfId="33622"/>
    <cellStyle name="Normal 8 3 4 2 3 2 3 2" xfId="33623"/>
    <cellStyle name="Normal 8 3 4 2 3 2 4" xfId="33624"/>
    <cellStyle name="Normal 8 3 4 2 3 3" xfId="33625"/>
    <cellStyle name="Normal 8 3 4 2 3 3 2" xfId="33626"/>
    <cellStyle name="Normal 8 3 4 2 3 3 2 2" xfId="33627"/>
    <cellStyle name="Normal 8 3 4 2 3 3 2 2 2" xfId="33628"/>
    <cellStyle name="Normal 8 3 4 2 3 3 2 3" xfId="33629"/>
    <cellStyle name="Normal 8 3 4 2 3 3 3" xfId="33630"/>
    <cellStyle name="Normal 8 3 4 2 3 3 3 2" xfId="33631"/>
    <cellStyle name="Normal 8 3 4 2 3 3 4" xfId="33632"/>
    <cellStyle name="Normal 8 3 4 2 3 4" xfId="33633"/>
    <cellStyle name="Normal 8 3 4 2 3 4 2" xfId="33634"/>
    <cellStyle name="Normal 8 3 4 2 3 4 2 2" xfId="33635"/>
    <cellStyle name="Normal 8 3 4 2 3 4 3" xfId="33636"/>
    <cellStyle name="Normal 8 3 4 2 3 5" xfId="33637"/>
    <cellStyle name="Normal 8 3 4 2 3 5 2" xfId="33638"/>
    <cellStyle name="Normal 8 3 4 2 3 6" xfId="33639"/>
    <cellStyle name="Normal 8 3 4 2 4" xfId="33640"/>
    <cellStyle name="Normal 8 3 4 2 4 2" xfId="33641"/>
    <cellStyle name="Normal 8 3 4 2 4 2 2" xfId="33642"/>
    <cellStyle name="Normal 8 3 4 2 4 2 2 2" xfId="33643"/>
    <cellStyle name="Normal 8 3 4 2 4 2 3" xfId="33644"/>
    <cellStyle name="Normal 8 3 4 2 4 3" xfId="33645"/>
    <cellStyle name="Normal 8 3 4 2 4 3 2" xfId="33646"/>
    <cellStyle name="Normal 8 3 4 2 4 4" xfId="33647"/>
    <cellStyle name="Normal 8 3 4 2 5" xfId="33648"/>
    <cellStyle name="Normal 8 3 4 2 5 2" xfId="33649"/>
    <cellStyle name="Normal 8 3 4 2 5 2 2" xfId="33650"/>
    <cellStyle name="Normal 8 3 4 2 5 2 2 2" xfId="33651"/>
    <cellStyle name="Normal 8 3 4 2 5 2 3" xfId="33652"/>
    <cellStyle name="Normal 8 3 4 2 5 3" xfId="33653"/>
    <cellStyle name="Normal 8 3 4 2 5 3 2" xfId="33654"/>
    <cellStyle name="Normal 8 3 4 2 5 4" xfId="33655"/>
    <cellStyle name="Normal 8 3 4 2 6" xfId="33656"/>
    <cellStyle name="Normal 8 3 4 2 6 2" xfId="33657"/>
    <cellStyle name="Normal 8 3 4 2 6 2 2" xfId="33658"/>
    <cellStyle name="Normal 8 3 4 2 6 2 2 2" xfId="33659"/>
    <cellStyle name="Normal 8 3 4 2 6 2 3" xfId="33660"/>
    <cellStyle name="Normal 8 3 4 2 6 3" xfId="33661"/>
    <cellStyle name="Normal 8 3 4 2 6 3 2" xfId="33662"/>
    <cellStyle name="Normal 8 3 4 2 6 4" xfId="33663"/>
    <cellStyle name="Normal 8 3 4 2 7" xfId="33664"/>
    <cellStyle name="Normal 8 3 4 2 7 2" xfId="33665"/>
    <cellStyle name="Normal 8 3 4 2 7 2 2" xfId="33666"/>
    <cellStyle name="Normal 8 3 4 2 7 3" xfId="33667"/>
    <cellStyle name="Normal 8 3 4 2 8" xfId="33668"/>
    <cellStyle name="Normal 8 3 4 2 8 2" xfId="33669"/>
    <cellStyle name="Normal 8 3 4 2 9" xfId="33670"/>
    <cellStyle name="Normal 8 3 4 3" xfId="33671"/>
    <cellStyle name="Normal 8 3 4 3 2" xfId="33672"/>
    <cellStyle name="Normal 8 3 4 3 2 2" xfId="33673"/>
    <cellStyle name="Normal 8 3 4 3 2 2 2" xfId="33674"/>
    <cellStyle name="Normal 8 3 4 3 2 2 2 2" xfId="33675"/>
    <cellStyle name="Normal 8 3 4 3 2 2 2 2 2" xfId="33676"/>
    <cellStyle name="Normal 8 3 4 3 2 2 2 3" xfId="33677"/>
    <cellStyle name="Normal 8 3 4 3 2 2 3" xfId="33678"/>
    <cellStyle name="Normal 8 3 4 3 2 2 3 2" xfId="33679"/>
    <cellStyle name="Normal 8 3 4 3 2 2 4" xfId="33680"/>
    <cellStyle name="Normal 8 3 4 3 2 3" xfId="33681"/>
    <cellStyle name="Normal 8 3 4 3 2 3 2" xfId="33682"/>
    <cellStyle name="Normal 8 3 4 3 2 3 2 2" xfId="33683"/>
    <cellStyle name="Normal 8 3 4 3 2 3 2 2 2" xfId="33684"/>
    <cellStyle name="Normal 8 3 4 3 2 3 2 3" xfId="33685"/>
    <cellStyle name="Normal 8 3 4 3 2 3 3" xfId="33686"/>
    <cellStyle name="Normal 8 3 4 3 2 3 3 2" xfId="33687"/>
    <cellStyle name="Normal 8 3 4 3 2 3 4" xfId="33688"/>
    <cellStyle name="Normal 8 3 4 3 2 4" xfId="33689"/>
    <cellStyle name="Normal 8 3 4 3 2 4 2" xfId="33690"/>
    <cellStyle name="Normal 8 3 4 3 2 4 2 2" xfId="33691"/>
    <cellStyle name="Normal 8 3 4 3 2 4 3" xfId="33692"/>
    <cellStyle name="Normal 8 3 4 3 2 5" xfId="33693"/>
    <cellStyle name="Normal 8 3 4 3 2 5 2" xfId="33694"/>
    <cellStyle name="Normal 8 3 4 3 2 6" xfId="33695"/>
    <cellStyle name="Normal 8 3 4 3 3" xfId="33696"/>
    <cellStyle name="Normal 8 3 4 3 3 2" xfId="33697"/>
    <cellStyle name="Normal 8 3 4 3 3 2 2" xfId="33698"/>
    <cellStyle name="Normal 8 3 4 3 3 2 2 2" xfId="33699"/>
    <cellStyle name="Normal 8 3 4 3 3 2 3" xfId="33700"/>
    <cellStyle name="Normal 8 3 4 3 3 3" xfId="33701"/>
    <cellStyle name="Normal 8 3 4 3 3 3 2" xfId="33702"/>
    <cellStyle name="Normal 8 3 4 3 3 4" xfId="33703"/>
    <cellStyle name="Normal 8 3 4 3 4" xfId="33704"/>
    <cellStyle name="Normal 8 3 4 3 4 2" xfId="33705"/>
    <cellStyle name="Normal 8 3 4 3 4 2 2" xfId="33706"/>
    <cellStyle name="Normal 8 3 4 3 4 2 2 2" xfId="33707"/>
    <cellStyle name="Normal 8 3 4 3 4 2 3" xfId="33708"/>
    <cellStyle name="Normal 8 3 4 3 4 3" xfId="33709"/>
    <cellStyle name="Normal 8 3 4 3 4 3 2" xfId="33710"/>
    <cellStyle name="Normal 8 3 4 3 4 4" xfId="33711"/>
    <cellStyle name="Normal 8 3 4 3 5" xfId="33712"/>
    <cellStyle name="Normal 8 3 4 3 5 2" xfId="33713"/>
    <cellStyle name="Normal 8 3 4 3 5 2 2" xfId="33714"/>
    <cellStyle name="Normal 8 3 4 3 5 3" xfId="33715"/>
    <cellStyle name="Normal 8 3 4 3 6" xfId="33716"/>
    <cellStyle name="Normal 8 3 4 3 6 2" xfId="33717"/>
    <cellStyle name="Normal 8 3 4 3 7" xfId="33718"/>
    <cellStyle name="Normal 8 3 4 4" xfId="33719"/>
    <cellStyle name="Normal 8 3 4 4 2" xfId="33720"/>
    <cellStyle name="Normal 8 3 4 4 2 2" xfId="33721"/>
    <cellStyle name="Normal 8 3 4 4 2 2 2" xfId="33722"/>
    <cellStyle name="Normal 8 3 4 4 2 2 2 2" xfId="33723"/>
    <cellStyle name="Normal 8 3 4 4 2 2 3" xfId="33724"/>
    <cellStyle name="Normal 8 3 4 4 2 3" xfId="33725"/>
    <cellStyle name="Normal 8 3 4 4 2 3 2" xfId="33726"/>
    <cellStyle name="Normal 8 3 4 4 2 4" xfId="33727"/>
    <cellStyle name="Normal 8 3 4 4 3" xfId="33728"/>
    <cellStyle name="Normal 8 3 4 4 3 2" xfId="33729"/>
    <cellStyle name="Normal 8 3 4 4 3 2 2" xfId="33730"/>
    <cellStyle name="Normal 8 3 4 4 3 2 2 2" xfId="33731"/>
    <cellStyle name="Normal 8 3 4 4 3 2 3" xfId="33732"/>
    <cellStyle name="Normal 8 3 4 4 3 3" xfId="33733"/>
    <cellStyle name="Normal 8 3 4 4 3 3 2" xfId="33734"/>
    <cellStyle name="Normal 8 3 4 4 3 4" xfId="33735"/>
    <cellStyle name="Normal 8 3 4 4 4" xfId="33736"/>
    <cellStyle name="Normal 8 3 4 4 4 2" xfId="33737"/>
    <cellStyle name="Normal 8 3 4 4 4 2 2" xfId="33738"/>
    <cellStyle name="Normal 8 3 4 4 4 3" xfId="33739"/>
    <cellStyle name="Normal 8 3 4 4 5" xfId="33740"/>
    <cellStyle name="Normal 8 3 4 4 5 2" xfId="33741"/>
    <cellStyle name="Normal 8 3 4 4 6" xfId="33742"/>
    <cellStyle name="Normal 8 3 4 5" xfId="33743"/>
    <cellStyle name="Normal 8 3 4 5 2" xfId="33744"/>
    <cellStyle name="Normal 8 3 4 5 2 2" xfId="33745"/>
    <cellStyle name="Normal 8 3 4 5 2 2 2" xfId="33746"/>
    <cellStyle name="Normal 8 3 4 5 2 3" xfId="33747"/>
    <cellStyle name="Normal 8 3 4 5 3" xfId="33748"/>
    <cellStyle name="Normal 8 3 4 5 3 2" xfId="33749"/>
    <cellStyle name="Normal 8 3 4 5 4" xfId="33750"/>
    <cellStyle name="Normal 8 3 4 6" xfId="33751"/>
    <cellStyle name="Normal 8 3 4 6 2" xfId="33752"/>
    <cellStyle name="Normal 8 3 4 6 2 2" xfId="33753"/>
    <cellStyle name="Normal 8 3 4 6 2 2 2" xfId="33754"/>
    <cellStyle name="Normal 8 3 4 6 2 3" xfId="33755"/>
    <cellStyle name="Normal 8 3 4 6 3" xfId="33756"/>
    <cellStyle name="Normal 8 3 4 6 3 2" xfId="33757"/>
    <cellStyle name="Normal 8 3 4 6 4" xfId="33758"/>
    <cellStyle name="Normal 8 3 4 7" xfId="33759"/>
    <cellStyle name="Normal 8 3 4 7 2" xfId="33760"/>
    <cellStyle name="Normal 8 3 4 7 2 2" xfId="33761"/>
    <cellStyle name="Normal 8 3 4 7 2 2 2" xfId="33762"/>
    <cellStyle name="Normal 8 3 4 7 2 3" xfId="33763"/>
    <cellStyle name="Normal 8 3 4 7 3" xfId="33764"/>
    <cellStyle name="Normal 8 3 4 7 3 2" xfId="33765"/>
    <cellStyle name="Normal 8 3 4 7 4" xfId="33766"/>
    <cellStyle name="Normal 8 3 4 8" xfId="33767"/>
    <cellStyle name="Normal 8 3 4 8 2" xfId="33768"/>
    <cellStyle name="Normal 8 3 4 8 2 2" xfId="33769"/>
    <cellStyle name="Normal 8 3 4 8 3" xfId="33770"/>
    <cellStyle name="Normal 8 3 4 9" xfId="33771"/>
    <cellStyle name="Normal 8 3 4 9 2" xfId="33772"/>
    <cellStyle name="Normal 8 3 5" xfId="33773"/>
    <cellStyle name="Normal 8 3 5 2" xfId="33774"/>
    <cellStyle name="Normal 8 3 5 2 2" xfId="33775"/>
    <cellStyle name="Normal 8 3 5 2 2 2" xfId="33776"/>
    <cellStyle name="Normal 8 3 5 2 2 2 2" xfId="33777"/>
    <cellStyle name="Normal 8 3 5 2 2 2 2 2" xfId="33778"/>
    <cellStyle name="Normal 8 3 5 2 2 2 2 2 2" xfId="33779"/>
    <cellStyle name="Normal 8 3 5 2 2 2 2 3" xfId="33780"/>
    <cellStyle name="Normal 8 3 5 2 2 2 3" xfId="33781"/>
    <cellStyle name="Normal 8 3 5 2 2 2 3 2" xfId="33782"/>
    <cellStyle name="Normal 8 3 5 2 2 2 4" xfId="33783"/>
    <cellStyle name="Normal 8 3 5 2 2 3" xfId="33784"/>
    <cellStyle name="Normal 8 3 5 2 2 3 2" xfId="33785"/>
    <cellStyle name="Normal 8 3 5 2 2 3 2 2" xfId="33786"/>
    <cellStyle name="Normal 8 3 5 2 2 3 2 2 2" xfId="33787"/>
    <cellStyle name="Normal 8 3 5 2 2 3 2 3" xfId="33788"/>
    <cellStyle name="Normal 8 3 5 2 2 3 3" xfId="33789"/>
    <cellStyle name="Normal 8 3 5 2 2 3 3 2" xfId="33790"/>
    <cellStyle name="Normal 8 3 5 2 2 3 4" xfId="33791"/>
    <cellStyle name="Normal 8 3 5 2 2 4" xfId="33792"/>
    <cellStyle name="Normal 8 3 5 2 2 4 2" xfId="33793"/>
    <cellStyle name="Normal 8 3 5 2 2 4 2 2" xfId="33794"/>
    <cellStyle name="Normal 8 3 5 2 2 4 3" xfId="33795"/>
    <cellStyle name="Normal 8 3 5 2 2 5" xfId="33796"/>
    <cellStyle name="Normal 8 3 5 2 2 5 2" xfId="33797"/>
    <cellStyle name="Normal 8 3 5 2 2 6" xfId="33798"/>
    <cellStyle name="Normal 8 3 5 2 3" xfId="33799"/>
    <cellStyle name="Normal 8 3 5 2 3 2" xfId="33800"/>
    <cellStyle name="Normal 8 3 5 2 3 2 2" xfId="33801"/>
    <cellStyle name="Normal 8 3 5 2 3 2 2 2" xfId="33802"/>
    <cellStyle name="Normal 8 3 5 2 3 2 3" xfId="33803"/>
    <cellStyle name="Normal 8 3 5 2 3 3" xfId="33804"/>
    <cellStyle name="Normal 8 3 5 2 3 3 2" xfId="33805"/>
    <cellStyle name="Normal 8 3 5 2 3 4" xfId="33806"/>
    <cellStyle name="Normal 8 3 5 2 4" xfId="33807"/>
    <cellStyle name="Normal 8 3 5 2 4 2" xfId="33808"/>
    <cellStyle name="Normal 8 3 5 2 4 2 2" xfId="33809"/>
    <cellStyle name="Normal 8 3 5 2 4 2 2 2" xfId="33810"/>
    <cellStyle name="Normal 8 3 5 2 4 2 3" xfId="33811"/>
    <cellStyle name="Normal 8 3 5 2 4 3" xfId="33812"/>
    <cellStyle name="Normal 8 3 5 2 4 3 2" xfId="33813"/>
    <cellStyle name="Normal 8 3 5 2 4 4" xfId="33814"/>
    <cellStyle name="Normal 8 3 5 2 5" xfId="33815"/>
    <cellStyle name="Normal 8 3 5 2 5 2" xfId="33816"/>
    <cellStyle name="Normal 8 3 5 2 5 2 2" xfId="33817"/>
    <cellStyle name="Normal 8 3 5 2 5 3" xfId="33818"/>
    <cellStyle name="Normal 8 3 5 2 6" xfId="33819"/>
    <cellStyle name="Normal 8 3 5 2 6 2" xfId="33820"/>
    <cellStyle name="Normal 8 3 5 2 7" xfId="33821"/>
    <cellStyle name="Normal 8 3 5 3" xfId="33822"/>
    <cellStyle name="Normal 8 3 5 3 2" xfId="33823"/>
    <cellStyle name="Normal 8 3 5 3 2 2" xfId="33824"/>
    <cellStyle name="Normal 8 3 5 3 2 2 2" xfId="33825"/>
    <cellStyle name="Normal 8 3 5 3 2 2 2 2" xfId="33826"/>
    <cellStyle name="Normal 8 3 5 3 2 2 3" xfId="33827"/>
    <cellStyle name="Normal 8 3 5 3 2 3" xfId="33828"/>
    <cellStyle name="Normal 8 3 5 3 2 3 2" xfId="33829"/>
    <cellStyle name="Normal 8 3 5 3 2 4" xfId="33830"/>
    <cellStyle name="Normal 8 3 5 3 3" xfId="33831"/>
    <cellStyle name="Normal 8 3 5 3 3 2" xfId="33832"/>
    <cellStyle name="Normal 8 3 5 3 3 2 2" xfId="33833"/>
    <cellStyle name="Normal 8 3 5 3 3 2 2 2" xfId="33834"/>
    <cellStyle name="Normal 8 3 5 3 3 2 3" xfId="33835"/>
    <cellStyle name="Normal 8 3 5 3 3 3" xfId="33836"/>
    <cellStyle name="Normal 8 3 5 3 3 3 2" xfId="33837"/>
    <cellStyle name="Normal 8 3 5 3 3 4" xfId="33838"/>
    <cellStyle name="Normal 8 3 5 3 4" xfId="33839"/>
    <cellStyle name="Normal 8 3 5 3 4 2" xfId="33840"/>
    <cellStyle name="Normal 8 3 5 3 4 2 2" xfId="33841"/>
    <cellStyle name="Normal 8 3 5 3 4 3" xfId="33842"/>
    <cellStyle name="Normal 8 3 5 3 5" xfId="33843"/>
    <cellStyle name="Normal 8 3 5 3 5 2" xfId="33844"/>
    <cellStyle name="Normal 8 3 5 3 6" xfId="33845"/>
    <cellStyle name="Normal 8 3 5 4" xfId="33846"/>
    <cellStyle name="Normal 8 3 5 4 2" xfId="33847"/>
    <cellStyle name="Normal 8 3 5 4 2 2" xfId="33848"/>
    <cellStyle name="Normal 8 3 5 4 2 2 2" xfId="33849"/>
    <cellStyle name="Normal 8 3 5 4 2 3" xfId="33850"/>
    <cellStyle name="Normal 8 3 5 4 3" xfId="33851"/>
    <cellStyle name="Normal 8 3 5 4 3 2" xfId="33852"/>
    <cellStyle name="Normal 8 3 5 4 4" xfId="33853"/>
    <cellStyle name="Normal 8 3 5 5" xfId="33854"/>
    <cellStyle name="Normal 8 3 5 5 2" xfId="33855"/>
    <cellStyle name="Normal 8 3 5 5 2 2" xfId="33856"/>
    <cellStyle name="Normal 8 3 5 5 2 2 2" xfId="33857"/>
    <cellStyle name="Normal 8 3 5 5 2 3" xfId="33858"/>
    <cellStyle name="Normal 8 3 5 5 3" xfId="33859"/>
    <cellStyle name="Normal 8 3 5 5 3 2" xfId="33860"/>
    <cellStyle name="Normal 8 3 5 5 4" xfId="33861"/>
    <cellStyle name="Normal 8 3 5 6" xfId="33862"/>
    <cellStyle name="Normal 8 3 5 6 2" xfId="33863"/>
    <cellStyle name="Normal 8 3 5 6 2 2" xfId="33864"/>
    <cellStyle name="Normal 8 3 5 6 2 2 2" xfId="33865"/>
    <cellStyle name="Normal 8 3 5 6 2 3" xfId="33866"/>
    <cellStyle name="Normal 8 3 5 6 3" xfId="33867"/>
    <cellStyle name="Normal 8 3 5 6 3 2" xfId="33868"/>
    <cellStyle name="Normal 8 3 5 6 4" xfId="33869"/>
    <cellStyle name="Normal 8 3 5 7" xfId="33870"/>
    <cellStyle name="Normal 8 3 5 7 2" xfId="33871"/>
    <cellStyle name="Normal 8 3 5 7 2 2" xfId="33872"/>
    <cellStyle name="Normal 8 3 5 7 3" xfId="33873"/>
    <cellStyle name="Normal 8 3 5 8" xfId="33874"/>
    <cellStyle name="Normal 8 3 5 8 2" xfId="33875"/>
    <cellStyle name="Normal 8 3 5 9" xfId="33876"/>
    <cellStyle name="Normal 8 3 6" xfId="33877"/>
    <cellStyle name="Normal 8 3 6 2" xfId="33878"/>
    <cellStyle name="Normal 8 3 6 2 2" xfId="33879"/>
    <cellStyle name="Normal 8 3 6 2 2 2" xfId="33880"/>
    <cellStyle name="Normal 8 3 6 2 2 2 2" xfId="33881"/>
    <cellStyle name="Normal 8 3 6 2 2 2 2 2" xfId="33882"/>
    <cellStyle name="Normal 8 3 6 2 2 2 3" xfId="33883"/>
    <cellStyle name="Normal 8 3 6 2 2 3" xfId="33884"/>
    <cellStyle name="Normal 8 3 6 2 2 3 2" xfId="33885"/>
    <cellStyle name="Normal 8 3 6 2 2 4" xfId="33886"/>
    <cellStyle name="Normal 8 3 6 2 3" xfId="33887"/>
    <cellStyle name="Normal 8 3 6 2 3 2" xfId="33888"/>
    <cellStyle name="Normal 8 3 6 2 3 2 2" xfId="33889"/>
    <cellStyle name="Normal 8 3 6 2 3 2 2 2" xfId="33890"/>
    <cellStyle name="Normal 8 3 6 2 3 2 3" xfId="33891"/>
    <cellStyle name="Normal 8 3 6 2 3 3" xfId="33892"/>
    <cellStyle name="Normal 8 3 6 2 3 3 2" xfId="33893"/>
    <cellStyle name="Normal 8 3 6 2 3 4" xfId="33894"/>
    <cellStyle name="Normal 8 3 6 2 4" xfId="33895"/>
    <cellStyle name="Normal 8 3 6 2 4 2" xfId="33896"/>
    <cellStyle name="Normal 8 3 6 2 4 2 2" xfId="33897"/>
    <cellStyle name="Normal 8 3 6 2 4 3" xfId="33898"/>
    <cellStyle name="Normal 8 3 6 2 5" xfId="33899"/>
    <cellStyle name="Normal 8 3 6 2 5 2" xfId="33900"/>
    <cellStyle name="Normal 8 3 6 2 6" xfId="33901"/>
    <cellStyle name="Normal 8 3 6 3" xfId="33902"/>
    <cellStyle name="Normal 8 3 6 3 2" xfId="33903"/>
    <cellStyle name="Normal 8 3 6 3 2 2" xfId="33904"/>
    <cellStyle name="Normal 8 3 6 3 2 2 2" xfId="33905"/>
    <cellStyle name="Normal 8 3 6 3 2 3" xfId="33906"/>
    <cellStyle name="Normal 8 3 6 3 3" xfId="33907"/>
    <cellStyle name="Normal 8 3 6 3 3 2" xfId="33908"/>
    <cellStyle name="Normal 8 3 6 3 4" xfId="33909"/>
    <cellStyle name="Normal 8 3 6 4" xfId="33910"/>
    <cellStyle name="Normal 8 3 6 4 2" xfId="33911"/>
    <cellStyle name="Normal 8 3 6 4 2 2" xfId="33912"/>
    <cellStyle name="Normal 8 3 6 4 2 2 2" xfId="33913"/>
    <cellStyle name="Normal 8 3 6 4 2 3" xfId="33914"/>
    <cellStyle name="Normal 8 3 6 4 3" xfId="33915"/>
    <cellStyle name="Normal 8 3 6 4 3 2" xfId="33916"/>
    <cellStyle name="Normal 8 3 6 4 4" xfId="33917"/>
    <cellStyle name="Normal 8 3 6 5" xfId="33918"/>
    <cellStyle name="Normal 8 3 6 5 2" xfId="33919"/>
    <cellStyle name="Normal 8 3 6 5 2 2" xfId="33920"/>
    <cellStyle name="Normal 8 3 6 5 3" xfId="33921"/>
    <cellStyle name="Normal 8 3 6 6" xfId="33922"/>
    <cellStyle name="Normal 8 3 6 6 2" xfId="33923"/>
    <cellStyle name="Normal 8 3 6 7" xfId="33924"/>
    <cellStyle name="Normal 8 3 7" xfId="33925"/>
    <cellStyle name="Normal 8 3 7 2" xfId="33926"/>
    <cellStyle name="Normal 8 3 7 2 2" xfId="33927"/>
    <cellStyle name="Normal 8 3 7 2 2 2" xfId="33928"/>
    <cellStyle name="Normal 8 3 7 2 2 2 2" xfId="33929"/>
    <cellStyle name="Normal 8 3 7 2 2 3" xfId="33930"/>
    <cellStyle name="Normal 8 3 7 2 3" xfId="33931"/>
    <cellStyle name="Normal 8 3 7 2 3 2" xfId="33932"/>
    <cellStyle name="Normal 8 3 7 2 4" xfId="33933"/>
    <cellStyle name="Normal 8 3 7 3" xfId="33934"/>
    <cellStyle name="Normal 8 3 7 3 2" xfId="33935"/>
    <cellStyle name="Normal 8 3 7 3 2 2" xfId="33936"/>
    <cellStyle name="Normal 8 3 7 3 2 2 2" xfId="33937"/>
    <cellStyle name="Normal 8 3 7 3 2 3" xfId="33938"/>
    <cellStyle name="Normal 8 3 7 3 3" xfId="33939"/>
    <cellStyle name="Normal 8 3 7 3 3 2" xfId="33940"/>
    <cellStyle name="Normal 8 3 7 3 4" xfId="33941"/>
    <cellStyle name="Normal 8 3 7 4" xfId="33942"/>
    <cellStyle name="Normal 8 3 7 4 2" xfId="33943"/>
    <cellStyle name="Normal 8 3 7 4 2 2" xfId="33944"/>
    <cellStyle name="Normal 8 3 7 4 3" xfId="33945"/>
    <cellStyle name="Normal 8 3 7 5" xfId="33946"/>
    <cellStyle name="Normal 8 3 7 5 2" xfId="33947"/>
    <cellStyle name="Normal 8 3 7 6" xfId="33948"/>
    <cellStyle name="Normal 8 3 8" xfId="33949"/>
    <cellStyle name="Normal 8 3 8 2" xfId="33950"/>
    <cellStyle name="Normal 8 3 8 2 2" xfId="33951"/>
    <cellStyle name="Normal 8 3 8 2 2 2" xfId="33952"/>
    <cellStyle name="Normal 8 3 8 2 3" xfId="33953"/>
    <cellStyle name="Normal 8 3 8 3" xfId="33954"/>
    <cellStyle name="Normal 8 3 8 3 2" xfId="33955"/>
    <cellStyle name="Normal 8 3 8 4" xfId="33956"/>
    <cellStyle name="Normal 8 3 9" xfId="33957"/>
    <cellStyle name="Normal 8 3 9 2" xfId="33958"/>
    <cellStyle name="Normal 8 3 9 2 2" xfId="33959"/>
    <cellStyle name="Normal 8 3 9 2 2 2" xfId="33960"/>
    <cellStyle name="Normal 8 3 9 2 3" xfId="33961"/>
    <cellStyle name="Normal 8 3 9 3" xfId="33962"/>
    <cellStyle name="Normal 8 3 9 3 2" xfId="33963"/>
    <cellStyle name="Normal 8 3 9 4" xfId="33964"/>
    <cellStyle name="Normal 8 4" xfId="33965"/>
    <cellStyle name="Normal 8 4 10" xfId="33966"/>
    <cellStyle name="Normal 8 4 10 2" xfId="33967"/>
    <cellStyle name="Normal 8 4 11" xfId="33968"/>
    <cellStyle name="Normal 8 4 2" xfId="33969"/>
    <cellStyle name="Normal 8 4 2 10" xfId="33970"/>
    <cellStyle name="Normal 8 4 2 2" xfId="33971"/>
    <cellStyle name="Normal 8 4 2 2 2" xfId="33972"/>
    <cellStyle name="Normal 8 4 2 2 2 2" xfId="33973"/>
    <cellStyle name="Normal 8 4 2 2 2 2 2" xfId="33974"/>
    <cellStyle name="Normal 8 4 2 2 2 2 2 2" xfId="33975"/>
    <cellStyle name="Normal 8 4 2 2 2 2 2 2 2" xfId="33976"/>
    <cellStyle name="Normal 8 4 2 2 2 2 2 2 2 2" xfId="33977"/>
    <cellStyle name="Normal 8 4 2 2 2 2 2 2 3" xfId="33978"/>
    <cellStyle name="Normal 8 4 2 2 2 2 2 3" xfId="33979"/>
    <cellStyle name="Normal 8 4 2 2 2 2 2 3 2" xfId="33980"/>
    <cellStyle name="Normal 8 4 2 2 2 2 2 4" xfId="33981"/>
    <cellStyle name="Normal 8 4 2 2 2 2 3" xfId="33982"/>
    <cellStyle name="Normal 8 4 2 2 2 2 3 2" xfId="33983"/>
    <cellStyle name="Normal 8 4 2 2 2 2 3 2 2" xfId="33984"/>
    <cellStyle name="Normal 8 4 2 2 2 2 3 2 2 2" xfId="33985"/>
    <cellStyle name="Normal 8 4 2 2 2 2 3 2 3" xfId="33986"/>
    <cellStyle name="Normal 8 4 2 2 2 2 3 3" xfId="33987"/>
    <cellStyle name="Normal 8 4 2 2 2 2 3 3 2" xfId="33988"/>
    <cellStyle name="Normal 8 4 2 2 2 2 3 4" xfId="33989"/>
    <cellStyle name="Normal 8 4 2 2 2 2 4" xfId="33990"/>
    <cellStyle name="Normal 8 4 2 2 2 2 4 2" xfId="33991"/>
    <cellStyle name="Normal 8 4 2 2 2 2 4 2 2" xfId="33992"/>
    <cellStyle name="Normal 8 4 2 2 2 2 4 3" xfId="33993"/>
    <cellStyle name="Normal 8 4 2 2 2 2 5" xfId="33994"/>
    <cellStyle name="Normal 8 4 2 2 2 2 5 2" xfId="33995"/>
    <cellStyle name="Normal 8 4 2 2 2 2 6" xfId="33996"/>
    <cellStyle name="Normal 8 4 2 2 2 3" xfId="33997"/>
    <cellStyle name="Normal 8 4 2 2 2 3 2" xfId="33998"/>
    <cellStyle name="Normal 8 4 2 2 2 3 2 2" xfId="33999"/>
    <cellStyle name="Normal 8 4 2 2 2 3 2 2 2" xfId="34000"/>
    <cellStyle name="Normal 8 4 2 2 2 3 2 3" xfId="34001"/>
    <cellStyle name="Normal 8 4 2 2 2 3 3" xfId="34002"/>
    <cellStyle name="Normal 8 4 2 2 2 3 3 2" xfId="34003"/>
    <cellStyle name="Normal 8 4 2 2 2 3 4" xfId="34004"/>
    <cellStyle name="Normal 8 4 2 2 2 4" xfId="34005"/>
    <cellStyle name="Normal 8 4 2 2 2 4 2" xfId="34006"/>
    <cellStyle name="Normal 8 4 2 2 2 4 2 2" xfId="34007"/>
    <cellStyle name="Normal 8 4 2 2 2 4 2 2 2" xfId="34008"/>
    <cellStyle name="Normal 8 4 2 2 2 4 2 3" xfId="34009"/>
    <cellStyle name="Normal 8 4 2 2 2 4 3" xfId="34010"/>
    <cellStyle name="Normal 8 4 2 2 2 4 3 2" xfId="34011"/>
    <cellStyle name="Normal 8 4 2 2 2 4 4" xfId="34012"/>
    <cellStyle name="Normal 8 4 2 2 2 5" xfId="34013"/>
    <cellStyle name="Normal 8 4 2 2 2 5 2" xfId="34014"/>
    <cellStyle name="Normal 8 4 2 2 2 5 2 2" xfId="34015"/>
    <cellStyle name="Normal 8 4 2 2 2 5 3" xfId="34016"/>
    <cellStyle name="Normal 8 4 2 2 2 6" xfId="34017"/>
    <cellStyle name="Normal 8 4 2 2 2 6 2" xfId="34018"/>
    <cellStyle name="Normal 8 4 2 2 2 7" xfId="34019"/>
    <cellStyle name="Normal 8 4 2 2 3" xfId="34020"/>
    <cellStyle name="Normal 8 4 2 2 3 2" xfId="34021"/>
    <cellStyle name="Normal 8 4 2 2 3 2 2" xfId="34022"/>
    <cellStyle name="Normal 8 4 2 2 3 2 2 2" xfId="34023"/>
    <cellStyle name="Normal 8 4 2 2 3 2 2 2 2" xfId="34024"/>
    <cellStyle name="Normal 8 4 2 2 3 2 2 3" xfId="34025"/>
    <cellStyle name="Normal 8 4 2 2 3 2 3" xfId="34026"/>
    <cellStyle name="Normal 8 4 2 2 3 2 3 2" xfId="34027"/>
    <cellStyle name="Normal 8 4 2 2 3 2 4" xfId="34028"/>
    <cellStyle name="Normal 8 4 2 2 3 3" xfId="34029"/>
    <cellStyle name="Normal 8 4 2 2 3 3 2" xfId="34030"/>
    <cellStyle name="Normal 8 4 2 2 3 3 2 2" xfId="34031"/>
    <cellStyle name="Normal 8 4 2 2 3 3 2 2 2" xfId="34032"/>
    <cellStyle name="Normal 8 4 2 2 3 3 2 3" xfId="34033"/>
    <cellStyle name="Normal 8 4 2 2 3 3 3" xfId="34034"/>
    <cellStyle name="Normal 8 4 2 2 3 3 3 2" xfId="34035"/>
    <cellStyle name="Normal 8 4 2 2 3 3 4" xfId="34036"/>
    <cellStyle name="Normal 8 4 2 2 3 4" xfId="34037"/>
    <cellStyle name="Normal 8 4 2 2 3 4 2" xfId="34038"/>
    <cellStyle name="Normal 8 4 2 2 3 4 2 2" xfId="34039"/>
    <cellStyle name="Normal 8 4 2 2 3 4 3" xfId="34040"/>
    <cellStyle name="Normal 8 4 2 2 3 5" xfId="34041"/>
    <cellStyle name="Normal 8 4 2 2 3 5 2" xfId="34042"/>
    <cellStyle name="Normal 8 4 2 2 3 6" xfId="34043"/>
    <cellStyle name="Normal 8 4 2 2 4" xfId="34044"/>
    <cellStyle name="Normal 8 4 2 2 4 2" xfId="34045"/>
    <cellStyle name="Normal 8 4 2 2 4 2 2" xfId="34046"/>
    <cellStyle name="Normal 8 4 2 2 4 2 2 2" xfId="34047"/>
    <cellStyle name="Normal 8 4 2 2 4 2 3" xfId="34048"/>
    <cellStyle name="Normal 8 4 2 2 4 3" xfId="34049"/>
    <cellStyle name="Normal 8 4 2 2 4 3 2" xfId="34050"/>
    <cellStyle name="Normal 8 4 2 2 4 4" xfId="34051"/>
    <cellStyle name="Normal 8 4 2 2 5" xfId="34052"/>
    <cellStyle name="Normal 8 4 2 2 5 2" xfId="34053"/>
    <cellStyle name="Normal 8 4 2 2 5 2 2" xfId="34054"/>
    <cellStyle name="Normal 8 4 2 2 5 2 2 2" xfId="34055"/>
    <cellStyle name="Normal 8 4 2 2 5 2 3" xfId="34056"/>
    <cellStyle name="Normal 8 4 2 2 5 3" xfId="34057"/>
    <cellStyle name="Normal 8 4 2 2 5 3 2" xfId="34058"/>
    <cellStyle name="Normal 8 4 2 2 5 4" xfId="34059"/>
    <cellStyle name="Normal 8 4 2 2 6" xfId="34060"/>
    <cellStyle name="Normal 8 4 2 2 6 2" xfId="34061"/>
    <cellStyle name="Normal 8 4 2 2 6 2 2" xfId="34062"/>
    <cellStyle name="Normal 8 4 2 2 6 2 2 2" xfId="34063"/>
    <cellStyle name="Normal 8 4 2 2 6 2 3" xfId="34064"/>
    <cellStyle name="Normal 8 4 2 2 6 3" xfId="34065"/>
    <cellStyle name="Normal 8 4 2 2 6 3 2" xfId="34066"/>
    <cellStyle name="Normal 8 4 2 2 6 4" xfId="34067"/>
    <cellStyle name="Normal 8 4 2 2 7" xfId="34068"/>
    <cellStyle name="Normal 8 4 2 2 7 2" xfId="34069"/>
    <cellStyle name="Normal 8 4 2 2 7 2 2" xfId="34070"/>
    <cellStyle name="Normal 8 4 2 2 7 3" xfId="34071"/>
    <cellStyle name="Normal 8 4 2 2 8" xfId="34072"/>
    <cellStyle name="Normal 8 4 2 2 8 2" xfId="34073"/>
    <cellStyle name="Normal 8 4 2 2 9" xfId="34074"/>
    <cellStyle name="Normal 8 4 2 3" xfId="34075"/>
    <cellStyle name="Normal 8 4 2 3 2" xfId="34076"/>
    <cellStyle name="Normal 8 4 2 3 2 2" xfId="34077"/>
    <cellStyle name="Normal 8 4 2 3 2 2 2" xfId="34078"/>
    <cellStyle name="Normal 8 4 2 3 2 2 2 2" xfId="34079"/>
    <cellStyle name="Normal 8 4 2 3 2 2 2 2 2" xfId="34080"/>
    <cellStyle name="Normal 8 4 2 3 2 2 2 3" xfId="34081"/>
    <cellStyle name="Normal 8 4 2 3 2 2 3" xfId="34082"/>
    <cellStyle name="Normal 8 4 2 3 2 2 3 2" xfId="34083"/>
    <cellStyle name="Normal 8 4 2 3 2 2 4" xfId="34084"/>
    <cellStyle name="Normal 8 4 2 3 2 3" xfId="34085"/>
    <cellStyle name="Normal 8 4 2 3 2 3 2" xfId="34086"/>
    <cellStyle name="Normal 8 4 2 3 2 3 2 2" xfId="34087"/>
    <cellStyle name="Normal 8 4 2 3 2 3 2 2 2" xfId="34088"/>
    <cellStyle name="Normal 8 4 2 3 2 3 2 3" xfId="34089"/>
    <cellStyle name="Normal 8 4 2 3 2 3 3" xfId="34090"/>
    <cellStyle name="Normal 8 4 2 3 2 3 3 2" xfId="34091"/>
    <cellStyle name="Normal 8 4 2 3 2 3 4" xfId="34092"/>
    <cellStyle name="Normal 8 4 2 3 2 4" xfId="34093"/>
    <cellStyle name="Normal 8 4 2 3 2 4 2" xfId="34094"/>
    <cellStyle name="Normal 8 4 2 3 2 4 2 2" xfId="34095"/>
    <cellStyle name="Normal 8 4 2 3 2 4 3" xfId="34096"/>
    <cellStyle name="Normal 8 4 2 3 2 5" xfId="34097"/>
    <cellStyle name="Normal 8 4 2 3 2 5 2" xfId="34098"/>
    <cellStyle name="Normal 8 4 2 3 2 6" xfId="34099"/>
    <cellStyle name="Normal 8 4 2 3 3" xfId="34100"/>
    <cellStyle name="Normal 8 4 2 3 3 2" xfId="34101"/>
    <cellStyle name="Normal 8 4 2 3 3 2 2" xfId="34102"/>
    <cellStyle name="Normal 8 4 2 3 3 2 2 2" xfId="34103"/>
    <cellStyle name="Normal 8 4 2 3 3 2 3" xfId="34104"/>
    <cellStyle name="Normal 8 4 2 3 3 3" xfId="34105"/>
    <cellStyle name="Normal 8 4 2 3 3 3 2" xfId="34106"/>
    <cellStyle name="Normal 8 4 2 3 3 4" xfId="34107"/>
    <cellStyle name="Normal 8 4 2 3 4" xfId="34108"/>
    <cellStyle name="Normal 8 4 2 3 4 2" xfId="34109"/>
    <cellStyle name="Normal 8 4 2 3 4 2 2" xfId="34110"/>
    <cellStyle name="Normal 8 4 2 3 4 2 2 2" xfId="34111"/>
    <cellStyle name="Normal 8 4 2 3 4 2 3" xfId="34112"/>
    <cellStyle name="Normal 8 4 2 3 4 3" xfId="34113"/>
    <cellStyle name="Normal 8 4 2 3 4 3 2" xfId="34114"/>
    <cellStyle name="Normal 8 4 2 3 4 4" xfId="34115"/>
    <cellStyle name="Normal 8 4 2 3 5" xfId="34116"/>
    <cellStyle name="Normal 8 4 2 3 5 2" xfId="34117"/>
    <cellStyle name="Normal 8 4 2 3 5 2 2" xfId="34118"/>
    <cellStyle name="Normal 8 4 2 3 5 3" xfId="34119"/>
    <cellStyle name="Normal 8 4 2 3 6" xfId="34120"/>
    <cellStyle name="Normal 8 4 2 3 6 2" xfId="34121"/>
    <cellStyle name="Normal 8 4 2 3 7" xfId="34122"/>
    <cellStyle name="Normal 8 4 2 4" xfId="34123"/>
    <cellStyle name="Normal 8 4 2 4 2" xfId="34124"/>
    <cellStyle name="Normal 8 4 2 4 2 2" xfId="34125"/>
    <cellStyle name="Normal 8 4 2 4 2 2 2" xfId="34126"/>
    <cellStyle name="Normal 8 4 2 4 2 2 2 2" xfId="34127"/>
    <cellStyle name="Normal 8 4 2 4 2 2 3" xfId="34128"/>
    <cellStyle name="Normal 8 4 2 4 2 3" xfId="34129"/>
    <cellStyle name="Normal 8 4 2 4 2 3 2" xfId="34130"/>
    <cellStyle name="Normal 8 4 2 4 2 4" xfId="34131"/>
    <cellStyle name="Normal 8 4 2 4 3" xfId="34132"/>
    <cellStyle name="Normal 8 4 2 4 3 2" xfId="34133"/>
    <cellStyle name="Normal 8 4 2 4 3 2 2" xfId="34134"/>
    <cellStyle name="Normal 8 4 2 4 3 2 2 2" xfId="34135"/>
    <cellStyle name="Normal 8 4 2 4 3 2 3" xfId="34136"/>
    <cellStyle name="Normal 8 4 2 4 3 3" xfId="34137"/>
    <cellStyle name="Normal 8 4 2 4 3 3 2" xfId="34138"/>
    <cellStyle name="Normal 8 4 2 4 3 4" xfId="34139"/>
    <cellStyle name="Normal 8 4 2 4 4" xfId="34140"/>
    <cellStyle name="Normal 8 4 2 4 4 2" xfId="34141"/>
    <cellStyle name="Normal 8 4 2 4 4 2 2" xfId="34142"/>
    <cellStyle name="Normal 8 4 2 4 4 3" xfId="34143"/>
    <cellStyle name="Normal 8 4 2 4 5" xfId="34144"/>
    <cellStyle name="Normal 8 4 2 4 5 2" xfId="34145"/>
    <cellStyle name="Normal 8 4 2 4 6" xfId="34146"/>
    <cellStyle name="Normal 8 4 2 5" xfId="34147"/>
    <cellStyle name="Normal 8 4 2 5 2" xfId="34148"/>
    <cellStyle name="Normal 8 4 2 5 2 2" xfId="34149"/>
    <cellStyle name="Normal 8 4 2 5 2 2 2" xfId="34150"/>
    <cellStyle name="Normal 8 4 2 5 2 3" xfId="34151"/>
    <cellStyle name="Normal 8 4 2 5 3" xfId="34152"/>
    <cellStyle name="Normal 8 4 2 5 3 2" xfId="34153"/>
    <cellStyle name="Normal 8 4 2 5 4" xfId="34154"/>
    <cellStyle name="Normal 8 4 2 6" xfId="34155"/>
    <cellStyle name="Normal 8 4 2 6 2" xfId="34156"/>
    <cellStyle name="Normal 8 4 2 6 2 2" xfId="34157"/>
    <cellStyle name="Normal 8 4 2 6 2 2 2" xfId="34158"/>
    <cellStyle name="Normal 8 4 2 6 2 3" xfId="34159"/>
    <cellStyle name="Normal 8 4 2 6 3" xfId="34160"/>
    <cellStyle name="Normal 8 4 2 6 3 2" xfId="34161"/>
    <cellStyle name="Normal 8 4 2 6 4" xfId="34162"/>
    <cellStyle name="Normal 8 4 2 7" xfId="34163"/>
    <cellStyle name="Normal 8 4 2 7 2" xfId="34164"/>
    <cellStyle name="Normal 8 4 2 7 2 2" xfId="34165"/>
    <cellStyle name="Normal 8 4 2 7 2 2 2" xfId="34166"/>
    <cellStyle name="Normal 8 4 2 7 2 3" xfId="34167"/>
    <cellStyle name="Normal 8 4 2 7 3" xfId="34168"/>
    <cellStyle name="Normal 8 4 2 7 3 2" xfId="34169"/>
    <cellStyle name="Normal 8 4 2 7 4" xfId="34170"/>
    <cellStyle name="Normal 8 4 2 8" xfId="34171"/>
    <cellStyle name="Normal 8 4 2 8 2" xfId="34172"/>
    <cellStyle name="Normal 8 4 2 8 2 2" xfId="34173"/>
    <cellStyle name="Normal 8 4 2 8 3" xfId="34174"/>
    <cellStyle name="Normal 8 4 2 9" xfId="34175"/>
    <cellStyle name="Normal 8 4 2 9 2" xfId="34176"/>
    <cellStyle name="Normal 8 4 3" xfId="34177"/>
    <cellStyle name="Normal 8 4 3 2" xfId="34178"/>
    <cellStyle name="Normal 8 4 3 2 2" xfId="34179"/>
    <cellStyle name="Normal 8 4 3 2 2 2" xfId="34180"/>
    <cellStyle name="Normal 8 4 3 2 2 2 2" xfId="34181"/>
    <cellStyle name="Normal 8 4 3 2 2 2 2 2" xfId="34182"/>
    <cellStyle name="Normal 8 4 3 2 2 2 2 2 2" xfId="34183"/>
    <cellStyle name="Normal 8 4 3 2 2 2 2 3" xfId="34184"/>
    <cellStyle name="Normal 8 4 3 2 2 2 3" xfId="34185"/>
    <cellStyle name="Normal 8 4 3 2 2 2 3 2" xfId="34186"/>
    <cellStyle name="Normal 8 4 3 2 2 2 4" xfId="34187"/>
    <cellStyle name="Normal 8 4 3 2 2 3" xfId="34188"/>
    <cellStyle name="Normal 8 4 3 2 2 3 2" xfId="34189"/>
    <cellStyle name="Normal 8 4 3 2 2 3 2 2" xfId="34190"/>
    <cellStyle name="Normal 8 4 3 2 2 3 2 2 2" xfId="34191"/>
    <cellStyle name="Normal 8 4 3 2 2 3 2 3" xfId="34192"/>
    <cellStyle name="Normal 8 4 3 2 2 3 3" xfId="34193"/>
    <cellStyle name="Normal 8 4 3 2 2 3 3 2" xfId="34194"/>
    <cellStyle name="Normal 8 4 3 2 2 3 4" xfId="34195"/>
    <cellStyle name="Normal 8 4 3 2 2 4" xfId="34196"/>
    <cellStyle name="Normal 8 4 3 2 2 4 2" xfId="34197"/>
    <cellStyle name="Normal 8 4 3 2 2 4 2 2" xfId="34198"/>
    <cellStyle name="Normal 8 4 3 2 2 4 3" xfId="34199"/>
    <cellStyle name="Normal 8 4 3 2 2 5" xfId="34200"/>
    <cellStyle name="Normal 8 4 3 2 2 5 2" xfId="34201"/>
    <cellStyle name="Normal 8 4 3 2 2 6" xfId="34202"/>
    <cellStyle name="Normal 8 4 3 2 3" xfId="34203"/>
    <cellStyle name="Normal 8 4 3 2 3 2" xfId="34204"/>
    <cellStyle name="Normal 8 4 3 2 3 2 2" xfId="34205"/>
    <cellStyle name="Normal 8 4 3 2 3 2 2 2" xfId="34206"/>
    <cellStyle name="Normal 8 4 3 2 3 2 3" xfId="34207"/>
    <cellStyle name="Normal 8 4 3 2 3 3" xfId="34208"/>
    <cellStyle name="Normal 8 4 3 2 3 3 2" xfId="34209"/>
    <cellStyle name="Normal 8 4 3 2 3 4" xfId="34210"/>
    <cellStyle name="Normal 8 4 3 2 4" xfId="34211"/>
    <cellStyle name="Normal 8 4 3 2 4 2" xfId="34212"/>
    <cellStyle name="Normal 8 4 3 2 4 2 2" xfId="34213"/>
    <cellStyle name="Normal 8 4 3 2 4 2 2 2" xfId="34214"/>
    <cellStyle name="Normal 8 4 3 2 4 2 3" xfId="34215"/>
    <cellStyle name="Normal 8 4 3 2 4 3" xfId="34216"/>
    <cellStyle name="Normal 8 4 3 2 4 3 2" xfId="34217"/>
    <cellStyle name="Normal 8 4 3 2 4 4" xfId="34218"/>
    <cellStyle name="Normal 8 4 3 2 5" xfId="34219"/>
    <cellStyle name="Normal 8 4 3 2 5 2" xfId="34220"/>
    <cellStyle name="Normal 8 4 3 2 5 2 2" xfId="34221"/>
    <cellStyle name="Normal 8 4 3 2 5 3" xfId="34222"/>
    <cellStyle name="Normal 8 4 3 2 6" xfId="34223"/>
    <cellStyle name="Normal 8 4 3 2 6 2" xfId="34224"/>
    <cellStyle name="Normal 8 4 3 2 7" xfId="34225"/>
    <cellStyle name="Normal 8 4 3 3" xfId="34226"/>
    <cellStyle name="Normal 8 4 3 3 2" xfId="34227"/>
    <cellStyle name="Normal 8 4 3 3 2 2" xfId="34228"/>
    <cellStyle name="Normal 8 4 3 3 2 2 2" xfId="34229"/>
    <cellStyle name="Normal 8 4 3 3 2 2 2 2" xfId="34230"/>
    <cellStyle name="Normal 8 4 3 3 2 2 3" xfId="34231"/>
    <cellStyle name="Normal 8 4 3 3 2 3" xfId="34232"/>
    <cellStyle name="Normal 8 4 3 3 2 3 2" xfId="34233"/>
    <cellStyle name="Normal 8 4 3 3 2 4" xfId="34234"/>
    <cellStyle name="Normal 8 4 3 3 3" xfId="34235"/>
    <cellStyle name="Normal 8 4 3 3 3 2" xfId="34236"/>
    <cellStyle name="Normal 8 4 3 3 3 2 2" xfId="34237"/>
    <cellStyle name="Normal 8 4 3 3 3 2 2 2" xfId="34238"/>
    <cellStyle name="Normal 8 4 3 3 3 2 3" xfId="34239"/>
    <cellStyle name="Normal 8 4 3 3 3 3" xfId="34240"/>
    <cellStyle name="Normal 8 4 3 3 3 3 2" xfId="34241"/>
    <cellStyle name="Normal 8 4 3 3 3 4" xfId="34242"/>
    <cellStyle name="Normal 8 4 3 3 4" xfId="34243"/>
    <cellStyle name="Normal 8 4 3 3 4 2" xfId="34244"/>
    <cellStyle name="Normal 8 4 3 3 4 2 2" xfId="34245"/>
    <cellStyle name="Normal 8 4 3 3 4 3" xfId="34246"/>
    <cellStyle name="Normal 8 4 3 3 5" xfId="34247"/>
    <cellStyle name="Normal 8 4 3 3 5 2" xfId="34248"/>
    <cellStyle name="Normal 8 4 3 3 6" xfId="34249"/>
    <cellStyle name="Normal 8 4 3 4" xfId="34250"/>
    <cellStyle name="Normal 8 4 3 4 2" xfId="34251"/>
    <cellStyle name="Normal 8 4 3 4 2 2" xfId="34252"/>
    <cellStyle name="Normal 8 4 3 4 2 2 2" xfId="34253"/>
    <cellStyle name="Normal 8 4 3 4 2 3" xfId="34254"/>
    <cellStyle name="Normal 8 4 3 4 3" xfId="34255"/>
    <cellStyle name="Normal 8 4 3 4 3 2" xfId="34256"/>
    <cellStyle name="Normal 8 4 3 4 4" xfId="34257"/>
    <cellStyle name="Normal 8 4 3 5" xfId="34258"/>
    <cellStyle name="Normal 8 4 3 5 2" xfId="34259"/>
    <cellStyle name="Normal 8 4 3 5 2 2" xfId="34260"/>
    <cellStyle name="Normal 8 4 3 5 2 2 2" xfId="34261"/>
    <cellStyle name="Normal 8 4 3 5 2 3" xfId="34262"/>
    <cellStyle name="Normal 8 4 3 5 3" xfId="34263"/>
    <cellStyle name="Normal 8 4 3 5 3 2" xfId="34264"/>
    <cellStyle name="Normal 8 4 3 5 4" xfId="34265"/>
    <cellStyle name="Normal 8 4 3 6" xfId="34266"/>
    <cellStyle name="Normal 8 4 3 6 2" xfId="34267"/>
    <cellStyle name="Normal 8 4 3 6 2 2" xfId="34268"/>
    <cellStyle name="Normal 8 4 3 6 2 2 2" xfId="34269"/>
    <cellStyle name="Normal 8 4 3 6 2 3" xfId="34270"/>
    <cellStyle name="Normal 8 4 3 6 3" xfId="34271"/>
    <cellStyle name="Normal 8 4 3 6 3 2" xfId="34272"/>
    <cellStyle name="Normal 8 4 3 6 4" xfId="34273"/>
    <cellStyle name="Normal 8 4 3 7" xfId="34274"/>
    <cellStyle name="Normal 8 4 3 7 2" xfId="34275"/>
    <cellStyle name="Normal 8 4 3 7 2 2" xfId="34276"/>
    <cellStyle name="Normal 8 4 3 7 3" xfId="34277"/>
    <cellStyle name="Normal 8 4 3 8" xfId="34278"/>
    <cellStyle name="Normal 8 4 3 8 2" xfId="34279"/>
    <cellStyle name="Normal 8 4 3 9" xfId="34280"/>
    <cellStyle name="Normal 8 4 4" xfId="34281"/>
    <cellStyle name="Normal 8 4 4 2" xfId="34282"/>
    <cellStyle name="Normal 8 4 4 2 2" xfId="34283"/>
    <cellStyle name="Normal 8 4 4 2 2 2" xfId="34284"/>
    <cellStyle name="Normal 8 4 4 2 2 2 2" xfId="34285"/>
    <cellStyle name="Normal 8 4 4 2 2 2 2 2" xfId="34286"/>
    <cellStyle name="Normal 8 4 4 2 2 2 3" xfId="34287"/>
    <cellStyle name="Normal 8 4 4 2 2 3" xfId="34288"/>
    <cellStyle name="Normal 8 4 4 2 2 3 2" xfId="34289"/>
    <cellStyle name="Normal 8 4 4 2 2 4" xfId="34290"/>
    <cellStyle name="Normal 8 4 4 2 3" xfId="34291"/>
    <cellStyle name="Normal 8 4 4 2 3 2" xfId="34292"/>
    <cellStyle name="Normal 8 4 4 2 3 2 2" xfId="34293"/>
    <cellStyle name="Normal 8 4 4 2 3 2 2 2" xfId="34294"/>
    <cellStyle name="Normal 8 4 4 2 3 2 3" xfId="34295"/>
    <cellStyle name="Normal 8 4 4 2 3 3" xfId="34296"/>
    <cellStyle name="Normal 8 4 4 2 3 3 2" xfId="34297"/>
    <cellStyle name="Normal 8 4 4 2 3 4" xfId="34298"/>
    <cellStyle name="Normal 8 4 4 2 4" xfId="34299"/>
    <cellStyle name="Normal 8 4 4 2 4 2" xfId="34300"/>
    <cellStyle name="Normal 8 4 4 2 4 2 2" xfId="34301"/>
    <cellStyle name="Normal 8 4 4 2 4 3" xfId="34302"/>
    <cellStyle name="Normal 8 4 4 2 5" xfId="34303"/>
    <cellStyle name="Normal 8 4 4 2 5 2" xfId="34304"/>
    <cellStyle name="Normal 8 4 4 2 6" xfId="34305"/>
    <cellStyle name="Normal 8 4 4 3" xfId="34306"/>
    <cellStyle name="Normal 8 4 4 3 2" xfId="34307"/>
    <cellStyle name="Normal 8 4 4 3 2 2" xfId="34308"/>
    <cellStyle name="Normal 8 4 4 3 2 2 2" xfId="34309"/>
    <cellStyle name="Normal 8 4 4 3 2 3" xfId="34310"/>
    <cellStyle name="Normal 8 4 4 3 3" xfId="34311"/>
    <cellStyle name="Normal 8 4 4 3 3 2" xfId="34312"/>
    <cellStyle name="Normal 8 4 4 3 4" xfId="34313"/>
    <cellStyle name="Normal 8 4 4 4" xfId="34314"/>
    <cellStyle name="Normal 8 4 4 4 2" xfId="34315"/>
    <cellStyle name="Normal 8 4 4 4 2 2" xfId="34316"/>
    <cellStyle name="Normal 8 4 4 4 2 2 2" xfId="34317"/>
    <cellStyle name="Normal 8 4 4 4 2 3" xfId="34318"/>
    <cellStyle name="Normal 8 4 4 4 3" xfId="34319"/>
    <cellStyle name="Normal 8 4 4 4 3 2" xfId="34320"/>
    <cellStyle name="Normal 8 4 4 4 4" xfId="34321"/>
    <cellStyle name="Normal 8 4 4 5" xfId="34322"/>
    <cellStyle name="Normal 8 4 4 5 2" xfId="34323"/>
    <cellStyle name="Normal 8 4 4 5 2 2" xfId="34324"/>
    <cellStyle name="Normal 8 4 4 5 3" xfId="34325"/>
    <cellStyle name="Normal 8 4 4 6" xfId="34326"/>
    <cellStyle name="Normal 8 4 4 6 2" xfId="34327"/>
    <cellStyle name="Normal 8 4 4 7" xfId="34328"/>
    <cellStyle name="Normal 8 4 5" xfId="34329"/>
    <cellStyle name="Normal 8 4 5 2" xfId="34330"/>
    <cellStyle name="Normal 8 4 5 2 2" xfId="34331"/>
    <cellStyle name="Normal 8 4 5 2 2 2" xfId="34332"/>
    <cellStyle name="Normal 8 4 5 2 2 2 2" xfId="34333"/>
    <cellStyle name="Normal 8 4 5 2 2 3" xfId="34334"/>
    <cellStyle name="Normal 8 4 5 2 3" xfId="34335"/>
    <cellStyle name="Normal 8 4 5 2 3 2" xfId="34336"/>
    <cellStyle name="Normal 8 4 5 2 4" xfId="34337"/>
    <cellStyle name="Normal 8 4 5 3" xfId="34338"/>
    <cellStyle name="Normal 8 4 5 3 2" xfId="34339"/>
    <cellStyle name="Normal 8 4 5 3 2 2" xfId="34340"/>
    <cellStyle name="Normal 8 4 5 3 2 2 2" xfId="34341"/>
    <cellStyle name="Normal 8 4 5 3 2 3" xfId="34342"/>
    <cellStyle name="Normal 8 4 5 3 3" xfId="34343"/>
    <cellStyle name="Normal 8 4 5 3 3 2" xfId="34344"/>
    <cellStyle name="Normal 8 4 5 3 4" xfId="34345"/>
    <cellStyle name="Normal 8 4 5 4" xfId="34346"/>
    <cellStyle name="Normal 8 4 5 4 2" xfId="34347"/>
    <cellStyle name="Normal 8 4 5 4 2 2" xfId="34348"/>
    <cellStyle name="Normal 8 4 5 4 3" xfId="34349"/>
    <cellStyle name="Normal 8 4 5 5" xfId="34350"/>
    <cellStyle name="Normal 8 4 5 5 2" xfId="34351"/>
    <cellStyle name="Normal 8 4 5 6" xfId="34352"/>
    <cellStyle name="Normal 8 4 6" xfId="34353"/>
    <cellStyle name="Normal 8 4 6 2" xfId="34354"/>
    <cellStyle name="Normal 8 4 6 2 2" xfId="34355"/>
    <cellStyle name="Normal 8 4 6 2 2 2" xfId="34356"/>
    <cellStyle name="Normal 8 4 6 2 3" xfId="34357"/>
    <cellStyle name="Normal 8 4 6 3" xfId="34358"/>
    <cellStyle name="Normal 8 4 6 3 2" xfId="34359"/>
    <cellStyle name="Normal 8 4 6 4" xfId="34360"/>
    <cellStyle name="Normal 8 4 7" xfId="34361"/>
    <cellStyle name="Normal 8 4 7 2" xfId="34362"/>
    <cellStyle name="Normal 8 4 7 2 2" xfId="34363"/>
    <cellStyle name="Normal 8 4 7 2 2 2" xfId="34364"/>
    <cellStyle name="Normal 8 4 7 2 3" xfId="34365"/>
    <cellStyle name="Normal 8 4 7 3" xfId="34366"/>
    <cellStyle name="Normal 8 4 7 3 2" xfId="34367"/>
    <cellStyle name="Normal 8 4 7 4" xfId="34368"/>
    <cellStyle name="Normal 8 4 8" xfId="34369"/>
    <cellStyle name="Normal 8 4 8 2" xfId="34370"/>
    <cellStyle name="Normal 8 4 8 2 2" xfId="34371"/>
    <cellStyle name="Normal 8 4 8 2 2 2" xfId="34372"/>
    <cellStyle name="Normal 8 4 8 2 3" xfId="34373"/>
    <cellStyle name="Normal 8 4 8 3" xfId="34374"/>
    <cellStyle name="Normal 8 4 8 3 2" xfId="34375"/>
    <cellStyle name="Normal 8 4 8 4" xfId="34376"/>
    <cellStyle name="Normal 8 4 9" xfId="34377"/>
    <cellStyle name="Normal 8 4 9 2" xfId="34378"/>
    <cellStyle name="Normal 8 4 9 2 2" xfId="34379"/>
    <cellStyle name="Normal 8 4 9 3" xfId="34380"/>
    <cellStyle name="Normal 8 5" xfId="34381"/>
    <cellStyle name="Normal 8 5 10" xfId="34382"/>
    <cellStyle name="Normal 8 5 2" xfId="34383"/>
    <cellStyle name="Normal 8 5 2 2" xfId="34384"/>
    <cellStyle name="Normal 8 5 2 2 2" xfId="34385"/>
    <cellStyle name="Normal 8 5 2 2 2 2" xfId="34386"/>
    <cellStyle name="Normal 8 5 2 2 2 2 2" xfId="34387"/>
    <cellStyle name="Normal 8 5 2 2 2 2 2 2" xfId="34388"/>
    <cellStyle name="Normal 8 5 2 2 2 2 2 2 2" xfId="34389"/>
    <cellStyle name="Normal 8 5 2 2 2 2 2 3" xfId="34390"/>
    <cellStyle name="Normal 8 5 2 2 2 2 3" xfId="34391"/>
    <cellStyle name="Normal 8 5 2 2 2 2 3 2" xfId="34392"/>
    <cellStyle name="Normal 8 5 2 2 2 2 4" xfId="34393"/>
    <cellStyle name="Normal 8 5 2 2 2 3" xfId="34394"/>
    <cellStyle name="Normal 8 5 2 2 2 3 2" xfId="34395"/>
    <cellStyle name="Normal 8 5 2 2 2 3 2 2" xfId="34396"/>
    <cellStyle name="Normal 8 5 2 2 2 3 2 2 2" xfId="34397"/>
    <cellStyle name="Normal 8 5 2 2 2 3 2 3" xfId="34398"/>
    <cellStyle name="Normal 8 5 2 2 2 3 3" xfId="34399"/>
    <cellStyle name="Normal 8 5 2 2 2 3 3 2" xfId="34400"/>
    <cellStyle name="Normal 8 5 2 2 2 3 4" xfId="34401"/>
    <cellStyle name="Normal 8 5 2 2 2 4" xfId="34402"/>
    <cellStyle name="Normal 8 5 2 2 2 4 2" xfId="34403"/>
    <cellStyle name="Normal 8 5 2 2 2 4 2 2" xfId="34404"/>
    <cellStyle name="Normal 8 5 2 2 2 4 3" xfId="34405"/>
    <cellStyle name="Normal 8 5 2 2 2 5" xfId="34406"/>
    <cellStyle name="Normal 8 5 2 2 2 5 2" xfId="34407"/>
    <cellStyle name="Normal 8 5 2 2 2 6" xfId="34408"/>
    <cellStyle name="Normal 8 5 2 2 3" xfId="34409"/>
    <cellStyle name="Normal 8 5 2 2 3 2" xfId="34410"/>
    <cellStyle name="Normal 8 5 2 2 3 2 2" xfId="34411"/>
    <cellStyle name="Normal 8 5 2 2 3 2 2 2" xfId="34412"/>
    <cellStyle name="Normal 8 5 2 2 3 2 3" xfId="34413"/>
    <cellStyle name="Normal 8 5 2 2 3 3" xfId="34414"/>
    <cellStyle name="Normal 8 5 2 2 3 3 2" xfId="34415"/>
    <cellStyle name="Normal 8 5 2 2 3 4" xfId="34416"/>
    <cellStyle name="Normal 8 5 2 2 4" xfId="34417"/>
    <cellStyle name="Normal 8 5 2 2 4 2" xfId="34418"/>
    <cellStyle name="Normal 8 5 2 2 4 2 2" xfId="34419"/>
    <cellStyle name="Normal 8 5 2 2 4 2 2 2" xfId="34420"/>
    <cellStyle name="Normal 8 5 2 2 4 2 3" xfId="34421"/>
    <cellStyle name="Normal 8 5 2 2 4 3" xfId="34422"/>
    <cellStyle name="Normal 8 5 2 2 4 3 2" xfId="34423"/>
    <cellStyle name="Normal 8 5 2 2 4 4" xfId="34424"/>
    <cellStyle name="Normal 8 5 2 2 5" xfId="34425"/>
    <cellStyle name="Normal 8 5 2 2 5 2" xfId="34426"/>
    <cellStyle name="Normal 8 5 2 2 5 2 2" xfId="34427"/>
    <cellStyle name="Normal 8 5 2 2 5 3" xfId="34428"/>
    <cellStyle name="Normal 8 5 2 2 6" xfId="34429"/>
    <cellStyle name="Normal 8 5 2 2 6 2" xfId="34430"/>
    <cellStyle name="Normal 8 5 2 2 7" xfId="34431"/>
    <cellStyle name="Normal 8 5 2 3" xfId="34432"/>
    <cellStyle name="Normal 8 5 2 3 2" xfId="34433"/>
    <cellStyle name="Normal 8 5 2 3 2 2" xfId="34434"/>
    <cellStyle name="Normal 8 5 2 3 2 2 2" xfId="34435"/>
    <cellStyle name="Normal 8 5 2 3 2 2 2 2" xfId="34436"/>
    <cellStyle name="Normal 8 5 2 3 2 2 3" xfId="34437"/>
    <cellStyle name="Normal 8 5 2 3 2 3" xfId="34438"/>
    <cellStyle name="Normal 8 5 2 3 2 3 2" xfId="34439"/>
    <cellStyle name="Normal 8 5 2 3 2 4" xfId="34440"/>
    <cellStyle name="Normal 8 5 2 3 3" xfId="34441"/>
    <cellStyle name="Normal 8 5 2 3 3 2" xfId="34442"/>
    <cellStyle name="Normal 8 5 2 3 3 2 2" xfId="34443"/>
    <cellStyle name="Normal 8 5 2 3 3 2 2 2" xfId="34444"/>
    <cellStyle name="Normal 8 5 2 3 3 2 3" xfId="34445"/>
    <cellStyle name="Normal 8 5 2 3 3 3" xfId="34446"/>
    <cellStyle name="Normal 8 5 2 3 3 3 2" xfId="34447"/>
    <cellStyle name="Normal 8 5 2 3 3 4" xfId="34448"/>
    <cellStyle name="Normal 8 5 2 3 4" xfId="34449"/>
    <cellStyle name="Normal 8 5 2 3 4 2" xfId="34450"/>
    <cellStyle name="Normal 8 5 2 3 4 2 2" xfId="34451"/>
    <cellStyle name="Normal 8 5 2 3 4 3" xfId="34452"/>
    <cellStyle name="Normal 8 5 2 3 5" xfId="34453"/>
    <cellStyle name="Normal 8 5 2 3 5 2" xfId="34454"/>
    <cellStyle name="Normal 8 5 2 3 6" xfId="34455"/>
    <cellStyle name="Normal 8 5 2 4" xfId="34456"/>
    <cellStyle name="Normal 8 5 2 4 2" xfId="34457"/>
    <cellStyle name="Normal 8 5 2 4 2 2" xfId="34458"/>
    <cellStyle name="Normal 8 5 2 4 2 2 2" xfId="34459"/>
    <cellStyle name="Normal 8 5 2 4 2 3" xfId="34460"/>
    <cellStyle name="Normal 8 5 2 4 3" xfId="34461"/>
    <cellStyle name="Normal 8 5 2 4 3 2" xfId="34462"/>
    <cellStyle name="Normal 8 5 2 4 4" xfId="34463"/>
    <cellStyle name="Normal 8 5 2 5" xfId="34464"/>
    <cellStyle name="Normal 8 5 2 5 2" xfId="34465"/>
    <cellStyle name="Normal 8 5 2 5 2 2" xfId="34466"/>
    <cellStyle name="Normal 8 5 2 5 2 2 2" xfId="34467"/>
    <cellStyle name="Normal 8 5 2 5 2 3" xfId="34468"/>
    <cellStyle name="Normal 8 5 2 5 3" xfId="34469"/>
    <cellStyle name="Normal 8 5 2 5 3 2" xfId="34470"/>
    <cellStyle name="Normal 8 5 2 5 4" xfId="34471"/>
    <cellStyle name="Normal 8 5 2 6" xfId="34472"/>
    <cellStyle name="Normal 8 5 2 6 2" xfId="34473"/>
    <cellStyle name="Normal 8 5 2 6 2 2" xfId="34474"/>
    <cellStyle name="Normal 8 5 2 6 2 2 2" xfId="34475"/>
    <cellStyle name="Normal 8 5 2 6 2 3" xfId="34476"/>
    <cellStyle name="Normal 8 5 2 6 3" xfId="34477"/>
    <cellStyle name="Normal 8 5 2 6 3 2" xfId="34478"/>
    <cellStyle name="Normal 8 5 2 6 4" xfId="34479"/>
    <cellStyle name="Normal 8 5 2 7" xfId="34480"/>
    <cellStyle name="Normal 8 5 2 7 2" xfId="34481"/>
    <cellStyle name="Normal 8 5 2 7 2 2" xfId="34482"/>
    <cellStyle name="Normal 8 5 2 7 3" xfId="34483"/>
    <cellStyle name="Normal 8 5 2 8" xfId="34484"/>
    <cellStyle name="Normal 8 5 2 8 2" xfId="34485"/>
    <cellStyle name="Normal 8 5 2 9" xfId="34486"/>
    <cellStyle name="Normal 8 5 3" xfId="34487"/>
    <cellStyle name="Normal 8 5 3 2" xfId="34488"/>
    <cellStyle name="Normal 8 5 3 2 2" xfId="34489"/>
    <cellStyle name="Normal 8 5 3 2 2 2" xfId="34490"/>
    <cellStyle name="Normal 8 5 3 2 2 2 2" xfId="34491"/>
    <cellStyle name="Normal 8 5 3 2 2 2 2 2" xfId="34492"/>
    <cellStyle name="Normal 8 5 3 2 2 2 3" xfId="34493"/>
    <cellStyle name="Normal 8 5 3 2 2 3" xfId="34494"/>
    <cellStyle name="Normal 8 5 3 2 2 3 2" xfId="34495"/>
    <cellStyle name="Normal 8 5 3 2 2 4" xfId="34496"/>
    <cellStyle name="Normal 8 5 3 2 3" xfId="34497"/>
    <cellStyle name="Normal 8 5 3 2 3 2" xfId="34498"/>
    <cellStyle name="Normal 8 5 3 2 3 2 2" xfId="34499"/>
    <cellStyle name="Normal 8 5 3 2 3 2 2 2" xfId="34500"/>
    <cellStyle name="Normal 8 5 3 2 3 2 3" xfId="34501"/>
    <cellStyle name="Normal 8 5 3 2 3 3" xfId="34502"/>
    <cellStyle name="Normal 8 5 3 2 3 3 2" xfId="34503"/>
    <cellStyle name="Normal 8 5 3 2 3 4" xfId="34504"/>
    <cellStyle name="Normal 8 5 3 2 4" xfId="34505"/>
    <cellStyle name="Normal 8 5 3 2 4 2" xfId="34506"/>
    <cellStyle name="Normal 8 5 3 2 4 2 2" xfId="34507"/>
    <cellStyle name="Normal 8 5 3 2 4 3" xfId="34508"/>
    <cellStyle name="Normal 8 5 3 2 5" xfId="34509"/>
    <cellStyle name="Normal 8 5 3 2 5 2" xfId="34510"/>
    <cellStyle name="Normal 8 5 3 2 6" xfId="34511"/>
    <cellStyle name="Normal 8 5 3 3" xfId="34512"/>
    <cellStyle name="Normal 8 5 3 3 2" xfId="34513"/>
    <cellStyle name="Normal 8 5 3 3 2 2" xfId="34514"/>
    <cellStyle name="Normal 8 5 3 3 2 2 2" xfId="34515"/>
    <cellStyle name="Normal 8 5 3 3 2 3" xfId="34516"/>
    <cellStyle name="Normal 8 5 3 3 3" xfId="34517"/>
    <cellStyle name="Normal 8 5 3 3 3 2" xfId="34518"/>
    <cellStyle name="Normal 8 5 3 3 4" xfId="34519"/>
    <cellStyle name="Normal 8 5 3 4" xfId="34520"/>
    <cellStyle name="Normal 8 5 3 4 2" xfId="34521"/>
    <cellStyle name="Normal 8 5 3 4 2 2" xfId="34522"/>
    <cellStyle name="Normal 8 5 3 4 2 2 2" xfId="34523"/>
    <cellStyle name="Normal 8 5 3 4 2 3" xfId="34524"/>
    <cellStyle name="Normal 8 5 3 4 3" xfId="34525"/>
    <cellStyle name="Normal 8 5 3 4 3 2" xfId="34526"/>
    <cellStyle name="Normal 8 5 3 4 4" xfId="34527"/>
    <cellStyle name="Normal 8 5 3 5" xfId="34528"/>
    <cellStyle name="Normal 8 5 3 5 2" xfId="34529"/>
    <cellStyle name="Normal 8 5 3 5 2 2" xfId="34530"/>
    <cellStyle name="Normal 8 5 3 5 3" xfId="34531"/>
    <cellStyle name="Normal 8 5 3 6" xfId="34532"/>
    <cellStyle name="Normal 8 5 3 6 2" xfId="34533"/>
    <cellStyle name="Normal 8 5 3 7" xfId="34534"/>
    <cellStyle name="Normal 8 5 4" xfId="34535"/>
    <cellStyle name="Normal 8 5 4 2" xfId="34536"/>
    <cellStyle name="Normal 8 5 4 2 2" xfId="34537"/>
    <cellStyle name="Normal 8 5 4 2 2 2" xfId="34538"/>
    <cellStyle name="Normal 8 5 4 2 2 2 2" xfId="34539"/>
    <cellStyle name="Normal 8 5 4 2 2 3" xfId="34540"/>
    <cellStyle name="Normal 8 5 4 2 3" xfId="34541"/>
    <cellStyle name="Normal 8 5 4 2 3 2" xfId="34542"/>
    <cellStyle name="Normal 8 5 4 2 4" xfId="34543"/>
    <cellStyle name="Normal 8 5 4 3" xfId="34544"/>
    <cellStyle name="Normal 8 5 4 3 2" xfId="34545"/>
    <cellStyle name="Normal 8 5 4 3 2 2" xfId="34546"/>
    <cellStyle name="Normal 8 5 4 3 2 2 2" xfId="34547"/>
    <cellStyle name="Normal 8 5 4 3 2 3" xfId="34548"/>
    <cellStyle name="Normal 8 5 4 3 3" xfId="34549"/>
    <cellStyle name="Normal 8 5 4 3 3 2" xfId="34550"/>
    <cellStyle name="Normal 8 5 4 3 4" xfId="34551"/>
    <cellStyle name="Normal 8 5 4 4" xfId="34552"/>
    <cellStyle name="Normal 8 5 4 4 2" xfId="34553"/>
    <cellStyle name="Normal 8 5 4 4 2 2" xfId="34554"/>
    <cellStyle name="Normal 8 5 4 4 3" xfId="34555"/>
    <cellStyle name="Normal 8 5 4 5" xfId="34556"/>
    <cellStyle name="Normal 8 5 4 5 2" xfId="34557"/>
    <cellStyle name="Normal 8 5 4 6" xfId="34558"/>
    <cellStyle name="Normal 8 5 5" xfId="34559"/>
    <cellStyle name="Normal 8 5 5 2" xfId="34560"/>
    <cellStyle name="Normal 8 5 5 2 2" xfId="34561"/>
    <cellStyle name="Normal 8 5 5 2 2 2" xfId="34562"/>
    <cellStyle name="Normal 8 5 5 2 3" xfId="34563"/>
    <cellStyle name="Normal 8 5 5 3" xfId="34564"/>
    <cellStyle name="Normal 8 5 5 3 2" xfId="34565"/>
    <cellStyle name="Normal 8 5 5 4" xfId="34566"/>
    <cellStyle name="Normal 8 5 6" xfId="34567"/>
    <cellStyle name="Normal 8 5 6 2" xfId="34568"/>
    <cellStyle name="Normal 8 5 6 2 2" xfId="34569"/>
    <cellStyle name="Normal 8 5 6 2 2 2" xfId="34570"/>
    <cellStyle name="Normal 8 5 6 2 3" xfId="34571"/>
    <cellStyle name="Normal 8 5 6 3" xfId="34572"/>
    <cellStyle name="Normal 8 5 6 3 2" xfId="34573"/>
    <cellStyle name="Normal 8 5 6 4" xfId="34574"/>
    <cellStyle name="Normal 8 5 7" xfId="34575"/>
    <cellStyle name="Normal 8 5 7 2" xfId="34576"/>
    <cellStyle name="Normal 8 5 7 2 2" xfId="34577"/>
    <cellStyle name="Normal 8 5 7 2 2 2" xfId="34578"/>
    <cellStyle name="Normal 8 5 7 2 3" xfId="34579"/>
    <cellStyle name="Normal 8 5 7 3" xfId="34580"/>
    <cellStyle name="Normal 8 5 7 3 2" xfId="34581"/>
    <cellStyle name="Normal 8 5 7 4" xfId="34582"/>
    <cellStyle name="Normal 8 5 8" xfId="34583"/>
    <cellStyle name="Normal 8 5 8 2" xfId="34584"/>
    <cellStyle name="Normal 8 5 8 2 2" xfId="34585"/>
    <cellStyle name="Normal 8 5 8 3" xfId="34586"/>
    <cellStyle name="Normal 8 5 9" xfId="34587"/>
    <cellStyle name="Normal 8 5 9 2" xfId="34588"/>
    <cellStyle name="Normal 8 6" xfId="34589"/>
    <cellStyle name="Normal 8 6 10" xfId="34590"/>
    <cellStyle name="Normal 8 6 2" xfId="34591"/>
    <cellStyle name="Normal 8 6 2 2" xfId="34592"/>
    <cellStyle name="Normal 8 6 2 2 2" xfId="34593"/>
    <cellStyle name="Normal 8 6 2 2 2 2" xfId="34594"/>
    <cellStyle name="Normal 8 6 2 2 2 2 2" xfId="34595"/>
    <cellStyle name="Normal 8 6 2 2 2 2 2 2" xfId="34596"/>
    <cellStyle name="Normal 8 6 2 2 2 2 2 2 2" xfId="34597"/>
    <cellStyle name="Normal 8 6 2 2 2 2 2 3" xfId="34598"/>
    <cellStyle name="Normal 8 6 2 2 2 2 3" xfId="34599"/>
    <cellStyle name="Normal 8 6 2 2 2 2 3 2" xfId="34600"/>
    <cellStyle name="Normal 8 6 2 2 2 2 4" xfId="34601"/>
    <cellStyle name="Normal 8 6 2 2 2 3" xfId="34602"/>
    <cellStyle name="Normal 8 6 2 2 2 3 2" xfId="34603"/>
    <cellStyle name="Normal 8 6 2 2 2 3 2 2" xfId="34604"/>
    <cellStyle name="Normal 8 6 2 2 2 3 2 2 2" xfId="34605"/>
    <cellStyle name="Normal 8 6 2 2 2 3 2 3" xfId="34606"/>
    <cellStyle name="Normal 8 6 2 2 2 3 3" xfId="34607"/>
    <cellStyle name="Normal 8 6 2 2 2 3 3 2" xfId="34608"/>
    <cellStyle name="Normal 8 6 2 2 2 3 4" xfId="34609"/>
    <cellStyle name="Normal 8 6 2 2 2 4" xfId="34610"/>
    <cellStyle name="Normal 8 6 2 2 2 4 2" xfId="34611"/>
    <cellStyle name="Normal 8 6 2 2 2 4 2 2" xfId="34612"/>
    <cellStyle name="Normal 8 6 2 2 2 4 3" xfId="34613"/>
    <cellStyle name="Normal 8 6 2 2 2 5" xfId="34614"/>
    <cellStyle name="Normal 8 6 2 2 2 5 2" xfId="34615"/>
    <cellStyle name="Normal 8 6 2 2 2 6" xfId="34616"/>
    <cellStyle name="Normal 8 6 2 2 3" xfId="34617"/>
    <cellStyle name="Normal 8 6 2 2 3 2" xfId="34618"/>
    <cellStyle name="Normal 8 6 2 2 3 2 2" xfId="34619"/>
    <cellStyle name="Normal 8 6 2 2 3 2 2 2" xfId="34620"/>
    <cellStyle name="Normal 8 6 2 2 3 2 3" xfId="34621"/>
    <cellStyle name="Normal 8 6 2 2 3 3" xfId="34622"/>
    <cellStyle name="Normal 8 6 2 2 3 3 2" xfId="34623"/>
    <cellStyle name="Normal 8 6 2 2 3 4" xfId="34624"/>
    <cellStyle name="Normal 8 6 2 2 4" xfId="34625"/>
    <cellStyle name="Normal 8 6 2 2 4 2" xfId="34626"/>
    <cellStyle name="Normal 8 6 2 2 4 2 2" xfId="34627"/>
    <cellStyle name="Normal 8 6 2 2 4 2 2 2" xfId="34628"/>
    <cellStyle name="Normal 8 6 2 2 4 2 3" xfId="34629"/>
    <cellStyle name="Normal 8 6 2 2 4 3" xfId="34630"/>
    <cellStyle name="Normal 8 6 2 2 4 3 2" xfId="34631"/>
    <cellStyle name="Normal 8 6 2 2 4 4" xfId="34632"/>
    <cellStyle name="Normal 8 6 2 2 5" xfId="34633"/>
    <cellStyle name="Normal 8 6 2 2 5 2" xfId="34634"/>
    <cellStyle name="Normal 8 6 2 2 5 2 2" xfId="34635"/>
    <cellStyle name="Normal 8 6 2 2 5 3" xfId="34636"/>
    <cellStyle name="Normal 8 6 2 2 6" xfId="34637"/>
    <cellStyle name="Normal 8 6 2 2 6 2" xfId="34638"/>
    <cellStyle name="Normal 8 6 2 2 7" xfId="34639"/>
    <cellStyle name="Normal 8 6 2 3" xfId="34640"/>
    <cellStyle name="Normal 8 6 2 3 2" xfId="34641"/>
    <cellStyle name="Normal 8 6 2 3 2 2" xfId="34642"/>
    <cellStyle name="Normal 8 6 2 3 2 2 2" xfId="34643"/>
    <cellStyle name="Normal 8 6 2 3 2 2 2 2" xfId="34644"/>
    <cellStyle name="Normal 8 6 2 3 2 2 3" xfId="34645"/>
    <cellStyle name="Normal 8 6 2 3 2 3" xfId="34646"/>
    <cellStyle name="Normal 8 6 2 3 2 3 2" xfId="34647"/>
    <cellStyle name="Normal 8 6 2 3 2 4" xfId="34648"/>
    <cellStyle name="Normal 8 6 2 3 3" xfId="34649"/>
    <cellStyle name="Normal 8 6 2 3 3 2" xfId="34650"/>
    <cellStyle name="Normal 8 6 2 3 3 2 2" xfId="34651"/>
    <cellStyle name="Normal 8 6 2 3 3 2 2 2" xfId="34652"/>
    <cellStyle name="Normal 8 6 2 3 3 2 3" xfId="34653"/>
    <cellStyle name="Normal 8 6 2 3 3 3" xfId="34654"/>
    <cellStyle name="Normal 8 6 2 3 3 3 2" xfId="34655"/>
    <cellStyle name="Normal 8 6 2 3 3 4" xfId="34656"/>
    <cellStyle name="Normal 8 6 2 3 4" xfId="34657"/>
    <cellStyle name="Normal 8 6 2 3 4 2" xfId="34658"/>
    <cellStyle name="Normal 8 6 2 3 4 2 2" xfId="34659"/>
    <cellStyle name="Normal 8 6 2 3 4 3" xfId="34660"/>
    <cellStyle name="Normal 8 6 2 3 5" xfId="34661"/>
    <cellStyle name="Normal 8 6 2 3 5 2" xfId="34662"/>
    <cellStyle name="Normal 8 6 2 3 6" xfId="34663"/>
    <cellStyle name="Normal 8 6 2 4" xfId="34664"/>
    <cellStyle name="Normal 8 6 2 4 2" xfId="34665"/>
    <cellStyle name="Normal 8 6 2 4 2 2" xfId="34666"/>
    <cellStyle name="Normal 8 6 2 4 2 2 2" xfId="34667"/>
    <cellStyle name="Normal 8 6 2 4 2 3" xfId="34668"/>
    <cellStyle name="Normal 8 6 2 4 3" xfId="34669"/>
    <cellStyle name="Normal 8 6 2 4 3 2" xfId="34670"/>
    <cellStyle name="Normal 8 6 2 4 4" xfId="34671"/>
    <cellStyle name="Normal 8 6 2 5" xfId="34672"/>
    <cellStyle name="Normal 8 6 2 5 2" xfId="34673"/>
    <cellStyle name="Normal 8 6 2 5 2 2" xfId="34674"/>
    <cellStyle name="Normal 8 6 2 5 2 2 2" xfId="34675"/>
    <cellStyle name="Normal 8 6 2 5 2 3" xfId="34676"/>
    <cellStyle name="Normal 8 6 2 5 3" xfId="34677"/>
    <cellStyle name="Normal 8 6 2 5 3 2" xfId="34678"/>
    <cellStyle name="Normal 8 6 2 5 4" xfId="34679"/>
    <cellStyle name="Normal 8 6 2 6" xfId="34680"/>
    <cellStyle name="Normal 8 6 2 6 2" xfId="34681"/>
    <cellStyle name="Normal 8 6 2 6 2 2" xfId="34682"/>
    <cellStyle name="Normal 8 6 2 6 2 2 2" xfId="34683"/>
    <cellStyle name="Normal 8 6 2 6 2 3" xfId="34684"/>
    <cellStyle name="Normal 8 6 2 6 3" xfId="34685"/>
    <cellStyle name="Normal 8 6 2 6 3 2" xfId="34686"/>
    <cellStyle name="Normal 8 6 2 6 4" xfId="34687"/>
    <cellStyle name="Normal 8 6 2 7" xfId="34688"/>
    <cellStyle name="Normal 8 6 2 7 2" xfId="34689"/>
    <cellStyle name="Normal 8 6 2 7 2 2" xfId="34690"/>
    <cellStyle name="Normal 8 6 2 7 3" xfId="34691"/>
    <cellStyle name="Normal 8 6 2 8" xfId="34692"/>
    <cellStyle name="Normal 8 6 2 8 2" xfId="34693"/>
    <cellStyle name="Normal 8 6 2 9" xfId="34694"/>
    <cellStyle name="Normal 8 6 3" xfId="34695"/>
    <cellStyle name="Normal 8 6 3 2" xfId="34696"/>
    <cellStyle name="Normal 8 6 3 2 2" xfId="34697"/>
    <cellStyle name="Normal 8 6 3 2 2 2" xfId="34698"/>
    <cellStyle name="Normal 8 6 3 2 2 2 2" xfId="34699"/>
    <cellStyle name="Normal 8 6 3 2 2 2 2 2" xfId="34700"/>
    <cellStyle name="Normal 8 6 3 2 2 2 3" xfId="34701"/>
    <cellStyle name="Normal 8 6 3 2 2 3" xfId="34702"/>
    <cellStyle name="Normal 8 6 3 2 2 3 2" xfId="34703"/>
    <cellStyle name="Normal 8 6 3 2 2 4" xfId="34704"/>
    <cellStyle name="Normal 8 6 3 2 3" xfId="34705"/>
    <cellStyle name="Normal 8 6 3 2 3 2" xfId="34706"/>
    <cellStyle name="Normal 8 6 3 2 3 2 2" xfId="34707"/>
    <cellStyle name="Normal 8 6 3 2 3 2 2 2" xfId="34708"/>
    <cellStyle name="Normal 8 6 3 2 3 2 3" xfId="34709"/>
    <cellStyle name="Normal 8 6 3 2 3 3" xfId="34710"/>
    <cellStyle name="Normal 8 6 3 2 3 3 2" xfId="34711"/>
    <cellStyle name="Normal 8 6 3 2 3 4" xfId="34712"/>
    <cellStyle name="Normal 8 6 3 2 4" xfId="34713"/>
    <cellStyle name="Normal 8 6 3 2 4 2" xfId="34714"/>
    <cellStyle name="Normal 8 6 3 2 4 2 2" xfId="34715"/>
    <cellStyle name="Normal 8 6 3 2 4 3" xfId="34716"/>
    <cellStyle name="Normal 8 6 3 2 5" xfId="34717"/>
    <cellStyle name="Normal 8 6 3 2 5 2" xfId="34718"/>
    <cellStyle name="Normal 8 6 3 2 6" xfId="34719"/>
    <cellStyle name="Normal 8 6 3 3" xfId="34720"/>
    <cellStyle name="Normal 8 6 3 3 2" xfId="34721"/>
    <cellStyle name="Normal 8 6 3 3 2 2" xfId="34722"/>
    <cellStyle name="Normal 8 6 3 3 2 2 2" xfId="34723"/>
    <cellStyle name="Normal 8 6 3 3 2 3" xfId="34724"/>
    <cellStyle name="Normal 8 6 3 3 3" xfId="34725"/>
    <cellStyle name="Normal 8 6 3 3 3 2" xfId="34726"/>
    <cellStyle name="Normal 8 6 3 3 4" xfId="34727"/>
    <cellStyle name="Normal 8 6 3 4" xfId="34728"/>
    <cellStyle name="Normal 8 6 3 4 2" xfId="34729"/>
    <cellStyle name="Normal 8 6 3 4 2 2" xfId="34730"/>
    <cellStyle name="Normal 8 6 3 4 2 2 2" xfId="34731"/>
    <cellStyle name="Normal 8 6 3 4 2 3" xfId="34732"/>
    <cellStyle name="Normal 8 6 3 4 3" xfId="34733"/>
    <cellStyle name="Normal 8 6 3 4 3 2" xfId="34734"/>
    <cellStyle name="Normal 8 6 3 4 4" xfId="34735"/>
    <cellStyle name="Normal 8 6 3 5" xfId="34736"/>
    <cellStyle name="Normal 8 6 3 5 2" xfId="34737"/>
    <cellStyle name="Normal 8 6 3 5 2 2" xfId="34738"/>
    <cellStyle name="Normal 8 6 3 5 3" xfId="34739"/>
    <cellStyle name="Normal 8 6 3 6" xfId="34740"/>
    <cellStyle name="Normal 8 6 3 6 2" xfId="34741"/>
    <cellStyle name="Normal 8 6 3 7" xfId="34742"/>
    <cellStyle name="Normal 8 6 4" xfId="34743"/>
    <cellStyle name="Normal 8 6 4 2" xfId="34744"/>
    <cellStyle name="Normal 8 6 4 2 2" xfId="34745"/>
    <cellStyle name="Normal 8 6 4 2 2 2" xfId="34746"/>
    <cellStyle name="Normal 8 6 4 2 2 2 2" xfId="34747"/>
    <cellStyle name="Normal 8 6 4 2 2 3" xfId="34748"/>
    <cellStyle name="Normal 8 6 4 2 3" xfId="34749"/>
    <cellStyle name="Normal 8 6 4 2 3 2" xfId="34750"/>
    <cellStyle name="Normal 8 6 4 2 4" xfId="34751"/>
    <cellStyle name="Normal 8 6 4 3" xfId="34752"/>
    <cellStyle name="Normal 8 6 4 3 2" xfId="34753"/>
    <cellStyle name="Normal 8 6 4 3 2 2" xfId="34754"/>
    <cellStyle name="Normal 8 6 4 3 2 2 2" xfId="34755"/>
    <cellStyle name="Normal 8 6 4 3 2 3" xfId="34756"/>
    <cellStyle name="Normal 8 6 4 3 3" xfId="34757"/>
    <cellStyle name="Normal 8 6 4 3 3 2" xfId="34758"/>
    <cellStyle name="Normal 8 6 4 3 4" xfId="34759"/>
    <cellStyle name="Normal 8 6 4 4" xfId="34760"/>
    <cellStyle name="Normal 8 6 4 4 2" xfId="34761"/>
    <cellStyle name="Normal 8 6 4 4 2 2" xfId="34762"/>
    <cellStyle name="Normal 8 6 4 4 3" xfId="34763"/>
    <cellStyle name="Normal 8 6 4 5" xfId="34764"/>
    <cellStyle name="Normal 8 6 4 5 2" xfId="34765"/>
    <cellStyle name="Normal 8 6 4 6" xfId="34766"/>
    <cellStyle name="Normal 8 6 5" xfId="34767"/>
    <cellStyle name="Normal 8 6 5 2" xfId="34768"/>
    <cellStyle name="Normal 8 6 5 2 2" xfId="34769"/>
    <cellStyle name="Normal 8 6 5 2 2 2" xfId="34770"/>
    <cellStyle name="Normal 8 6 5 2 3" xfId="34771"/>
    <cellStyle name="Normal 8 6 5 3" xfId="34772"/>
    <cellStyle name="Normal 8 6 5 3 2" xfId="34773"/>
    <cellStyle name="Normal 8 6 5 4" xfId="34774"/>
    <cellStyle name="Normal 8 6 6" xfId="34775"/>
    <cellStyle name="Normal 8 6 6 2" xfId="34776"/>
    <cellStyle name="Normal 8 6 6 2 2" xfId="34777"/>
    <cellStyle name="Normal 8 6 6 2 2 2" xfId="34778"/>
    <cellStyle name="Normal 8 6 6 2 3" xfId="34779"/>
    <cellStyle name="Normal 8 6 6 3" xfId="34780"/>
    <cellStyle name="Normal 8 6 6 3 2" xfId="34781"/>
    <cellStyle name="Normal 8 6 6 4" xfId="34782"/>
    <cellStyle name="Normal 8 6 7" xfId="34783"/>
    <cellStyle name="Normal 8 6 7 2" xfId="34784"/>
    <cellStyle name="Normal 8 6 7 2 2" xfId="34785"/>
    <cellStyle name="Normal 8 6 7 2 2 2" xfId="34786"/>
    <cellStyle name="Normal 8 6 7 2 3" xfId="34787"/>
    <cellStyle name="Normal 8 6 7 3" xfId="34788"/>
    <cellStyle name="Normal 8 6 7 3 2" xfId="34789"/>
    <cellStyle name="Normal 8 6 7 4" xfId="34790"/>
    <cellStyle name="Normal 8 6 8" xfId="34791"/>
    <cellStyle name="Normal 8 6 8 2" xfId="34792"/>
    <cellStyle name="Normal 8 6 8 2 2" xfId="34793"/>
    <cellStyle name="Normal 8 6 8 3" xfId="34794"/>
    <cellStyle name="Normal 8 6 9" xfId="34795"/>
    <cellStyle name="Normal 8 6 9 2" xfId="34796"/>
    <cellStyle name="Normal 8 7" xfId="34797"/>
    <cellStyle name="Normal 8 7 2" xfId="34798"/>
    <cellStyle name="Normal 8 7 2 2" xfId="34799"/>
    <cellStyle name="Normal 8 7 2 2 2" xfId="34800"/>
    <cellStyle name="Normal 8 7 2 2 2 2" xfId="34801"/>
    <cellStyle name="Normal 8 7 2 2 2 2 2" xfId="34802"/>
    <cellStyle name="Normal 8 7 2 2 2 2 2 2" xfId="34803"/>
    <cellStyle name="Normal 8 7 2 2 2 2 3" xfId="34804"/>
    <cellStyle name="Normal 8 7 2 2 2 3" xfId="34805"/>
    <cellStyle name="Normal 8 7 2 2 2 3 2" xfId="34806"/>
    <cellStyle name="Normal 8 7 2 2 2 4" xfId="34807"/>
    <cellStyle name="Normal 8 7 2 2 3" xfId="34808"/>
    <cellStyle name="Normal 8 7 2 2 3 2" xfId="34809"/>
    <cellStyle name="Normal 8 7 2 2 3 2 2" xfId="34810"/>
    <cellStyle name="Normal 8 7 2 2 3 2 2 2" xfId="34811"/>
    <cellStyle name="Normal 8 7 2 2 3 2 3" xfId="34812"/>
    <cellStyle name="Normal 8 7 2 2 3 3" xfId="34813"/>
    <cellStyle name="Normal 8 7 2 2 3 3 2" xfId="34814"/>
    <cellStyle name="Normal 8 7 2 2 3 4" xfId="34815"/>
    <cellStyle name="Normal 8 7 2 2 4" xfId="34816"/>
    <cellStyle name="Normal 8 7 2 2 4 2" xfId="34817"/>
    <cellStyle name="Normal 8 7 2 2 4 2 2" xfId="34818"/>
    <cellStyle name="Normal 8 7 2 2 4 3" xfId="34819"/>
    <cellStyle name="Normal 8 7 2 2 5" xfId="34820"/>
    <cellStyle name="Normal 8 7 2 2 5 2" xfId="34821"/>
    <cellStyle name="Normal 8 7 2 2 6" xfId="34822"/>
    <cellStyle name="Normal 8 7 2 3" xfId="34823"/>
    <cellStyle name="Normal 8 7 2 3 2" xfId="34824"/>
    <cellStyle name="Normal 8 7 2 3 2 2" xfId="34825"/>
    <cellStyle name="Normal 8 7 2 3 2 2 2" xfId="34826"/>
    <cellStyle name="Normal 8 7 2 3 2 3" xfId="34827"/>
    <cellStyle name="Normal 8 7 2 3 3" xfId="34828"/>
    <cellStyle name="Normal 8 7 2 3 3 2" xfId="34829"/>
    <cellStyle name="Normal 8 7 2 3 4" xfId="34830"/>
    <cellStyle name="Normal 8 7 2 4" xfId="34831"/>
    <cellStyle name="Normal 8 7 2 4 2" xfId="34832"/>
    <cellStyle name="Normal 8 7 2 4 2 2" xfId="34833"/>
    <cellStyle name="Normal 8 7 2 4 2 2 2" xfId="34834"/>
    <cellStyle name="Normal 8 7 2 4 2 3" xfId="34835"/>
    <cellStyle name="Normal 8 7 2 4 3" xfId="34836"/>
    <cellStyle name="Normal 8 7 2 4 3 2" xfId="34837"/>
    <cellStyle name="Normal 8 7 2 4 4" xfId="34838"/>
    <cellStyle name="Normal 8 7 2 5" xfId="34839"/>
    <cellStyle name="Normal 8 7 2 5 2" xfId="34840"/>
    <cellStyle name="Normal 8 7 2 5 2 2" xfId="34841"/>
    <cellStyle name="Normal 8 7 2 5 3" xfId="34842"/>
    <cellStyle name="Normal 8 7 2 6" xfId="34843"/>
    <cellStyle name="Normal 8 7 2 6 2" xfId="34844"/>
    <cellStyle name="Normal 8 7 2 7" xfId="34845"/>
    <cellStyle name="Normal 8 7 3" xfId="34846"/>
    <cellStyle name="Normal 8 7 3 2" xfId="34847"/>
    <cellStyle name="Normal 8 7 3 2 2" xfId="34848"/>
    <cellStyle name="Normal 8 7 3 2 2 2" xfId="34849"/>
    <cellStyle name="Normal 8 7 3 2 2 2 2" xfId="34850"/>
    <cellStyle name="Normal 8 7 3 2 2 3" xfId="34851"/>
    <cellStyle name="Normal 8 7 3 2 3" xfId="34852"/>
    <cellStyle name="Normal 8 7 3 2 3 2" xfId="34853"/>
    <cellStyle name="Normal 8 7 3 2 4" xfId="34854"/>
    <cellStyle name="Normal 8 7 3 3" xfId="34855"/>
    <cellStyle name="Normal 8 7 3 3 2" xfId="34856"/>
    <cellStyle name="Normal 8 7 3 3 2 2" xfId="34857"/>
    <cellStyle name="Normal 8 7 3 3 2 2 2" xfId="34858"/>
    <cellStyle name="Normal 8 7 3 3 2 3" xfId="34859"/>
    <cellStyle name="Normal 8 7 3 3 3" xfId="34860"/>
    <cellStyle name="Normal 8 7 3 3 3 2" xfId="34861"/>
    <cellStyle name="Normal 8 7 3 3 4" xfId="34862"/>
    <cellStyle name="Normal 8 7 3 4" xfId="34863"/>
    <cellStyle name="Normal 8 7 3 4 2" xfId="34864"/>
    <cellStyle name="Normal 8 7 3 4 2 2" xfId="34865"/>
    <cellStyle name="Normal 8 7 3 4 3" xfId="34866"/>
    <cellStyle name="Normal 8 7 3 5" xfId="34867"/>
    <cellStyle name="Normal 8 7 3 5 2" xfId="34868"/>
    <cellStyle name="Normal 8 7 3 6" xfId="34869"/>
    <cellStyle name="Normal 8 7 4" xfId="34870"/>
    <cellStyle name="Normal 8 7 4 2" xfId="34871"/>
    <cellStyle name="Normal 8 7 4 2 2" xfId="34872"/>
    <cellStyle name="Normal 8 7 4 2 2 2" xfId="34873"/>
    <cellStyle name="Normal 8 7 4 2 3" xfId="34874"/>
    <cellStyle name="Normal 8 7 4 3" xfId="34875"/>
    <cellStyle name="Normal 8 7 4 3 2" xfId="34876"/>
    <cellStyle name="Normal 8 7 4 4" xfId="34877"/>
    <cellStyle name="Normal 8 7 5" xfId="34878"/>
    <cellStyle name="Normal 8 7 5 2" xfId="34879"/>
    <cellStyle name="Normal 8 7 5 2 2" xfId="34880"/>
    <cellStyle name="Normal 8 7 5 2 2 2" xfId="34881"/>
    <cellStyle name="Normal 8 7 5 2 3" xfId="34882"/>
    <cellStyle name="Normal 8 7 5 3" xfId="34883"/>
    <cellStyle name="Normal 8 7 5 3 2" xfId="34884"/>
    <cellStyle name="Normal 8 7 5 4" xfId="34885"/>
    <cellStyle name="Normal 8 7 6" xfId="34886"/>
    <cellStyle name="Normal 8 7 6 2" xfId="34887"/>
    <cellStyle name="Normal 8 7 6 2 2" xfId="34888"/>
    <cellStyle name="Normal 8 7 6 2 2 2" xfId="34889"/>
    <cellStyle name="Normal 8 7 6 2 3" xfId="34890"/>
    <cellStyle name="Normal 8 7 6 3" xfId="34891"/>
    <cellStyle name="Normal 8 7 6 3 2" xfId="34892"/>
    <cellStyle name="Normal 8 7 6 4" xfId="34893"/>
    <cellStyle name="Normal 8 7 7" xfId="34894"/>
    <cellStyle name="Normal 8 7 7 2" xfId="34895"/>
    <cellStyle name="Normal 8 7 7 2 2" xfId="34896"/>
    <cellStyle name="Normal 8 7 7 3" xfId="34897"/>
    <cellStyle name="Normal 8 7 8" xfId="34898"/>
    <cellStyle name="Normal 8 7 8 2" xfId="34899"/>
    <cellStyle name="Normal 8 7 9" xfId="34900"/>
    <cellStyle name="Normal 8 8" xfId="34901"/>
    <cellStyle name="Normal 8 8 2" xfId="34902"/>
    <cellStyle name="Normal 8 8 2 2" xfId="34903"/>
    <cellStyle name="Normal 8 8 2 2 2" xfId="34904"/>
    <cellStyle name="Normal 8 8 2 2 2 2" xfId="34905"/>
    <cellStyle name="Normal 8 8 2 2 2 2 2" xfId="34906"/>
    <cellStyle name="Normal 8 8 2 2 2 3" xfId="34907"/>
    <cellStyle name="Normal 8 8 2 2 3" xfId="34908"/>
    <cellStyle name="Normal 8 8 2 2 3 2" xfId="34909"/>
    <cellStyle name="Normal 8 8 2 2 4" xfId="34910"/>
    <cellStyle name="Normal 8 8 2 3" xfId="34911"/>
    <cellStyle name="Normal 8 8 2 3 2" xfId="34912"/>
    <cellStyle name="Normal 8 8 2 3 2 2" xfId="34913"/>
    <cellStyle name="Normal 8 8 2 3 2 2 2" xfId="34914"/>
    <cellStyle name="Normal 8 8 2 3 2 3" xfId="34915"/>
    <cellStyle name="Normal 8 8 2 3 3" xfId="34916"/>
    <cellStyle name="Normal 8 8 2 3 3 2" xfId="34917"/>
    <cellStyle name="Normal 8 8 2 3 4" xfId="34918"/>
    <cellStyle name="Normal 8 8 2 4" xfId="34919"/>
    <cellStyle name="Normal 8 8 2 4 2" xfId="34920"/>
    <cellStyle name="Normal 8 8 2 4 2 2" xfId="34921"/>
    <cellStyle name="Normal 8 8 2 4 3" xfId="34922"/>
    <cellStyle name="Normal 8 8 2 5" xfId="34923"/>
    <cellStyle name="Normal 8 8 2 5 2" xfId="34924"/>
    <cellStyle name="Normal 8 8 2 6" xfId="34925"/>
    <cellStyle name="Normal 8 8 3" xfId="34926"/>
    <cellStyle name="Normal 8 8 3 2" xfId="34927"/>
    <cellStyle name="Normal 8 8 3 2 2" xfId="34928"/>
    <cellStyle name="Normal 8 8 3 2 2 2" xfId="34929"/>
    <cellStyle name="Normal 8 8 3 2 3" xfId="34930"/>
    <cellStyle name="Normal 8 8 3 3" xfId="34931"/>
    <cellStyle name="Normal 8 8 3 3 2" xfId="34932"/>
    <cellStyle name="Normal 8 8 3 4" xfId="34933"/>
    <cellStyle name="Normal 8 8 4" xfId="34934"/>
    <cellStyle name="Normal 8 8 4 2" xfId="34935"/>
    <cellStyle name="Normal 8 8 4 2 2" xfId="34936"/>
    <cellStyle name="Normal 8 8 4 2 2 2" xfId="34937"/>
    <cellStyle name="Normal 8 8 4 2 3" xfId="34938"/>
    <cellStyle name="Normal 8 8 4 3" xfId="34939"/>
    <cellStyle name="Normal 8 8 4 3 2" xfId="34940"/>
    <cellStyle name="Normal 8 8 4 4" xfId="34941"/>
    <cellStyle name="Normal 8 8 5" xfId="34942"/>
    <cellStyle name="Normal 8 8 5 2" xfId="34943"/>
    <cellStyle name="Normal 8 8 5 2 2" xfId="34944"/>
    <cellStyle name="Normal 8 8 5 3" xfId="34945"/>
    <cellStyle name="Normal 8 8 6" xfId="34946"/>
    <cellStyle name="Normal 8 8 6 2" xfId="34947"/>
    <cellStyle name="Normal 8 8 7" xfId="34948"/>
    <cellStyle name="Normal 8 9" xfId="34949"/>
    <cellStyle name="Normal 8 9 2" xfId="34950"/>
    <cellStyle name="Normal 8 9 2 2" xfId="34951"/>
    <cellStyle name="Normal 8 9 2 2 2" xfId="34952"/>
    <cellStyle name="Normal 8 9 2 2 2 2" xfId="34953"/>
    <cellStyle name="Normal 8 9 2 2 3" xfId="34954"/>
    <cellStyle name="Normal 8 9 2 3" xfId="34955"/>
    <cellStyle name="Normal 8 9 2 3 2" xfId="34956"/>
    <cellStyle name="Normal 8 9 2 4" xfId="34957"/>
    <cellStyle name="Normal 8 9 3" xfId="34958"/>
    <cellStyle name="Normal 8 9 3 2" xfId="34959"/>
    <cellStyle name="Normal 8 9 3 2 2" xfId="34960"/>
    <cellStyle name="Normal 8 9 3 2 2 2" xfId="34961"/>
    <cellStyle name="Normal 8 9 3 2 3" xfId="34962"/>
    <cellStyle name="Normal 8 9 3 3" xfId="34963"/>
    <cellStyle name="Normal 8 9 3 3 2" xfId="34964"/>
    <cellStyle name="Normal 8 9 3 4" xfId="34965"/>
    <cellStyle name="Normal 8 9 4" xfId="34966"/>
    <cellStyle name="Normal 8 9 4 2" xfId="34967"/>
    <cellStyle name="Normal 8 9 4 2 2" xfId="34968"/>
    <cellStyle name="Normal 8 9 4 3" xfId="34969"/>
    <cellStyle name="Normal 8 9 5" xfId="34970"/>
    <cellStyle name="Normal 8 9 5 2" xfId="34971"/>
    <cellStyle name="Normal 8 9 6" xfId="34972"/>
    <cellStyle name="Normal 9" xfId="34973"/>
    <cellStyle name="Normal 9 10" xfId="34974"/>
    <cellStyle name="Normal 9 10 2" xfId="34975"/>
    <cellStyle name="Normal 9 10 2 2" xfId="34976"/>
    <cellStyle name="Normal 9 10 2 2 2" xfId="34977"/>
    <cellStyle name="Normal 9 10 2 3" xfId="34978"/>
    <cellStyle name="Normal 9 10 3" xfId="34979"/>
    <cellStyle name="Normal 9 10 3 2" xfId="34980"/>
    <cellStyle name="Normal 9 10 4" xfId="34981"/>
    <cellStyle name="Normal 9 11" xfId="34982"/>
    <cellStyle name="Normal 9 11 2" xfId="34983"/>
    <cellStyle name="Normal 9 11 2 2" xfId="34984"/>
    <cellStyle name="Normal 9 11 2 2 2" xfId="34985"/>
    <cellStyle name="Normal 9 11 2 3" xfId="34986"/>
    <cellStyle name="Normal 9 11 3" xfId="34987"/>
    <cellStyle name="Normal 9 11 3 2" xfId="34988"/>
    <cellStyle name="Normal 9 11 4" xfId="34989"/>
    <cellStyle name="Normal 9 12" xfId="34990"/>
    <cellStyle name="Normal 9 12 2" xfId="34991"/>
    <cellStyle name="Normal 9 12 2 2" xfId="34992"/>
    <cellStyle name="Normal 9 12 3" xfId="34993"/>
    <cellStyle name="Normal 9 13" xfId="34994"/>
    <cellStyle name="Normal 9 13 2" xfId="34995"/>
    <cellStyle name="Normal 9 14" xfId="34996"/>
    <cellStyle name="Normal 9 2" xfId="34997"/>
    <cellStyle name="Normal 9 2 10" xfId="34998"/>
    <cellStyle name="Normal 9 2 10 2" xfId="34999"/>
    <cellStyle name="Normal 9 2 10 2 2" xfId="35000"/>
    <cellStyle name="Normal 9 2 10 2 2 2" xfId="35001"/>
    <cellStyle name="Normal 9 2 10 2 3" xfId="35002"/>
    <cellStyle name="Normal 9 2 10 3" xfId="35003"/>
    <cellStyle name="Normal 9 2 10 3 2" xfId="35004"/>
    <cellStyle name="Normal 9 2 10 4" xfId="35005"/>
    <cellStyle name="Normal 9 2 11" xfId="35006"/>
    <cellStyle name="Normal 9 2 11 2" xfId="35007"/>
    <cellStyle name="Normal 9 2 11 2 2" xfId="35008"/>
    <cellStyle name="Normal 9 2 11 3" xfId="35009"/>
    <cellStyle name="Normal 9 2 12" xfId="35010"/>
    <cellStyle name="Normal 9 2 12 2" xfId="35011"/>
    <cellStyle name="Normal 9 2 13" xfId="35012"/>
    <cellStyle name="Normal 9 2 2" xfId="35013"/>
    <cellStyle name="Normal 9 2 2 10" xfId="35014"/>
    <cellStyle name="Normal 9 2 2 10 2" xfId="35015"/>
    <cellStyle name="Normal 9 2 2 11" xfId="35016"/>
    <cellStyle name="Normal 9 2 2 2" xfId="35017"/>
    <cellStyle name="Normal 9 2 2 2 10" xfId="35018"/>
    <cellStyle name="Normal 9 2 2 2 2" xfId="35019"/>
    <cellStyle name="Normal 9 2 2 2 2 2" xfId="35020"/>
    <cellStyle name="Normal 9 2 2 2 2 2 2" xfId="35021"/>
    <cellStyle name="Normal 9 2 2 2 2 2 2 2" xfId="35022"/>
    <cellStyle name="Normal 9 2 2 2 2 2 2 2 2" xfId="35023"/>
    <cellStyle name="Normal 9 2 2 2 2 2 2 2 2 2" xfId="35024"/>
    <cellStyle name="Normal 9 2 2 2 2 2 2 2 2 2 2" xfId="35025"/>
    <cellStyle name="Normal 9 2 2 2 2 2 2 2 2 3" xfId="35026"/>
    <cellStyle name="Normal 9 2 2 2 2 2 2 2 3" xfId="35027"/>
    <cellStyle name="Normal 9 2 2 2 2 2 2 2 3 2" xfId="35028"/>
    <cellStyle name="Normal 9 2 2 2 2 2 2 2 4" xfId="35029"/>
    <cellStyle name="Normal 9 2 2 2 2 2 2 3" xfId="35030"/>
    <cellStyle name="Normal 9 2 2 2 2 2 2 3 2" xfId="35031"/>
    <cellStyle name="Normal 9 2 2 2 2 2 2 3 2 2" xfId="35032"/>
    <cellStyle name="Normal 9 2 2 2 2 2 2 3 2 2 2" xfId="35033"/>
    <cellStyle name="Normal 9 2 2 2 2 2 2 3 2 3" xfId="35034"/>
    <cellStyle name="Normal 9 2 2 2 2 2 2 3 3" xfId="35035"/>
    <cellStyle name="Normal 9 2 2 2 2 2 2 3 3 2" xfId="35036"/>
    <cellStyle name="Normal 9 2 2 2 2 2 2 3 4" xfId="35037"/>
    <cellStyle name="Normal 9 2 2 2 2 2 2 4" xfId="35038"/>
    <cellStyle name="Normal 9 2 2 2 2 2 2 4 2" xfId="35039"/>
    <cellStyle name="Normal 9 2 2 2 2 2 2 4 2 2" xfId="35040"/>
    <cellStyle name="Normal 9 2 2 2 2 2 2 4 3" xfId="35041"/>
    <cellStyle name="Normal 9 2 2 2 2 2 2 5" xfId="35042"/>
    <cellStyle name="Normal 9 2 2 2 2 2 2 5 2" xfId="35043"/>
    <cellStyle name="Normal 9 2 2 2 2 2 2 6" xfId="35044"/>
    <cellStyle name="Normal 9 2 2 2 2 2 3" xfId="35045"/>
    <cellStyle name="Normal 9 2 2 2 2 2 3 2" xfId="35046"/>
    <cellStyle name="Normal 9 2 2 2 2 2 3 2 2" xfId="35047"/>
    <cellStyle name="Normal 9 2 2 2 2 2 3 2 2 2" xfId="35048"/>
    <cellStyle name="Normal 9 2 2 2 2 2 3 2 3" xfId="35049"/>
    <cellStyle name="Normal 9 2 2 2 2 2 3 3" xfId="35050"/>
    <cellStyle name="Normal 9 2 2 2 2 2 3 3 2" xfId="35051"/>
    <cellStyle name="Normal 9 2 2 2 2 2 3 4" xfId="35052"/>
    <cellStyle name="Normal 9 2 2 2 2 2 4" xfId="35053"/>
    <cellStyle name="Normal 9 2 2 2 2 2 4 2" xfId="35054"/>
    <cellStyle name="Normal 9 2 2 2 2 2 4 2 2" xfId="35055"/>
    <cellStyle name="Normal 9 2 2 2 2 2 4 2 2 2" xfId="35056"/>
    <cellStyle name="Normal 9 2 2 2 2 2 4 2 3" xfId="35057"/>
    <cellStyle name="Normal 9 2 2 2 2 2 4 3" xfId="35058"/>
    <cellStyle name="Normal 9 2 2 2 2 2 4 3 2" xfId="35059"/>
    <cellStyle name="Normal 9 2 2 2 2 2 4 4" xfId="35060"/>
    <cellStyle name="Normal 9 2 2 2 2 2 5" xfId="35061"/>
    <cellStyle name="Normal 9 2 2 2 2 2 5 2" xfId="35062"/>
    <cellStyle name="Normal 9 2 2 2 2 2 5 2 2" xfId="35063"/>
    <cellStyle name="Normal 9 2 2 2 2 2 5 3" xfId="35064"/>
    <cellStyle name="Normal 9 2 2 2 2 2 6" xfId="35065"/>
    <cellStyle name="Normal 9 2 2 2 2 2 6 2" xfId="35066"/>
    <cellStyle name="Normal 9 2 2 2 2 2 7" xfId="35067"/>
    <cellStyle name="Normal 9 2 2 2 2 3" xfId="35068"/>
    <cellStyle name="Normal 9 2 2 2 2 3 2" xfId="35069"/>
    <cellStyle name="Normal 9 2 2 2 2 3 2 2" xfId="35070"/>
    <cellStyle name="Normal 9 2 2 2 2 3 2 2 2" xfId="35071"/>
    <cellStyle name="Normal 9 2 2 2 2 3 2 2 2 2" xfId="35072"/>
    <cellStyle name="Normal 9 2 2 2 2 3 2 2 3" xfId="35073"/>
    <cellStyle name="Normal 9 2 2 2 2 3 2 3" xfId="35074"/>
    <cellStyle name="Normal 9 2 2 2 2 3 2 3 2" xfId="35075"/>
    <cellStyle name="Normal 9 2 2 2 2 3 2 4" xfId="35076"/>
    <cellStyle name="Normal 9 2 2 2 2 3 3" xfId="35077"/>
    <cellStyle name="Normal 9 2 2 2 2 3 3 2" xfId="35078"/>
    <cellStyle name="Normal 9 2 2 2 2 3 3 2 2" xfId="35079"/>
    <cellStyle name="Normal 9 2 2 2 2 3 3 2 2 2" xfId="35080"/>
    <cellStyle name="Normal 9 2 2 2 2 3 3 2 3" xfId="35081"/>
    <cellStyle name="Normal 9 2 2 2 2 3 3 3" xfId="35082"/>
    <cellStyle name="Normal 9 2 2 2 2 3 3 3 2" xfId="35083"/>
    <cellStyle name="Normal 9 2 2 2 2 3 3 4" xfId="35084"/>
    <cellStyle name="Normal 9 2 2 2 2 3 4" xfId="35085"/>
    <cellStyle name="Normal 9 2 2 2 2 3 4 2" xfId="35086"/>
    <cellStyle name="Normal 9 2 2 2 2 3 4 2 2" xfId="35087"/>
    <cellStyle name="Normal 9 2 2 2 2 3 4 3" xfId="35088"/>
    <cellStyle name="Normal 9 2 2 2 2 3 5" xfId="35089"/>
    <cellStyle name="Normal 9 2 2 2 2 3 5 2" xfId="35090"/>
    <cellStyle name="Normal 9 2 2 2 2 3 6" xfId="35091"/>
    <cellStyle name="Normal 9 2 2 2 2 4" xfId="35092"/>
    <cellStyle name="Normal 9 2 2 2 2 4 2" xfId="35093"/>
    <cellStyle name="Normal 9 2 2 2 2 4 2 2" xfId="35094"/>
    <cellStyle name="Normal 9 2 2 2 2 4 2 2 2" xfId="35095"/>
    <cellStyle name="Normal 9 2 2 2 2 4 2 3" xfId="35096"/>
    <cellStyle name="Normal 9 2 2 2 2 4 3" xfId="35097"/>
    <cellStyle name="Normal 9 2 2 2 2 4 3 2" xfId="35098"/>
    <cellStyle name="Normal 9 2 2 2 2 4 4" xfId="35099"/>
    <cellStyle name="Normal 9 2 2 2 2 5" xfId="35100"/>
    <cellStyle name="Normal 9 2 2 2 2 5 2" xfId="35101"/>
    <cellStyle name="Normal 9 2 2 2 2 5 2 2" xfId="35102"/>
    <cellStyle name="Normal 9 2 2 2 2 5 2 2 2" xfId="35103"/>
    <cellStyle name="Normal 9 2 2 2 2 5 2 3" xfId="35104"/>
    <cellStyle name="Normal 9 2 2 2 2 5 3" xfId="35105"/>
    <cellStyle name="Normal 9 2 2 2 2 5 3 2" xfId="35106"/>
    <cellStyle name="Normal 9 2 2 2 2 5 4" xfId="35107"/>
    <cellStyle name="Normal 9 2 2 2 2 6" xfId="35108"/>
    <cellStyle name="Normal 9 2 2 2 2 6 2" xfId="35109"/>
    <cellStyle name="Normal 9 2 2 2 2 6 2 2" xfId="35110"/>
    <cellStyle name="Normal 9 2 2 2 2 6 2 2 2" xfId="35111"/>
    <cellStyle name="Normal 9 2 2 2 2 6 2 3" xfId="35112"/>
    <cellStyle name="Normal 9 2 2 2 2 6 3" xfId="35113"/>
    <cellStyle name="Normal 9 2 2 2 2 6 3 2" xfId="35114"/>
    <cellStyle name="Normal 9 2 2 2 2 6 4" xfId="35115"/>
    <cellStyle name="Normal 9 2 2 2 2 7" xfId="35116"/>
    <cellStyle name="Normal 9 2 2 2 2 7 2" xfId="35117"/>
    <cellStyle name="Normal 9 2 2 2 2 7 2 2" xfId="35118"/>
    <cellStyle name="Normal 9 2 2 2 2 7 3" xfId="35119"/>
    <cellStyle name="Normal 9 2 2 2 2 8" xfId="35120"/>
    <cellStyle name="Normal 9 2 2 2 2 8 2" xfId="35121"/>
    <cellStyle name="Normal 9 2 2 2 2 9" xfId="35122"/>
    <cellStyle name="Normal 9 2 2 2 3" xfId="35123"/>
    <cellStyle name="Normal 9 2 2 2 3 2" xfId="35124"/>
    <cellStyle name="Normal 9 2 2 2 3 2 2" xfId="35125"/>
    <cellStyle name="Normal 9 2 2 2 3 2 2 2" xfId="35126"/>
    <cellStyle name="Normal 9 2 2 2 3 2 2 2 2" xfId="35127"/>
    <cellStyle name="Normal 9 2 2 2 3 2 2 2 2 2" xfId="35128"/>
    <cellStyle name="Normal 9 2 2 2 3 2 2 2 3" xfId="35129"/>
    <cellStyle name="Normal 9 2 2 2 3 2 2 3" xfId="35130"/>
    <cellStyle name="Normal 9 2 2 2 3 2 2 3 2" xfId="35131"/>
    <cellStyle name="Normal 9 2 2 2 3 2 2 4" xfId="35132"/>
    <cellStyle name="Normal 9 2 2 2 3 2 3" xfId="35133"/>
    <cellStyle name="Normal 9 2 2 2 3 2 3 2" xfId="35134"/>
    <cellStyle name="Normal 9 2 2 2 3 2 3 2 2" xfId="35135"/>
    <cellStyle name="Normal 9 2 2 2 3 2 3 2 2 2" xfId="35136"/>
    <cellStyle name="Normal 9 2 2 2 3 2 3 2 3" xfId="35137"/>
    <cellStyle name="Normal 9 2 2 2 3 2 3 3" xfId="35138"/>
    <cellStyle name="Normal 9 2 2 2 3 2 3 3 2" xfId="35139"/>
    <cellStyle name="Normal 9 2 2 2 3 2 3 4" xfId="35140"/>
    <cellStyle name="Normal 9 2 2 2 3 2 4" xfId="35141"/>
    <cellStyle name="Normal 9 2 2 2 3 2 4 2" xfId="35142"/>
    <cellStyle name="Normal 9 2 2 2 3 2 4 2 2" xfId="35143"/>
    <cellStyle name="Normal 9 2 2 2 3 2 4 3" xfId="35144"/>
    <cellStyle name="Normal 9 2 2 2 3 2 5" xfId="35145"/>
    <cellStyle name="Normal 9 2 2 2 3 2 5 2" xfId="35146"/>
    <cellStyle name="Normal 9 2 2 2 3 2 6" xfId="35147"/>
    <cellStyle name="Normal 9 2 2 2 3 3" xfId="35148"/>
    <cellStyle name="Normal 9 2 2 2 3 3 2" xfId="35149"/>
    <cellStyle name="Normal 9 2 2 2 3 3 2 2" xfId="35150"/>
    <cellStyle name="Normal 9 2 2 2 3 3 2 2 2" xfId="35151"/>
    <cellStyle name="Normal 9 2 2 2 3 3 2 3" xfId="35152"/>
    <cellStyle name="Normal 9 2 2 2 3 3 3" xfId="35153"/>
    <cellStyle name="Normal 9 2 2 2 3 3 3 2" xfId="35154"/>
    <cellStyle name="Normal 9 2 2 2 3 3 4" xfId="35155"/>
    <cellStyle name="Normal 9 2 2 2 3 4" xfId="35156"/>
    <cellStyle name="Normal 9 2 2 2 3 4 2" xfId="35157"/>
    <cellStyle name="Normal 9 2 2 2 3 4 2 2" xfId="35158"/>
    <cellStyle name="Normal 9 2 2 2 3 4 2 2 2" xfId="35159"/>
    <cellStyle name="Normal 9 2 2 2 3 4 2 3" xfId="35160"/>
    <cellStyle name="Normal 9 2 2 2 3 4 3" xfId="35161"/>
    <cellStyle name="Normal 9 2 2 2 3 4 3 2" xfId="35162"/>
    <cellStyle name="Normal 9 2 2 2 3 4 4" xfId="35163"/>
    <cellStyle name="Normal 9 2 2 2 3 5" xfId="35164"/>
    <cellStyle name="Normal 9 2 2 2 3 5 2" xfId="35165"/>
    <cellStyle name="Normal 9 2 2 2 3 5 2 2" xfId="35166"/>
    <cellStyle name="Normal 9 2 2 2 3 5 3" xfId="35167"/>
    <cellStyle name="Normal 9 2 2 2 3 6" xfId="35168"/>
    <cellStyle name="Normal 9 2 2 2 3 6 2" xfId="35169"/>
    <cellStyle name="Normal 9 2 2 2 3 7" xfId="35170"/>
    <cellStyle name="Normal 9 2 2 2 4" xfId="35171"/>
    <cellStyle name="Normal 9 2 2 2 4 2" xfId="35172"/>
    <cellStyle name="Normal 9 2 2 2 4 2 2" xfId="35173"/>
    <cellStyle name="Normal 9 2 2 2 4 2 2 2" xfId="35174"/>
    <cellStyle name="Normal 9 2 2 2 4 2 2 2 2" xfId="35175"/>
    <cellStyle name="Normal 9 2 2 2 4 2 2 3" xfId="35176"/>
    <cellStyle name="Normal 9 2 2 2 4 2 3" xfId="35177"/>
    <cellStyle name="Normal 9 2 2 2 4 2 3 2" xfId="35178"/>
    <cellStyle name="Normal 9 2 2 2 4 2 4" xfId="35179"/>
    <cellStyle name="Normal 9 2 2 2 4 3" xfId="35180"/>
    <cellStyle name="Normal 9 2 2 2 4 3 2" xfId="35181"/>
    <cellStyle name="Normal 9 2 2 2 4 3 2 2" xfId="35182"/>
    <cellStyle name="Normal 9 2 2 2 4 3 2 2 2" xfId="35183"/>
    <cellStyle name="Normal 9 2 2 2 4 3 2 3" xfId="35184"/>
    <cellStyle name="Normal 9 2 2 2 4 3 3" xfId="35185"/>
    <cellStyle name="Normal 9 2 2 2 4 3 3 2" xfId="35186"/>
    <cellStyle name="Normal 9 2 2 2 4 3 4" xfId="35187"/>
    <cellStyle name="Normal 9 2 2 2 4 4" xfId="35188"/>
    <cellStyle name="Normal 9 2 2 2 4 4 2" xfId="35189"/>
    <cellStyle name="Normal 9 2 2 2 4 4 2 2" xfId="35190"/>
    <cellStyle name="Normal 9 2 2 2 4 4 3" xfId="35191"/>
    <cellStyle name="Normal 9 2 2 2 4 5" xfId="35192"/>
    <cellStyle name="Normal 9 2 2 2 4 5 2" xfId="35193"/>
    <cellStyle name="Normal 9 2 2 2 4 6" xfId="35194"/>
    <cellStyle name="Normal 9 2 2 2 5" xfId="35195"/>
    <cellStyle name="Normal 9 2 2 2 5 2" xfId="35196"/>
    <cellStyle name="Normal 9 2 2 2 5 2 2" xfId="35197"/>
    <cellStyle name="Normal 9 2 2 2 5 2 2 2" xfId="35198"/>
    <cellStyle name="Normal 9 2 2 2 5 2 3" xfId="35199"/>
    <cellStyle name="Normal 9 2 2 2 5 3" xfId="35200"/>
    <cellStyle name="Normal 9 2 2 2 5 3 2" xfId="35201"/>
    <cellStyle name="Normal 9 2 2 2 5 4" xfId="35202"/>
    <cellStyle name="Normal 9 2 2 2 6" xfId="35203"/>
    <cellStyle name="Normal 9 2 2 2 6 2" xfId="35204"/>
    <cellStyle name="Normal 9 2 2 2 6 2 2" xfId="35205"/>
    <cellStyle name="Normal 9 2 2 2 6 2 2 2" xfId="35206"/>
    <cellStyle name="Normal 9 2 2 2 6 2 3" xfId="35207"/>
    <cellStyle name="Normal 9 2 2 2 6 3" xfId="35208"/>
    <cellStyle name="Normal 9 2 2 2 6 3 2" xfId="35209"/>
    <cellStyle name="Normal 9 2 2 2 6 4" xfId="35210"/>
    <cellStyle name="Normal 9 2 2 2 7" xfId="35211"/>
    <cellStyle name="Normal 9 2 2 2 7 2" xfId="35212"/>
    <cellStyle name="Normal 9 2 2 2 7 2 2" xfId="35213"/>
    <cellStyle name="Normal 9 2 2 2 7 2 2 2" xfId="35214"/>
    <cellStyle name="Normal 9 2 2 2 7 2 3" xfId="35215"/>
    <cellStyle name="Normal 9 2 2 2 7 3" xfId="35216"/>
    <cellStyle name="Normal 9 2 2 2 7 3 2" xfId="35217"/>
    <cellStyle name="Normal 9 2 2 2 7 4" xfId="35218"/>
    <cellStyle name="Normal 9 2 2 2 8" xfId="35219"/>
    <cellStyle name="Normal 9 2 2 2 8 2" xfId="35220"/>
    <cellStyle name="Normal 9 2 2 2 8 2 2" xfId="35221"/>
    <cellStyle name="Normal 9 2 2 2 8 3" xfId="35222"/>
    <cellStyle name="Normal 9 2 2 2 9" xfId="35223"/>
    <cellStyle name="Normal 9 2 2 2 9 2" xfId="35224"/>
    <cellStyle name="Normal 9 2 2 3" xfId="35225"/>
    <cellStyle name="Normal 9 2 2 3 2" xfId="35226"/>
    <cellStyle name="Normal 9 2 2 3 2 2" xfId="35227"/>
    <cellStyle name="Normal 9 2 2 3 2 2 2" xfId="35228"/>
    <cellStyle name="Normal 9 2 2 3 2 2 2 2" xfId="35229"/>
    <cellStyle name="Normal 9 2 2 3 2 2 2 2 2" xfId="35230"/>
    <cellStyle name="Normal 9 2 2 3 2 2 2 2 2 2" xfId="35231"/>
    <cellStyle name="Normal 9 2 2 3 2 2 2 2 3" xfId="35232"/>
    <cellStyle name="Normal 9 2 2 3 2 2 2 3" xfId="35233"/>
    <cellStyle name="Normal 9 2 2 3 2 2 2 3 2" xfId="35234"/>
    <cellStyle name="Normal 9 2 2 3 2 2 2 4" xfId="35235"/>
    <cellStyle name="Normal 9 2 2 3 2 2 3" xfId="35236"/>
    <cellStyle name="Normal 9 2 2 3 2 2 3 2" xfId="35237"/>
    <cellStyle name="Normal 9 2 2 3 2 2 3 2 2" xfId="35238"/>
    <cellStyle name="Normal 9 2 2 3 2 2 3 2 2 2" xfId="35239"/>
    <cellStyle name="Normal 9 2 2 3 2 2 3 2 3" xfId="35240"/>
    <cellStyle name="Normal 9 2 2 3 2 2 3 3" xfId="35241"/>
    <cellStyle name="Normal 9 2 2 3 2 2 3 3 2" xfId="35242"/>
    <cellStyle name="Normal 9 2 2 3 2 2 3 4" xfId="35243"/>
    <cellStyle name="Normal 9 2 2 3 2 2 4" xfId="35244"/>
    <cellStyle name="Normal 9 2 2 3 2 2 4 2" xfId="35245"/>
    <cellStyle name="Normal 9 2 2 3 2 2 4 2 2" xfId="35246"/>
    <cellStyle name="Normal 9 2 2 3 2 2 4 3" xfId="35247"/>
    <cellStyle name="Normal 9 2 2 3 2 2 5" xfId="35248"/>
    <cellStyle name="Normal 9 2 2 3 2 2 5 2" xfId="35249"/>
    <cellStyle name="Normal 9 2 2 3 2 2 6" xfId="35250"/>
    <cellStyle name="Normal 9 2 2 3 2 3" xfId="35251"/>
    <cellStyle name="Normal 9 2 2 3 2 3 2" xfId="35252"/>
    <cellStyle name="Normal 9 2 2 3 2 3 2 2" xfId="35253"/>
    <cellStyle name="Normal 9 2 2 3 2 3 2 2 2" xfId="35254"/>
    <cellStyle name="Normal 9 2 2 3 2 3 2 3" xfId="35255"/>
    <cellStyle name="Normal 9 2 2 3 2 3 3" xfId="35256"/>
    <cellStyle name="Normal 9 2 2 3 2 3 3 2" xfId="35257"/>
    <cellStyle name="Normal 9 2 2 3 2 3 4" xfId="35258"/>
    <cellStyle name="Normal 9 2 2 3 2 4" xfId="35259"/>
    <cellStyle name="Normal 9 2 2 3 2 4 2" xfId="35260"/>
    <cellStyle name="Normal 9 2 2 3 2 4 2 2" xfId="35261"/>
    <cellStyle name="Normal 9 2 2 3 2 4 2 2 2" xfId="35262"/>
    <cellStyle name="Normal 9 2 2 3 2 4 2 3" xfId="35263"/>
    <cellStyle name="Normal 9 2 2 3 2 4 3" xfId="35264"/>
    <cellStyle name="Normal 9 2 2 3 2 4 3 2" xfId="35265"/>
    <cellStyle name="Normal 9 2 2 3 2 4 4" xfId="35266"/>
    <cellStyle name="Normal 9 2 2 3 2 5" xfId="35267"/>
    <cellStyle name="Normal 9 2 2 3 2 5 2" xfId="35268"/>
    <cellStyle name="Normal 9 2 2 3 2 5 2 2" xfId="35269"/>
    <cellStyle name="Normal 9 2 2 3 2 5 3" xfId="35270"/>
    <cellStyle name="Normal 9 2 2 3 2 6" xfId="35271"/>
    <cellStyle name="Normal 9 2 2 3 2 6 2" xfId="35272"/>
    <cellStyle name="Normal 9 2 2 3 2 7" xfId="35273"/>
    <cellStyle name="Normal 9 2 2 3 3" xfId="35274"/>
    <cellStyle name="Normal 9 2 2 3 3 2" xfId="35275"/>
    <cellStyle name="Normal 9 2 2 3 3 2 2" xfId="35276"/>
    <cellStyle name="Normal 9 2 2 3 3 2 2 2" xfId="35277"/>
    <cellStyle name="Normal 9 2 2 3 3 2 2 2 2" xfId="35278"/>
    <cellStyle name="Normal 9 2 2 3 3 2 2 3" xfId="35279"/>
    <cellStyle name="Normal 9 2 2 3 3 2 3" xfId="35280"/>
    <cellStyle name="Normal 9 2 2 3 3 2 3 2" xfId="35281"/>
    <cellStyle name="Normal 9 2 2 3 3 2 4" xfId="35282"/>
    <cellStyle name="Normal 9 2 2 3 3 3" xfId="35283"/>
    <cellStyle name="Normal 9 2 2 3 3 3 2" xfId="35284"/>
    <cellStyle name="Normal 9 2 2 3 3 3 2 2" xfId="35285"/>
    <cellStyle name="Normal 9 2 2 3 3 3 2 2 2" xfId="35286"/>
    <cellStyle name="Normal 9 2 2 3 3 3 2 3" xfId="35287"/>
    <cellStyle name="Normal 9 2 2 3 3 3 3" xfId="35288"/>
    <cellStyle name="Normal 9 2 2 3 3 3 3 2" xfId="35289"/>
    <cellStyle name="Normal 9 2 2 3 3 3 4" xfId="35290"/>
    <cellStyle name="Normal 9 2 2 3 3 4" xfId="35291"/>
    <cellStyle name="Normal 9 2 2 3 3 4 2" xfId="35292"/>
    <cellStyle name="Normal 9 2 2 3 3 4 2 2" xfId="35293"/>
    <cellStyle name="Normal 9 2 2 3 3 4 3" xfId="35294"/>
    <cellStyle name="Normal 9 2 2 3 3 5" xfId="35295"/>
    <cellStyle name="Normal 9 2 2 3 3 5 2" xfId="35296"/>
    <cellStyle name="Normal 9 2 2 3 3 6" xfId="35297"/>
    <cellStyle name="Normal 9 2 2 3 4" xfId="35298"/>
    <cellStyle name="Normal 9 2 2 3 4 2" xfId="35299"/>
    <cellStyle name="Normal 9 2 2 3 4 2 2" xfId="35300"/>
    <cellStyle name="Normal 9 2 2 3 4 2 2 2" xfId="35301"/>
    <cellStyle name="Normal 9 2 2 3 4 2 3" xfId="35302"/>
    <cellStyle name="Normal 9 2 2 3 4 3" xfId="35303"/>
    <cellStyle name="Normal 9 2 2 3 4 3 2" xfId="35304"/>
    <cellStyle name="Normal 9 2 2 3 4 4" xfId="35305"/>
    <cellStyle name="Normal 9 2 2 3 5" xfId="35306"/>
    <cellStyle name="Normal 9 2 2 3 5 2" xfId="35307"/>
    <cellStyle name="Normal 9 2 2 3 5 2 2" xfId="35308"/>
    <cellStyle name="Normal 9 2 2 3 5 2 2 2" xfId="35309"/>
    <cellStyle name="Normal 9 2 2 3 5 2 3" xfId="35310"/>
    <cellStyle name="Normal 9 2 2 3 5 3" xfId="35311"/>
    <cellStyle name="Normal 9 2 2 3 5 3 2" xfId="35312"/>
    <cellStyle name="Normal 9 2 2 3 5 4" xfId="35313"/>
    <cellStyle name="Normal 9 2 2 3 6" xfId="35314"/>
    <cellStyle name="Normal 9 2 2 3 6 2" xfId="35315"/>
    <cellStyle name="Normal 9 2 2 3 6 2 2" xfId="35316"/>
    <cellStyle name="Normal 9 2 2 3 6 2 2 2" xfId="35317"/>
    <cellStyle name="Normal 9 2 2 3 6 2 3" xfId="35318"/>
    <cellStyle name="Normal 9 2 2 3 6 3" xfId="35319"/>
    <cellStyle name="Normal 9 2 2 3 6 3 2" xfId="35320"/>
    <cellStyle name="Normal 9 2 2 3 6 4" xfId="35321"/>
    <cellStyle name="Normal 9 2 2 3 7" xfId="35322"/>
    <cellStyle name="Normal 9 2 2 3 7 2" xfId="35323"/>
    <cellStyle name="Normal 9 2 2 3 7 2 2" xfId="35324"/>
    <cellStyle name="Normal 9 2 2 3 7 3" xfId="35325"/>
    <cellStyle name="Normal 9 2 2 3 8" xfId="35326"/>
    <cellStyle name="Normal 9 2 2 3 8 2" xfId="35327"/>
    <cellStyle name="Normal 9 2 2 3 9" xfId="35328"/>
    <cellStyle name="Normal 9 2 2 4" xfId="35329"/>
    <cellStyle name="Normal 9 2 2 4 2" xfId="35330"/>
    <cellStyle name="Normal 9 2 2 4 2 2" xfId="35331"/>
    <cellStyle name="Normal 9 2 2 4 2 2 2" xfId="35332"/>
    <cellStyle name="Normal 9 2 2 4 2 2 2 2" xfId="35333"/>
    <cellStyle name="Normal 9 2 2 4 2 2 2 2 2" xfId="35334"/>
    <cellStyle name="Normal 9 2 2 4 2 2 2 3" xfId="35335"/>
    <cellStyle name="Normal 9 2 2 4 2 2 3" xfId="35336"/>
    <cellStyle name="Normal 9 2 2 4 2 2 3 2" xfId="35337"/>
    <cellStyle name="Normal 9 2 2 4 2 2 4" xfId="35338"/>
    <cellStyle name="Normal 9 2 2 4 2 3" xfId="35339"/>
    <cellStyle name="Normal 9 2 2 4 2 3 2" xfId="35340"/>
    <cellStyle name="Normal 9 2 2 4 2 3 2 2" xfId="35341"/>
    <cellStyle name="Normal 9 2 2 4 2 3 2 2 2" xfId="35342"/>
    <cellStyle name="Normal 9 2 2 4 2 3 2 3" xfId="35343"/>
    <cellStyle name="Normal 9 2 2 4 2 3 3" xfId="35344"/>
    <cellStyle name="Normal 9 2 2 4 2 3 3 2" xfId="35345"/>
    <cellStyle name="Normal 9 2 2 4 2 3 4" xfId="35346"/>
    <cellStyle name="Normal 9 2 2 4 2 4" xfId="35347"/>
    <cellStyle name="Normal 9 2 2 4 2 4 2" xfId="35348"/>
    <cellStyle name="Normal 9 2 2 4 2 4 2 2" xfId="35349"/>
    <cellStyle name="Normal 9 2 2 4 2 4 3" xfId="35350"/>
    <cellStyle name="Normal 9 2 2 4 2 5" xfId="35351"/>
    <cellStyle name="Normal 9 2 2 4 2 5 2" xfId="35352"/>
    <cellStyle name="Normal 9 2 2 4 2 6" xfId="35353"/>
    <cellStyle name="Normal 9 2 2 4 3" xfId="35354"/>
    <cellStyle name="Normal 9 2 2 4 3 2" xfId="35355"/>
    <cellStyle name="Normal 9 2 2 4 3 2 2" xfId="35356"/>
    <cellStyle name="Normal 9 2 2 4 3 2 2 2" xfId="35357"/>
    <cellStyle name="Normal 9 2 2 4 3 2 3" xfId="35358"/>
    <cellStyle name="Normal 9 2 2 4 3 3" xfId="35359"/>
    <cellStyle name="Normal 9 2 2 4 3 3 2" xfId="35360"/>
    <cellStyle name="Normal 9 2 2 4 3 4" xfId="35361"/>
    <cellStyle name="Normal 9 2 2 4 4" xfId="35362"/>
    <cellStyle name="Normal 9 2 2 4 4 2" xfId="35363"/>
    <cellStyle name="Normal 9 2 2 4 4 2 2" xfId="35364"/>
    <cellStyle name="Normal 9 2 2 4 4 2 2 2" xfId="35365"/>
    <cellStyle name="Normal 9 2 2 4 4 2 3" xfId="35366"/>
    <cellStyle name="Normal 9 2 2 4 4 3" xfId="35367"/>
    <cellStyle name="Normal 9 2 2 4 4 3 2" xfId="35368"/>
    <cellStyle name="Normal 9 2 2 4 4 4" xfId="35369"/>
    <cellStyle name="Normal 9 2 2 4 5" xfId="35370"/>
    <cellStyle name="Normal 9 2 2 4 5 2" xfId="35371"/>
    <cellStyle name="Normal 9 2 2 4 5 2 2" xfId="35372"/>
    <cellStyle name="Normal 9 2 2 4 5 3" xfId="35373"/>
    <cellStyle name="Normal 9 2 2 4 6" xfId="35374"/>
    <cellStyle name="Normal 9 2 2 4 6 2" xfId="35375"/>
    <cellStyle name="Normal 9 2 2 4 7" xfId="35376"/>
    <cellStyle name="Normal 9 2 2 5" xfId="35377"/>
    <cellStyle name="Normal 9 2 2 5 2" xfId="35378"/>
    <cellStyle name="Normal 9 2 2 5 2 2" xfId="35379"/>
    <cellStyle name="Normal 9 2 2 5 2 2 2" xfId="35380"/>
    <cellStyle name="Normal 9 2 2 5 2 2 2 2" xfId="35381"/>
    <cellStyle name="Normal 9 2 2 5 2 2 3" xfId="35382"/>
    <cellStyle name="Normal 9 2 2 5 2 3" xfId="35383"/>
    <cellStyle name="Normal 9 2 2 5 2 3 2" xfId="35384"/>
    <cellStyle name="Normal 9 2 2 5 2 4" xfId="35385"/>
    <cellStyle name="Normal 9 2 2 5 3" xfId="35386"/>
    <cellStyle name="Normal 9 2 2 5 3 2" xfId="35387"/>
    <cellStyle name="Normal 9 2 2 5 3 2 2" xfId="35388"/>
    <cellStyle name="Normal 9 2 2 5 3 2 2 2" xfId="35389"/>
    <cellStyle name="Normal 9 2 2 5 3 2 3" xfId="35390"/>
    <cellStyle name="Normal 9 2 2 5 3 3" xfId="35391"/>
    <cellStyle name="Normal 9 2 2 5 3 3 2" xfId="35392"/>
    <cellStyle name="Normal 9 2 2 5 3 4" xfId="35393"/>
    <cellStyle name="Normal 9 2 2 5 4" xfId="35394"/>
    <cellStyle name="Normal 9 2 2 5 4 2" xfId="35395"/>
    <cellStyle name="Normal 9 2 2 5 4 2 2" xfId="35396"/>
    <cellStyle name="Normal 9 2 2 5 4 3" xfId="35397"/>
    <cellStyle name="Normal 9 2 2 5 5" xfId="35398"/>
    <cellStyle name="Normal 9 2 2 5 5 2" xfId="35399"/>
    <cellStyle name="Normal 9 2 2 5 6" xfId="35400"/>
    <cellStyle name="Normal 9 2 2 6" xfId="35401"/>
    <cellStyle name="Normal 9 2 2 6 2" xfId="35402"/>
    <cellStyle name="Normal 9 2 2 6 2 2" xfId="35403"/>
    <cellStyle name="Normal 9 2 2 6 2 2 2" xfId="35404"/>
    <cellStyle name="Normal 9 2 2 6 2 3" xfId="35405"/>
    <cellStyle name="Normal 9 2 2 6 3" xfId="35406"/>
    <cellStyle name="Normal 9 2 2 6 3 2" xfId="35407"/>
    <cellStyle name="Normal 9 2 2 6 4" xfId="35408"/>
    <cellStyle name="Normal 9 2 2 7" xfId="35409"/>
    <cellStyle name="Normal 9 2 2 7 2" xfId="35410"/>
    <cellStyle name="Normal 9 2 2 7 2 2" xfId="35411"/>
    <cellStyle name="Normal 9 2 2 7 2 2 2" xfId="35412"/>
    <cellStyle name="Normal 9 2 2 7 2 3" xfId="35413"/>
    <cellStyle name="Normal 9 2 2 7 3" xfId="35414"/>
    <cellStyle name="Normal 9 2 2 7 3 2" xfId="35415"/>
    <cellStyle name="Normal 9 2 2 7 4" xfId="35416"/>
    <cellStyle name="Normal 9 2 2 8" xfId="35417"/>
    <cellStyle name="Normal 9 2 2 8 2" xfId="35418"/>
    <cellStyle name="Normal 9 2 2 8 2 2" xfId="35419"/>
    <cellStyle name="Normal 9 2 2 8 2 2 2" xfId="35420"/>
    <cellStyle name="Normal 9 2 2 8 2 3" xfId="35421"/>
    <cellStyle name="Normal 9 2 2 8 3" xfId="35422"/>
    <cellStyle name="Normal 9 2 2 8 3 2" xfId="35423"/>
    <cellStyle name="Normal 9 2 2 8 4" xfId="35424"/>
    <cellStyle name="Normal 9 2 2 9" xfId="35425"/>
    <cellStyle name="Normal 9 2 2 9 2" xfId="35426"/>
    <cellStyle name="Normal 9 2 2 9 2 2" xfId="35427"/>
    <cellStyle name="Normal 9 2 2 9 3" xfId="35428"/>
    <cellStyle name="Normal 9 2 3" xfId="35429"/>
    <cellStyle name="Normal 9 2 3 10" xfId="35430"/>
    <cellStyle name="Normal 9 2 3 2" xfId="35431"/>
    <cellStyle name="Normal 9 2 3 2 2" xfId="35432"/>
    <cellStyle name="Normal 9 2 3 2 2 2" xfId="35433"/>
    <cellStyle name="Normal 9 2 3 2 2 2 2" xfId="35434"/>
    <cellStyle name="Normal 9 2 3 2 2 2 2 2" xfId="35435"/>
    <cellStyle name="Normal 9 2 3 2 2 2 2 2 2" xfId="35436"/>
    <cellStyle name="Normal 9 2 3 2 2 2 2 2 2 2" xfId="35437"/>
    <cellStyle name="Normal 9 2 3 2 2 2 2 2 3" xfId="35438"/>
    <cellStyle name="Normal 9 2 3 2 2 2 2 3" xfId="35439"/>
    <cellStyle name="Normal 9 2 3 2 2 2 2 3 2" xfId="35440"/>
    <cellStyle name="Normal 9 2 3 2 2 2 2 4" xfId="35441"/>
    <cellStyle name="Normal 9 2 3 2 2 2 3" xfId="35442"/>
    <cellStyle name="Normal 9 2 3 2 2 2 3 2" xfId="35443"/>
    <cellStyle name="Normal 9 2 3 2 2 2 3 2 2" xfId="35444"/>
    <cellStyle name="Normal 9 2 3 2 2 2 3 2 2 2" xfId="35445"/>
    <cellStyle name="Normal 9 2 3 2 2 2 3 2 3" xfId="35446"/>
    <cellStyle name="Normal 9 2 3 2 2 2 3 3" xfId="35447"/>
    <cellStyle name="Normal 9 2 3 2 2 2 3 3 2" xfId="35448"/>
    <cellStyle name="Normal 9 2 3 2 2 2 3 4" xfId="35449"/>
    <cellStyle name="Normal 9 2 3 2 2 2 4" xfId="35450"/>
    <cellStyle name="Normal 9 2 3 2 2 2 4 2" xfId="35451"/>
    <cellStyle name="Normal 9 2 3 2 2 2 4 2 2" xfId="35452"/>
    <cellStyle name="Normal 9 2 3 2 2 2 4 3" xfId="35453"/>
    <cellStyle name="Normal 9 2 3 2 2 2 5" xfId="35454"/>
    <cellStyle name="Normal 9 2 3 2 2 2 5 2" xfId="35455"/>
    <cellStyle name="Normal 9 2 3 2 2 2 6" xfId="35456"/>
    <cellStyle name="Normal 9 2 3 2 2 3" xfId="35457"/>
    <cellStyle name="Normal 9 2 3 2 2 3 2" xfId="35458"/>
    <cellStyle name="Normal 9 2 3 2 2 3 2 2" xfId="35459"/>
    <cellStyle name="Normal 9 2 3 2 2 3 2 2 2" xfId="35460"/>
    <cellStyle name="Normal 9 2 3 2 2 3 2 3" xfId="35461"/>
    <cellStyle name="Normal 9 2 3 2 2 3 3" xfId="35462"/>
    <cellStyle name="Normal 9 2 3 2 2 3 3 2" xfId="35463"/>
    <cellStyle name="Normal 9 2 3 2 2 3 4" xfId="35464"/>
    <cellStyle name="Normal 9 2 3 2 2 4" xfId="35465"/>
    <cellStyle name="Normal 9 2 3 2 2 4 2" xfId="35466"/>
    <cellStyle name="Normal 9 2 3 2 2 4 2 2" xfId="35467"/>
    <cellStyle name="Normal 9 2 3 2 2 4 2 2 2" xfId="35468"/>
    <cellStyle name="Normal 9 2 3 2 2 4 2 3" xfId="35469"/>
    <cellStyle name="Normal 9 2 3 2 2 4 3" xfId="35470"/>
    <cellStyle name="Normal 9 2 3 2 2 4 3 2" xfId="35471"/>
    <cellStyle name="Normal 9 2 3 2 2 4 4" xfId="35472"/>
    <cellStyle name="Normal 9 2 3 2 2 5" xfId="35473"/>
    <cellStyle name="Normal 9 2 3 2 2 5 2" xfId="35474"/>
    <cellStyle name="Normal 9 2 3 2 2 5 2 2" xfId="35475"/>
    <cellStyle name="Normal 9 2 3 2 2 5 3" xfId="35476"/>
    <cellStyle name="Normal 9 2 3 2 2 6" xfId="35477"/>
    <cellStyle name="Normal 9 2 3 2 2 6 2" xfId="35478"/>
    <cellStyle name="Normal 9 2 3 2 2 7" xfId="35479"/>
    <cellStyle name="Normal 9 2 3 2 3" xfId="35480"/>
    <cellStyle name="Normal 9 2 3 2 3 2" xfId="35481"/>
    <cellStyle name="Normal 9 2 3 2 3 2 2" xfId="35482"/>
    <cellStyle name="Normal 9 2 3 2 3 2 2 2" xfId="35483"/>
    <cellStyle name="Normal 9 2 3 2 3 2 2 2 2" xfId="35484"/>
    <cellStyle name="Normal 9 2 3 2 3 2 2 3" xfId="35485"/>
    <cellStyle name="Normal 9 2 3 2 3 2 3" xfId="35486"/>
    <cellStyle name="Normal 9 2 3 2 3 2 3 2" xfId="35487"/>
    <cellStyle name="Normal 9 2 3 2 3 2 4" xfId="35488"/>
    <cellStyle name="Normal 9 2 3 2 3 3" xfId="35489"/>
    <cellStyle name="Normal 9 2 3 2 3 3 2" xfId="35490"/>
    <cellStyle name="Normal 9 2 3 2 3 3 2 2" xfId="35491"/>
    <cellStyle name="Normal 9 2 3 2 3 3 2 2 2" xfId="35492"/>
    <cellStyle name="Normal 9 2 3 2 3 3 2 3" xfId="35493"/>
    <cellStyle name="Normal 9 2 3 2 3 3 3" xfId="35494"/>
    <cellStyle name="Normal 9 2 3 2 3 3 3 2" xfId="35495"/>
    <cellStyle name="Normal 9 2 3 2 3 3 4" xfId="35496"/>
    <cellStyle name="Normal 9 2 3 2 3 4" xfId="35497"/>
    <cellStyle name="Normal 9 2 3 2 3 4 2" xfId="35498"/>
    <cellStyle name="Normal 9 2 3 2 3 4 2 2" xfId="35499"/>
    <cellStyle name="Normal 9 2 3 2 3 4 3" xfId="35500"/>
    <cellStyle name="Normal 9 2 3 2 3 5" xfId="35501"/>
    <cellStyle name="Normal 9 2 3 2 3 5 2" xfId="35502"/>
    <cellStyle name="Normal 9 2 3 2 3 6" xfId="35503"/>
    <cellStyle name="Normal 9 2 3 2 4" xfId="35504"/>
    <cellStyle name="Normal 9 2 3 2 4 2" xfId="35505"/>
    <cellStyle name="Normal 9 2 3 2 4 2 2" xfId="35506"/>
    <cellStyle name="Normal 9 2 3 2 4 2 2 2" xfId="35507"/>
    <cellStyle name="Normal 9 2 3 2 4 2 3" xfId="35508"/>
    <cellStyle name="Normal 9 2 3 2 4 3" xfId="35509"/>
    <cellStyle name="Normal 9 2 3 2 4 3 2" xfId="35510"/>
    <cellStyle name="Normal 9 2 3 2 4 4" xfId="35511"/>
    <cellStyle name="Normal 9 2 3 2 5" xfId="35512"/>
    <cellStyle name="Normal 9 2 3 2 5 2" xfId="35513"/>
    <cellStyle name="Normal 9 2 3 2 5 2 2" xfId="35514"/>
    <cellStyle name="Normal 9 2 3 2 5 2 2 2" xfId="35515"/>
    <cellStyle name="Normal 9 2 3 2 5 2 3" xfId="35516"/>
    <cellStyle name="Normal 9 2 3 2 5 3" xfId="35517"/>
    <cellStyle name="Normal 9 2 3 2 5 3 2" xfId="35518"/>
    <cellStyle name="Normal 9 2 3 2 5 4" xfId="35519"/>
    <cellStyle name="Normal 9 2 3 2 6" xfId="35520"/>
    <cellStyle name="Normal 9 2 3 2 6 2" xfId="35521"/>
    <cellStyle name="Normal 9 2 3 2 6 2 2" xfId="35522"/>
    <cellStyle name="Normal 9 2 3 2 6 2 2 2" xfId="35523"/>
    <cellStyle name="Normal 9 2 3 2 6 2 3" xfId="35524"/>
    <cellStyle name="Normal 9 2 3 2 6 3" xfId="35525"/>
    <cellStyle name="Normal 9 2 3 2 6 3 2" xfId="35526"/>
    <cellStyle name="Normal 9 2 3 2 6 4" xfId="35527"/>
    <cellStyle name="Normal 9 2 3 2 7" xfId="35528"/>
    <cellStyle name="Normal 9 2 3 2 7 2" xfId="35529"/>
    <cellStyle name="Normal 9 2 3 2 7 2 2" xfId="35530"/>
    <cellStyle name="Normal 9 2 3 2 7 3" xfId="35531"/>
    <cellStyle name="Normal 9 2 3 2 8" xfId="35532"/>
    <cellStyle name="Normal 9 2 3 2 8 2" xfId="35533"/>
    <cellStyle name="Normal 9 2 3 2 9" xfId="35534"/>
    <cellStyle name="Normal 9 2 3 3" xfId="35535"/>
    <cellStyle name="Normal 9 2 3 3 2" xfId="35536"/>
    <cellStyle name="Normal 9 2 3 3 2 2" xfId="35537"/>
    <cellStyle name="Normal 9 2 3 3 2 2 2" xfId="35538"/>
    <cellStyle name="Normal 9 2 3 3 2 2 2 2" xfId="35539"/>
    <cellStyle name="Normal 9 2 3 3 2 2 2 2 2" xfId="35540"/>
    <cellStyle name="Normal 9 2 3 3 2 2 2 3" xfId="35541"/>
    <cellStyle name="Normal 9 2 3 3 2 2 3" xfId="35542"/>
    <cellStyle name="Normal 9 2 3 3 2 2 3 2" xfId="35543"/>
    <cellStyle name="Normal 9 2 3 3 2 2 4" xfId="35544"/>
    <cellStyle name="Normal 9 2 3 3 2 3" xfId="35545"/>
    <cellStyle name="Normal 9 2 3 3 2 3 2" xfId="35546"/>
    <cellStyle name="Normal 9 2 3 3 2 3 2 2" xfId="35547"/>
    <cellStyle name="Normal 9 2 3 3 2 3 2 2 2" xfId="35548"/>
    <cellStyle name="Normal 9 2 3 3 2 3 2 3" xfId="35549"/>
    <cellStyle name="Normal 9 2 3 3 2 3 3" xfId="35550"/>
    <cellStyle name="Normal 9 2 3 3 2 3 3 2" xfId="35551"/>
    <cellStyle name="Normal 9 2 3 3 2 3 4" xfId="35552"/>
    <cellStyle name="Normal 9 2 3 3 2 4" xfId="35553"/>
    <cellStyle name="Normal 9 2 3 3 2 4 2" xfId="35554"/>
    <cellStyle name="Normal 9 2 3 3 2 4 2 2" xfId="35555"/>
    <cellStyle name="Normal 9 2 3 3 2 4 3" xfId="35556"/>
    <cellStyle name="Normal 9 2 3 3 2 5" xfId="35557"/>
    <cellStyle name="Normal 9 2 3 3 2 5 2" xfId="35558"/>
    <cellStyle name="Normal 9 2 3 3 2 6" xfId="35559"/>
    <cellStyle name="Normal 9 2 3 3 3" xfId="35560"/>
    <cellStyle name="Normal 9 2 3 3 3 2" xfId="35561"/>
    <cellStyle name="Normal 9 2 3 3 3 2 2" xfId="35562"/>
    <cellStyle name="Normal 9 2 3 3 3 2 2 2" xfId="35563"/>
    <cellStyle name="Normal 9 2 3 3 3 2 3" xfId="35564"/>
    <cellStyle name="Normal 9 2 3 3 3 3" xfId="35565"/>
    <cellStyle name="Normal 9 2 3 3 3 3 2" xfId="35566"/>
    <cellStyle name="Normal 9 2 3 3 3 4" xfId="35567"/>
    <cellStyle name="Normal 9 2 3 3 4" xfId="35568"/>
    <cellStyle name="Normal 9 2 3 3 4 2" xfId="35569"/>
    <cellStyle name="Normal 9 2 3 3 4 2 2" xfId="35570"/>
    <cellStyle name="Normal 9 2 3 3 4 2 2 2" xfId="35571"/>
    <cellStyle name="Normal 9 2 3 3 4 2 3" xfId="35572"/>
    <cellStyle name="Normal 9 2 3 3 4 3" xfId="35573"/>
    <cellStyle name="Normal 9 2 3 3 4 3 2" xfId="35574"/>
    <cellStyle name="Normal 9 2 3 3 4 4" xfId="35575"/>
    <cellStyle name="Normal 9 2 3 3 5" xfId="35576"/>
    <cellStyle name="Normal 9 2 3 3 5 2" xfId="35577"/>
    <cellStyle name="Normal 9 2 3 3 5 2 2" xfId="35578"/>
    <cellStyle name="Normal 9 2 3 3 5 3" xfId="35579"/>
    <cellStyle name="Normal 9 2 3 3 6" xfId="35580"/>
    <cellStyle name="Normal 9 2 3 3 6 2" xfId="35581"/>
    <cellStyle name="Normal 9 2 3 3 7" xfId="35582"/>
    <cellStyle name="Normal 9 2 3 4" xfId="35583"/>
    <cellStyle name="Normal 9 2 3 4 2" xfId="35584"/>
    <cellStyle name="Normal 9 2 3 4 2 2" xfId="35585"/>
    <cellStyle name="Normal 9 2 3 4 2 2 2" xfId="35586"/>
    <cellStyle name="Normal 9 2 3 4 2 2 2 2" xfId="35587"/>
    <cellStyle name="Normal 9 2 3 4 2 2 3" xfId="35588"/>
    <cellStyle name="Normal 9 2 3 4 2 3" xfId="35589"/>
    <cellStyle name="Normal 9 2 3 4 2 3 2" xfId="35590"/>
    <cellStyle name="Normal 9 2 3 4 2 4" xfId="35591"/>
    <cellStyle name="Normal 9 2 3 4 3" xfId="35592"/>
    <cellStyle name="Normal 9 2 3 4 3 2" xfId="35593"/>
    <cellStyle name="Normal 9 2 3 4 3 2 2" xfId="35594"/>
    <cellStyle name="Normal 9 2 3 4 3 2 2 2" xfId="35595"/>
    <cellStyle name="Normal 9 2 3 4 3 2 3" xfId="35596"/>
    <cellStyle name="Normal 9 2 3 4 3 3" xfId="35597"/>
    <cellStyle name="Normal 9 2 3 4 3 3 2" xfId="35598"/>
    <cellStyle name="Normal 9 2 3 4 3 4" xfId="35599"/>
    <cellStyle name="Normal 9 2 3 4 4" xfId="35600"/>
    <cellStyle name="Normal 9 2 3 4 4 2" xfId="35601"/>
    <cellStyle name="Normal 9 2 3 4 4 2 2" xfId="35602"/>
    <cellStyle name="Normal 9 2 3 4 4 3" xfId="35603"/>
    <cellStyle name="Normal 9 2 3 4 5" xfId="35604"/>
    <cellStyle name="Normal 9 2 3 4 5 2" xfId="35605"/>
    <cellStyle name="Normal 9 2 3 4 6" xfId="35606"/>
    <cellStyle name="Normal 9 2 3 5" xfId="35607"/>
    <cellStyle name="Normal 9 2 3 5 2" xfId="35608"/>
    <cellStyle name="Normal 9 2 3 5 2 2" xfId="35609"/>
    <cellStyle name="Normal 9 2 3 5 2 2 2" xfId="35610"/>
    <cellStyle name="Normal 9 2 3 5 2 3" xfId="35611"/>
    <cellStyle name="Normal 9 2 3 5 3" xfId="35612"/>
    <cellStyle name="Normal 9 2 3 5 3 2" xfId="35613"/>
    <cellStyle name="Normal 9 2 3 5 4" xfId="35614"/>
    <cellStyle name="Normal 9 2 3 6" xfId="35615"/>
    <cellStyle name="Normal 9 2 3 6 2" xfId="35616"/>
    <cellStyle name="Normal 9 2 3 6 2 2" xfId="35617"/>
    <cellStyle name="Normal 9 2 3 6 2 2 2" xfId="35618"/>
    <cellStyle name="Normal 9 2 3 6 2 3" xfId="35619"/>
    <cellStyle name="Normal 9 2 3 6 3" xfId="35620"/>
    <cellStyle name="Normal 9 2 3 6 3 2" xfId="35621"/>
    <cellStyle name="Normal 9 2 3 6 4" xfId="35622"/>
    <cellStyle name="Normal 9 2 3 7" xfId="35623"/>
    <cellStyle name="Normal 9 2 3 7 2" xfId="35624"/>
    <cellStyle name="Normal 9 2 3 7 2 2" xfId="35625"/>
    <cellStyle name="Normal 9 2 3 7 2 2 2" xfId="35626"/>
    <cellStyle name="Normal 9 2 3 7 2 3" xfId="35627"/>
    <cellStyle name="Normal 9 2 3 7 3" xfId="35628"/>
    <cellStyle name="Normal 9 2 3 7 3 2" xfId="35629"/>
    <cellStyle name="Normal 9 2 3 7 4" xfId="35630"/>
    <cellStyle name="Normal 9 2 3 8" xfId="35631"/>
    <cellStyle name="Normal 9 2 3 8 2" xfId="35632"/>
    <cellStyle name="Normal 9 2 3 8 2 2" xfId="35633"/>
    <cellStyle name="Normal 9 2 3 8 3" xfId="35634"/>
    <cellStyle name="Normal 9 2 3 9" xfId="35635"/>
    <cellStyle name="Normal 9 2 3 9 2" xfId="35636"/>
    <cellStyle name="Normal 9 2 4" xfId="35637"/>
    <cellStyle name="Normal 9 2 4 10" xfId="35638"/>
    <cellStyle name="Normal 9 2 4 2" xfId="35639"/>
    <cellStyle name="Normal 9 2 4 2 2" xfId="35640"/>
    <cellStyle name="Normal 9 2 4 2 2 2" xfId="35641"/>
    <cellStyle name="Normal 9 2 4 2 2 2 2" xfId="35642"/>
    <cellStyle name="Normal 9 2 4 2 2 2 2 2" xfId="35643"/>
    <cellStyle name="Normal 9 2 4 2 2 2 2 2 2" xfId="35644"/>
    <cellStyle name="Normal 9 2 4 2 2 2 2 2 2 2" xfId="35645"/>
    <cellStyle name="Normal 9 2 4 2 2 2 2 2 3" xfId="35646"/>
    <cellStyle name="Normal 9 2 4 2 2 2 2 3" xfId="35647"/>
    <cellStyle name="Normal 9 2 4 2 2 2 2 3 2" xfId="35648"/>
    <cellStyle name="Normal 9 2 4 2 2 2 2 4" xfId="35649"/>
    <cellStyle name="Normal 9 2 4 2 2 2 3" xfId="35650"/>
    <cellStyle name="Normal 9 2 4 2 2 2 3 2" xfId="35651"/>
    <cellStyle name="Normal 9 2 4 2 2 2 3 2 2" xfId="35652"/>
    <cellStyle name="Normal 9 2 4 2 2 2 3 2 2 2" xfId="35653"/>
    <cellStyle name="Normal 9 2 4 2 2 2 3 2 3" xfId="35654"/>
    <cellStyle name="Normal 9 2 4 2 2 2 3 3" xfId="35655"/>
    <cellStyle name="Normal 9 2 4 2 2 2 3 3 2" xfId="35656"/>
    <cellStyle name="Normal 9 2 4 2 2 2 3 4" xfId="35657"/>
    <cellStyle name="Normal 9 2 4 2 2 2 4" xfId="35658"/>
    <cellStyle name="Normal 9 2 4 2 2 2 4 2" xfId="35659"/>
    <cellStyle name="Normal 9 2 4 2 2 2 4 2 2" xfId="35660"/>
    <cellStyle name="Normal 9 2 4 2 2 2 4 3" xfId="35661"/>
    <cellStyle name="Normal 9 2 4 2 2 2 5" xfId="35662"/>
    <cellStyle name="Normal 9 2 4 2 2 2 5 2" xfId="35663"/>
    <cellStyle name="Normal 9 2 4 2 2 2 6" xfId="35664"/>
    <cellStyle name="Normal 9 2 4 2 2 3" xfId="35665"/>
    <cellStyle name="Normal 9 2 4 2 2 3 2" xfId="35666"/>
    <cellStyle name="Normal 9 2 4 2 2 3 2 2" xfId="35667"/>
    <cellStyle name="Normal 9 2 4 2 2 3 2 2 2" xfId="35668"/>
    <cellStyle name="Normal 9 2 4 2 2 3 2 3" xfId="35669"/>
    <cellStyle name="Normal 9 2 4 2 2 3 3" xfId="35670"/>
    <cellStyle name="Normal 9 2 4 2 2 3 3 2" xfId="35671"/>
    <cellStyle name="Normal 9 2 4 2 2 3 4" xfId="35672"/>
    <cellStyle name="Normal 9 2 4 2 2 4" xfId="35673"/>
    <cellStyle name="Normal 9 2 4 2 2 4 2" xfId="35674"/>
    <cellStyle name="Normal 9 2 4 2 2 4 2 2" xfId="35675"/>
    <cellStyle name="Normal 9 2 4 2 2 4 2 2 2" xfId="35676"/>
    <cellStyle name="Normal 9 2 4 2 2 4 2 3" xfId="35677"/>
    <cellStyle name="Normal 9 2 4 2 2 4 3" xfId="35678"/>
    <cellStyle name="Normal 9 2 4 2 2 4 3 2" xfId="35679"/>
    <cellStyle name="Normal 9 2 4 2 2 4 4" xfId="35680"/>
    <cellStyle name="Normal 9 2 4 2 2 5" xfId="35681"/>
    <cellStyle name="Normal 9 2 4 2 2 5 2" xfId="35682"/>
    <cellStyle name="Normal 9 2 4 2 2 5 2 2" xfId="35683"/>
    <cellStyle name="Normal 9 2 4 2 2 5 3" xfId="35684"/>
    <cellStyle name="Normal 9 2 4 2 2 6" xfId="35685"/>
    <cellStyle name="Normal 9 2 4 2 2 6 2" xfId="35686"/>
    <cellStyle name="Normal 9 2 4 2 2 7" xfId="35687"/>
    <cellStyle name="Normal 9 2 4 2 3" xfId="35688"/>
    <cellStyle name="Normal 9 2 4 2 3 2" xfId="35689"/>
    <cellStyle name="Normal 9 2 4 2 3 2 2" xfId="35690"/>
    <cellStyle name="Normal 9 2 4 2 3 2 2 2" xfId="35691"/>
    <cellStyle name="Normal 9 2 4 2 3 2 2 2 2" xfId="35692"/>
    <cellStyle name="Normal 9 2 4 2 3 2 2 3" xfId="35693"/>
    <cellStyle name="Normal 9 2 4 2 3 2 3" xfId="35694"/>
    <cellStyle name="Normal 9 2 4 2 3 2 3 2" xfId="35695"/>
    <cellStyle name="Normal 9 2 4 2 3 2 4" xfId="35696"/>
    <cellStyle name="Normal 9 2 4 2 3 3" xfId="35697"/>
    <cellStyle name="Normal 9 2 4 2 3 3 2" xfId="35698"/>
    <cellStyle name="Normal 9 2 4 2 3 3 2 2" xfId="35699"/>
    <cellStyle name="Normal 9 2 4 2 3 3 2 2 2" xfId="35700"/>
    <cellStyle name="Normal 9 2 4 2 3 3 2 3" xfId="35701"/>
    <cellStyle name="Normal 9 2 4 2 3 3 3" xfId="35702"/>
    <cellStyle name="Normal 9 2 4 2 3 3 3 2" xfId="35703"/>
    <cellStyle name="Normal 9 2 4 2 3 3 4" xfId="35704"/>
    <cellStyle name="Normal 9 2 4 2 3 4" xfId="35705"/>
    <cellStyle name="Normal 9 2 4 2 3 4 2" xfId="35706"/>
    <cellStyle name="Normal 9 2 4 2 3 4 2 2" xfId="35707"/>
    <cellStyle name="Normal 9 2 4 2 3 4 3" xfId="35708"/>
    <cellStyle name="Normal 9 2 4 2 3 5" xfId="35709"/>
    <cellStyle name="Normal 9 2 4 2 3 5 2" xfId="35710"/>
    <cellStyle name="Normal 9 2 4 2 3 6" xfId="35711"/>
    <cellStyle name="Normal 9 2 4 2 4" xfId="35712"/>
    <cellStyle name="Normal 9 2 4 2 4 2" xfId="35713"/>
    <cellStyle name="Normal 9 2 4 2 4 2 2" xfId="35714"/>
    <cellStyle name="Normal 9 2 4 2 4 2 2 2" xfId="35715"/>
    <cellStyle name="Normal 9 2 4 2 4 2 3" xfId="35716"/>
    <cellStyle name="Normal 9 2 4 2 4 3" xfId="35717"/>
    <cellStyle name="Normal 9 2 4 2 4 3 2" xfId="35718"/>
    <cellStyle name="Normal 9 2 4 2 4 4" xfId="35719"/>
    <cellStyle name="Normal 9 2 4 2 5" xfId="35720"/>
    <cellStyle name="Normal 9 2 4 2 5 2" xfId="35721"/>
    <cellStyle name="Normal 9 2 4 2 5 2 2" xfId="35722"/>
    <cellStyle name="Normal 9 2 4 2 5 2 2 2" xfId="35723"/>
    <cellStyle name="Normal 9 2 4 2 5 2 3" xfId="35724"/>
    <cellStyle name="Normal 9 2 4 2 5 3" xfId="35725"/>
    <cellStyle name="Normal 9 2 4 2 5 3 2" xfId="35726"/>
    <cellStyle name="Normal 9 2 4 2 5 4" xfId="35727"/>
    <cellStyle name="Normal 9 2 4 2 6" xfId="35728"/>
    <cellStyle name="Normal 9 2 4 2 6 2" xfId="35729"/>
    <cellStyle name="Normal 9 2 4 2 6 2 2" xfId="35730"/>
    <cellStyle name="Normal 9 2 4 2 6 2 2 2" xfId="35731"/>
    <cellStyle name="Normal 9 2 4 2 6 2 3" xfId="35732"/>
    <cellStyle name="Normal 9 2 4 2 6 3" xfId="35733"/>
    <cellStyle name="Normal 9 2 4 2 6 3 2" xfId="35734"/>
    <cellStyle name="Normal 9 2 4 2 6 4" xfId="35735"/>
    <cellStyle name="Normal 9 2 4 2 7" xfId="35736"/>
    <cellStyle name="Normal 9 2 4 2 7 2" xfId="35737"/>
    <cellStyle name="Normal 9 2 4 2 7 2 2" xfId="35738"/>
    <cellStyle name="Normal 9 2 4 2 7 3" xfId="35739"/>
    <cellStyle name="Normal 9 2 4 2 8" xfId="35740"/>
    <cellStyle name="Normal 9 2 4 2 8 2" xfId="35741"/>
    <cellStyle name="Normal 9 2 4 2 9" xfId="35742"/>
    <cellStyle name="Normal 9 2 4 3" xfId="35743"/>
    <cellStyle name="Normal 9 2 4 3 2" xfId="35744"/>
    <cellStyle name="Normal 9 2 4 3 2 2" xfId="35745"/>
    <cellStyle name="Normal 9 2 4 3 2 2 2" xfId="35746"/>
    <cellStyle name="Normal 9 2 4 3 2 2 2 2" xfId="35747"/>
    <cellStyle name="Normal 9 2 4 3 2 2 2 2 2" xfId="35748"/>
    <cellStyle name="Normal 9 2 4 3 2 2 2 3" xfId="35749"/>
    <cellStyle name="Normal 9 2 4 3 2 2 3" xfId="35750"/>
    <cellStyle name="Normal 9 2 4 3 2 2 3 2" xfId="35751"/>
    <cellStyle name="Normal 9 2 4 3 2 2 4" xfId="35752"/>
    <cellStyle name="Normal 9 2 4 3 2 3" xfId="35753"/>
    <cellStyle name="Normal 9 2 4 3 2 3 2" xfId="35754"/>
    <cellStyle name="Normal 9 2 4 3 2 3 2 2" xfId="35755"/>
    <cellStyle name="Normal 9 2 4 3 2 3 2 2 2" xfId="35756"/>
    <cellStyle name="Normal 9 2 4 3 2 3 2 3" xfId="35757"/>
    <cellStyle name="Normal 9 2 4 3 2 3 3" xfId="35758"/>
    <cellStyle name="Normal 9 2 4 3 2 3 3 2" xfId="35759"/>
    <cellStyle name="Normal 9 2 4 3 2 3 4" xfId="35760"/>
    <cellStyle name="Normal 9 2 4 3 2 4" xfId="35761"/>
    <cellStyle name="Normal 9 2 4 3 2 4 2" xfId="35762"/>
    <cellStyle name="Normal 9 2 4 3 2 4 2 2" xfId="35763"/>
    <cellStyle name="Normal 9 2 4 3 2 4 3" xfId="35764"/>
    <cellStyle name="Normal 9 2 4 3 2 5" xfId="35765"/>
    <cellStyle name="Normal 9 2 4 3 2 5 2" xfId="35766"/>
    <cellStyle name="Normal 9 2 4 3 2 6" xfId="35767"/>
    <cellStyle name="Normal 9 2 4 3 3" xfId="35768"/>
    <cellStyle name="Normal 9 2 4 3 3 2" xfId="35769"/>
    <cellStyle name="Normal 9 2 4 3 3 2 2" xfId="35770"/>
    <cellStyle name="Normal 9 2 4 3 3 2 2 2" xfId="35771"/>
    <cellStyle name="Normal 9 2 4 3 3 2 3" xfId="35772"/>
    <cellStyle name="Normal 9 2 4 3 3 3" xfId="35773"/>
    <cellStyle name="Normal 9 2 4 3 3 3 2" xfId="35774"/>
    <cellStyle name="Normal 9 2 4 3 3 4" xfId="35775"/>
    <cellStyle name="Normal 9 2 4 3 4" xfId="35776"/>
    <cellStyle name="Normal 9 2 4 3 4 2" xfId="35777"/>
    <cellStyle name="Normal 9 2 4 3 4 2 2" xfId="35778"/>
    <cellStyle name="Normal 9 2 4 3 4 2 2 2" xfId="35779"/>
    <cellStyle name="Normal 9 2 4 3 4 2 3" xfId="35780"/>
    <cellStyle name="Normal 9 2 4 3 4 3" xfId="35781"/>
    <cellStyle name="Normal 9 2 4 3 4 3 2" xfId="35782"/>
    <cellStyle name="Normal 9 2 4 3 4 4" xfId="35783"/>
    <cellStyle name="Normal 9 2 4 3 5" xfId="35784"/>
    <cellStyle name="Normal 9 2 4 3 5 2" xfId="35785"/>
    <cellStyle name="Normal 9 2 4 3 5 2 2" xfId="35786"/>
    <cellStyle name="Normal 9 2 4 3 5 3" xfId="35787"/>
    <cellStyle name="Normal 9 2 4 3 6" xfId="35788"/>
    <cellStyle name="Normal 9 2 4 3 6 2" xfId="35789"/>
    <cellStyle name="Normal 9 2 4 3 7" xfId="35790"/>
    <cellStyle name="Normal 9 2 4 4" xfId="35791"/>
    <cellStyle name="Normal 9 2 4 4 2" xfId="35792"/>
    <cellStyle name="Normal 9 2 4 4 2 2" xfId="35793"/>
    <cellStyle name="Normal 9 2 4 4 2 2 2" xfId="35794"/>
    <cellStyle name="Normal 9 2 4 4 2 2 2 2" xfId="35795"/>
    <cellStyle name="Normal 9 2 4 4 2 2 3" xfId="35796"/>
    <cellStyle name="Normal 9 2 4 4 2 3" xfId="35797"/>
    <cellStyle name="Normal 9 2 4 4 2 3 2" xfId="35798"/>
    <cellStyle name="Normal 9 2 4 4 2 4" xfId="35799"/>
    <cellStyle name="Normal 9 2 4 4 3" xfId="35800"/>
    <cellStyle name="Normal 9 2 4 4 3 2" xfId="35801"/>
    <cellStyle name="Normal 9 2 4 4 3 2 2" xfId="35802"/>
    <cellStyle name="Normal 9 2 4 4 3 2 2 2" xfId="35803"/>
    <cellStyle name="Normal 9 2 4 4 3 2 3" xfId="35804"/>
    <cellStyle name="Normal 9 2 4 4 3 3" xfId="35805"/>
    <cellStyle name="Normal 9 2 4 4 3 3 2" xfId="35806"/>
    <cellStyle name="Normal 9 2 4 4 3 4" xfId="35807"/>
    <cellStyle name="Normal 9 2 4 4 4" xfId="35808"/>
    <cellStyle name="Normal 9 2 4 4 4 2" xfId="35809"/>
    <cellStyle name="Normal 9 2 4 4 4 2 2" xfId="35810"/>
    <cellStyle name="Normal 9 2 4 4 4 3" xfId="35811"/>
    <cellStyle name="Normal 9 2 4 4 5" xfId="35812"/>
    <cellStyle name="Normal 9 2 4 4 5 2" xfId="35813"/>
    <cellStyle name="Normal 9 2 4 4 6" xfId="35814"/>
    <cellStyle name="Normal 9 2 4 5" xfId="35815"/>
    <cellStyle name="Normal 9 2 4 5 2" xfId="35816"/>
    <cellStyle name="Normal 9 2 4 5 2 2" xfId="35817"/>
    <cellStyle name="Normal 9 2 4 5 2 2 2" xfId="35818"/>
    <cellStyle name="Normal 9 2 4 5 2 3" xfId="35819"/>
    <cellStyle name="Normal 9 2 4 5 3" xfId="35820"/>
    <cellStyle name="Normal 9 2 4 5 3 2" xfId="35821"/>
    <cellStyle name="Normal 9 2 4 5 4" xfId="35822"/>
    <cellStyle name="Normal 9 2 4 6" xfId="35823"/>
    <cellStyle name="Normal 9 2 4 6 2" xfId="35824"/>
    <cellStyle name="Normal 9 2 4 6 2 2" xfId="35825"/>
    <cellStyle name="Normal 9 2 4 6 2 2 2" xfId="35826"/>
    <cellStyle name="Normal 9 2 4 6 2 3" xfId="35827"/>
    <cellStyle name="Normal 9 2 4 6 3" xfId="35828"/>
    <cellStyle name="Normal 9 2 4 6 3 2" xfId="35829"/>
    <cellStyle name="Normal 9 2 4 6 4" xfId="35830"/>
    <cellStyle name="Normal 9 2 4 7" xfId="35831"/>
    <cellStyle name="Normal 9 2 4 7 2" xfId="35832"/>
    <cellStyle name="Normal 9 2 4 7 2 2" xfId="35833"/>
    <cellStyle name="Normal 9 2 4 7 2 2 2" xfId="35834"/>
    <cellStyle name="Normal 9 2 4 7 2 3" xfId="35835"/>
    <cellStyle name="Normal 9 2 4 7 3" xfId="35836"/>
    <cellStyle name="Normal 9 2 4 7 3 2" xfId="35837"/>
    <cellStyle name="Normal 9 2 4 7 4" xfId="35838"/>
    <cellStyle name="Normal 9 2 4 8" xfId="35839"/>
    <cellStyle name="Normal 9 2 4 8 2" xfId="35840"/>
    <cellStyle name="Normal 9 2 4 8 2 2" xfId="35841"/>
    <cellStyle name="Normal 9 2 4 8 3" xfId="35842"/>
    <cellStyle name="Normal 9 2 4 9" xfId="35843"/>
    <cellStyle name="Normal 9 2 4 9 2" xfId="35844"/>
    <cellStyle name="Normal 9 2 5" xfId="35845"/>
    <cellStyle name="Normal 9 2 5 2" xfId="35846"/>
    <cellStyle name="Normal 9 2 5 2 2" xfId="35847"/>
    <cellStyle name="Normal 9 2 5 2 2 2" xfId="35848"/>
    <cellStyle name="Normal 9 2 5 2 2 2 2" xfId="35849"/>
    <cellStyle name="Normal 9 2 5 2 2 2 2 2" xfId="35850"/>
    <cellStyle name="Normal 9 2 5 2 2 2 2 2 2" xfId="35851"/>
    <cellStyle name="Normal 9 2 5 2 2 2 2 3" xfId="35852"/>
    <cellStyle name="Normal 9 2 5 2 2 2 3" xfId="35853"/>
    <cellStyle name="Normal 9 2 5 2 2 2 3 2" xfId="35854"/>
    <cellStyle name="Normal 9 2 5 2 2 2 4" xfId="35855"/>
    <cellStyle name="Normal 9 2 5 2 2 3" xfId="35856"/>
    <cellStyle name="Normal 9 2 5 2 2 3 2" xfId="35857"/>
    <cellStyle name="Normal 9 2 5 2 2 3 2 2" xfId="35858"/>
    <cellStyle name="Normal 9 2 5 2 2 3 2 2 2" xfId="35859"/>
    <cellStyle name="Normal 9 2 5 2 2 3 2 3" xfId="35860"/>
    <cellStyle name="Normal 9 2 5 2 2 3 3" xfId="35861"/>
    <cellStyle name="Normal 9 2 5 2 2 3 3 2" xfId="35862"/>
    <cellStyle name="Normal 9 2 5 2 2 3 4" xfId="35863"/>
    <cellStyle name="Normal 9 2 5 2 2 4" xfId="35864"/>
    <cellStyle name="Normal 9 2 5 2 2 4 2" xfId="35865"/>
    <cellStyle name="Normal 9 2 5 2 2 4 2 2" xfId="35866"/>
    <cellStyle name="Normal 9 2 5 2 2 4 3" xfId="35867"/>
    <cellStyle name="Normal 9 2 5 2 2 5" xfId="35868"/>
    <cellStyle name="Normal 9 2 5 2 2 5 2" xfId="35869"/>
    <cellStyle name="Normal 9 2 5 2 2 6" xfId="35870"/>
    <cellStyle name="Normal 9 2 5 2 3" xfId="35871"/>
    <cellStyle name="Normal 9 2 5 2 3 2" xfId="35872"/>
    <cellStyle name="Normal 9 2 5 2 3 2 2" xfId="35873"/>
    <cellStyle name="Normal 9 2 5 2 3 2 2 2" xfId="35874"/>
    <cellStyle name="Normal 9 2 5 2 3 2 3" xfId="35875"/>
    <cellStyle name="Normal 9 2 5 2 3 3" xfId="35876"/>
    <cellStyle name="Normal 9 2 5 2 3 3 2" xfId="35877"/>
    <cellStyle name="Normal 9 2 5 2 3 4" xfId="35878"/>
    <cellStyle name="Normal 9 2 5 2 4" xfId="35879"/>
    <cellStyle name="Normal 9 2 5 2 4 2" xfId="35880"/>
    <cellStyle name="Normal 9 2 5 2 4 2 2" xfId="35881"/>
    <cellStyle name="Normal 9 2 5 2 4 2 2 2" xfId="35882"/>
    <cellStyle name="Normal 9 2 5 2 4 2 3" xfId="35883"/>
    <cellStyle name="Normal 9 2 5 2 4 3" xfId="35884"/>
    <cellStyle name="Normal 9 2 5 2 4 3 2" xfId="35885"/>
    <cellStyle name="Normal 9 2 5 2 4 4" xfId="35886"/>
    <cellStyle name="Normal 9 2 5 2 5" xfId="35887"/>
    <cellStyle name="Normal 9 2 5 2 5 2" xfId="35888"/>
    <cellStyle name="Normal 9 2 5 2 5 2 2" xfId="35889"/>
    <cellStyle name="Normal 9 2 5 2 5 3" xfId="35890"/>
    <cellStyle name="Normal 9 2 5 2 6" xfId="35891"/>
    <cellStyle name="Normal 9 2 5 2 6 2" xfId="35892"/>
    <cellStyle name="Normal 9 2 5 2 7" xfId="35893"/>
    <cellStyle name="Normal 9 2 5 3" xfId="35894"/>
    <cellStyle name="Normal 9 2 5 3 2" xfId="35895"/>
    <cellStyle name="Normal 9 2 5 3 2 2" xfId="35896"/>
    <cellStyle name="Normal 9 2 5 3 2 2 2" xfId="35897"/>
    <cellStyle name="Normal 9 2 5 3 2 2 2 2" xfId="35898"/>
    <cellStyle name="Normal 9 2 5 3 2 2 3" xfId="35899"/>
    <cellStyle name="Normal 9 2 5 3 2 3" xfId="35900"/>
    <cellStyle name="Normal 9 2 5 3 2 3 2" xfId="35901"/>
    <cellStyle name="Normal 9 2 5 3 2 4" xfId="35902"/>
    <cellStyle name="Normal 9 2 5 3 3" xfId="35903"/>
    <cellStyle name="Normal 9 2 5 3 3 2" xfId="35904"/>
    <cellStyle name="Normal 9 2 5 3 3 2 2" xfId="35905"/>
    <cellStyle name="Normal 9 2 5 3 3 2 2 2" xfId="35906"/>
    <cellStyle name="Normal 9 2 5 3 3 2 3" xfId="35907"/>
    <cellStyle name="Normal 9 2 5 3 3 3" xfId="35908"/>
    <cellStyle name="Normal 9 2 5 3 3 3 2" xfId="35909"/>
    <cellStyle name="Normal 9 2 5 3 3 4" xfId="35910"/>
    <cellStyle name="Normal 9 2 5 3 4" xfId="35911"/>
    <cellStyle name="Normal 9 2 5 3 4 2" xfId="35912"/>
    <cellStyle name="Normal 9 2 5 3 4 2 2" xfId="35913"/>
    <cellStyle name="Normal 9 2 5 3 4 3" xfId="35914"/>
    <cellStyle name="Normal 9 2 5 3 5" xfId="35915"/>
    <cellStyle name="Normal 9 2 5 3 5 2" xfId="35916"/>
    <cellStyle name="Normal 9 2 5 3 6" xfId="35917"/>
    <cellStyle name="Normal 9 2 5 4" xfId="35918"/>
    <cellStyle name="Normal 9 2 5 4 2" xfId="35919"/>
    <cellStyle name="Normal 9 2 5 4 2 2" xfId="35920"/>
    <cellStyle name="Normal 9 2 5 4 2 2 2" xfId="35921"/>
    <cellStyle name="Normal 9 2 5 4 2 3" xfId="35922"/>
    <cellStyle name="Normal 9 2 5 4 3" xfId="35923"/>
    <cellStyle name="Normal 9 2 5 4 3 2" xfId="35924"/>
    <cellStyle name="Normal 9 2 5 4 4" xfId="35925"/>
    <cellStyle name="Normal 9 2 5 5" xfId="35926"/>
    <cellStyle name="Normal 9 2 5 5 2" xfId="35927"/>
    <cellStyle name="Normal 9 2 5 5 2 2" xfId="35928"/>
    <cellStyle name="Normal 9 2 5 5 2 2 2" xfId="35929"/>
    <cellStyle name="Normal 9 2 5 5 2 3" xfId="35930"/>
    <cellStyle name="Normal 9 2 5 5 3" xfId="35931"/>
    <cellStyle name="Normal 9 2 5 5 3 2" xfId="35932"/>
    <cellStyle name="Normal 9 2 5 5 4" xfId="35933"/>
    <cellStyle name="Normal 9 2 5 6" xfId="35934"/>
    <cellStyle name="Normal 9 2 5 6 2" xfId="35935"/>
    <cellStyle name="Normal 9 2 5 6 2 2" xfId="35936"/>
    <cellStyle name="Normal 9 2 5 6 2 2 2" xfId="35937"/>
    <cellStyle name="Normal 9 2 5 6 2 3" xfId="35938"/>
    <cellStyle name="Normal 9 2 5 6 3" xfId="35939"/>
    <cellStyle name="Normal 9 2 5 6 3 2" xfId="35940"/>
    <cellStyle name="Normal 9 2 5 6 4" xfId="35941"/>
    <cellStyle name="Normal 9 2 5 7" xfId="35942"/>
    <cellStyle name="Normal 9 2 5 7 2" xfId="35943"/>
    <cellStyle name="Normal 9 2 5 7 2 2" xfId="35944"/>
    <cellStyle name="Normal 9 2 5 7 3" xfId="35945"/>
    <cellStyle name="Normal 9 2 5 8" xfId="35946"/>
    <cellStyle name="Normal 9 2 5 8 2" xfId="35947"/>
    <cellStyle name="Normal 9 2 5 9" xfId="35948"/>
    <cellStyle name="Normal 9 2 6" xfId="35949"/>
    <cellStyle name="Normal 9 2 6 2" xfId="35950"/>
    <cellStyle name="Normal 9 2 6 2 2" xfId="35951"/>
    <cellStyle name="Normal 9 2 6 2 2 2" xfId="35952"/>
    <cellStyle name="Normal 9 2 6 2 2 2 2" xfId="35953"/>
    <cellStyle name="Normal 9 2 6 2 2 2 2 2" xfId="35954"/>
    <cellStyle name="Normal 9 2 6 2 2 2 3" xfId="35955"/>
    <cellStyle name="Normal 9 2 6 2 2 3" xfId="35956"/>
    <cellStyle name="Normal 9 2 6 2 2 3 2" xfId="35957"/>
    <cellStyle name="Normal 9 2 6 2 2 4" xfId="35958"/>
    <cellStyle name="Normal 9 2 6 2 3" xfId="35959"/>
    <cellStyle name="Normal 9 2 6 2 3 2" xfId="35960"/>
    <cellStyle name="Normal 9 2 6 2 3 2 2" xfId="35961"/>
    <cellStyle name="Normal 9 2 6 2 3 2 2 2" xfId="35962"/>
    <cellStyle name="Normal 9 2 6 2 3 2 3" xfId="35963"/>
    <cellStyle name="Normal 9 2 6 2 3 3" xfId="35964"/>
    <cellStyle name="Normal 9 2 6 2 3 3 2" xfId="35965"/>
    <cellStyle name="Normal 9 2 6 2 3 4" xfId="35966"/>
    <cellStyle name="Normal 9 2 6 2 4" xfId="35967"/>
    <cellStyle name="Normal 9 2 6 2 4 2" xfId="35968"/>
    <cellStyle name="Normal 9 2 6 2 4 2 2" xfId="35969"/>
    <cellStyle name="Normal 9 2 6 2 4 3" xfId="35970"/>
    <cellStyle name="Normal 9 2 6 2 5" xfId="35971"/>
    <cellStyle name="Normal 9 2 6 2 5 2" xfId="35972"/>
    <cellStyle name="Normal 9 2 6 2 6" xfId="35973"/>
    <cellStyle name="Normal 9 2 6 3" xfId="35974"/>
    <cellStyle name="Normal 9 2 6 3 2" xfId="35975"/>
    <cellStyle name="Normal 9 2 6 3 2 2" xfId="35976"/>
    <cellStyle name="Normal 9 2 6 3 2 2 2" xfId="35977"/>
    <cellStyle name="Normal 9 2 6 3 2 3" xfId="35978"/>
    <cellStyle name="Normal 9 2 6 3 3" xfId="35979"/>
    <cellStyle name="Normal 9 2 6 3 3 2" xfId="35980"/>
    <cellStyle name="Normal 9 2 6 3 4" xfId="35981"/>
    <cellStyle name="Normal 9 2 6 4" xfId="35982"/>
    <cellStyle name="Normal 9 2 6 4 2" xfId="35983"/>
    <cellStyle name="Normal 9 2 6 4 2 2" xfId="35984"/>
    <cellStyle name="Normal 9 2 6 4 2 2 2" xfId="35985"/>
    <cellStyle name="Normal 9 2 6 4 2 3" xfId="35986"/>
    <cellStyle name="Normal 9 2 6 4 3" xfId="35987"/>
    <cellStyle name="Normal 9 2 6 4 3 2" xfId="35988"/>
    <cellStyle name="Normal 9 2 6 4 4" xfId="35989"/>
    <cellStyle name="Normal 9 2 6 5" xfId="35990"/>
    <cellStyle name="Normal 9 2 6 5 2" xfId="35991"/>
    <cellStyle name="Normal 9 2 6 5 2 2" xfId="35992"/>
    <cellStyle name="Normal 9 2 6 5 3" xfId="35993"/>
    <cellStyle name="Normal 9 2 6 6" xfId="35994"/>
    <cellStyle name="Normal 9 2 6 6 2" xfId="35995"/>
    <cellStyle name="Normal 9 2 6 7" xfId="35996"/>
    <cellStyle name="Normal 9 2 7" xfId="35997"/>
    <cellStyle name="Normal 9 2 7 2" xfId="35998"/>
    <cellStyle name="Normal 9 2 7 2 2" xfId="35999"/>
    <cellStyle name="Normal 9 2 7 2 2 2" xfId="36000"/>
    <cellStyle name="Normal 9 2 7 2 2 2 2" xfId="36001"/>
    <cellStyle name="Normal 9 2 7 2 2 3" xfId="36002"/>
    <cellStyle name="Normal 9 2 7 2 3" xfId="36003"/>
    <cellStyle name="Normal 9 2 7 2 3 2" xfId="36004"/>
    <cellStyle name="Normal 9 2 7 2 4" xfId="36005"/>
    <cellStyle name="Normal 9 2 7 3" xfId="36006"/>
    <cellStyle name="Normal 9 2 7 3 2" xfId="36007"/>
    <cellStyle name="Normal 9 2 7 3 2 2" xfId="36008"/>
    <cellStyle name="Normal 9 2 7 3 2 2 2" xfId="36009"/>
    <cellStyle name="Normal 9 2 7 3 2 3" xfId="36010"/>
    <cellStyle name="Normal 9 2 7 3 3" xfId="36011"/>
    <cellStyle name="Normal 9 2 7 3 3 2" xfId="36012"/>
    <cellStyle name="Normal 9 2 7 3 4" xfId="36013"/>
    <cellStyle name="Normal 9 2 7 4" xfId="36014"/>
    <cellStyle name="Normal 9 2 7 4 2" xfId="36015"/>
    <cellStyle name="Normal 9 2 7 4 2 2" xfId="36016"/>
    <cellStyle name="Normal 9 2 7 4 3" xfId="36017"/>
    <cellStyle name="Normal 9 2 7 5" xfId="36018"/>
    <cellStyle name="Normal 9 2 7 5 2" xfId="36019"/>
    <cellStyle name="Normal 9 2 7 6" xfId="36020"/>
    <cellStyle name="Normal 9 2 8" xfId="36021"/>
    <cellStyle name="Normal 9 2 8 2" xfId="36022"/>
    <cellStyle name="Normal 9 2 8 2 2" xfId="36023"/>
    <cellStyle name="Normal 9 2 8 2 2 2" xfId="36024"/>
    <cellStyle name="Normal 9 2 8 2 3" xfId="36025"/>
    <cellStyle name="Normal 9 2 8 3" xfId="36026"/>
    <cellStyle name="Normal 9 2 8 3 2" xfId="36027"/>
    <cellStyle name="Normal 9 2 8 4" xfId="36028"/>
    <cellStyle name="Normal 9 2 9" xfId="36029"/>
    <cellStyle name="Normal 9 2 9 2" xfId="36030"/>
    <cellStyle name="Normal 9 2 9 2 2" xfId="36031"/>
    <cellStyle name="Normal 9 2 9 2 2 2" xfId="36032"/>
    <cellStyle name="Normal 9 2 9 2 3" xfId="36033"/>
    <cellStyle name="Normal 9 2 9 3" xfId="36034"/>
    <cellStyle name="Normal 9 2 9 3 2" xfId="36035"/>
    <cellStyle name="Normal 9 2 9 4" xfId="36036"/>
    <cellStyle name="Normal 9 3" xfId="36037"/>
    <cellStyle name="Normal 9 3 10" xfId="36038"/>
    <cellStyle name="Normal 9 3 10 2" xfId="36039"/>
    <cellStyle name="Normal 9 3 11" xfId="36040"/>
    <cellStyle name="Normal 9 3 2" xfId="36041"/>
    <cellStyle name="Normal 9 3 2 10" xfId="36042"/>
    <cellStyle name="Normal 9 3 2 2" xfId="36043"/>
    <cellStyle name="Normal 9 3 2 2 2" xfId="36044"/>
    <cellStyle name="Normal 9 3 2 2 2 2" xfId="36045"/>
    <cellStyle name="Normal 9 3 2 2 2 2 2" xfId="36046"/>
    <cellStyle name="Normal 9 3 2 2 2 2 2 2" xfId="36047"/>
    <cellStyle name="Normal 9 3 2 2 2 2 2 2 2" xfId="36048"/>
    <cellStyle name="Normal 9 3 2 2 2 2 2 2 2 2" xfId="36049"/>
    <cellStyle name="Normal 9 3 2 2 2 2 2 2 3" xfId="36050"/>
    <cellStyle name="Normal 9 3 2 2 2 2 2 3" xfId="36051"/>
    <cellStyle name="Normal 9 3 2 2 2 2 2 3 2" xfId="36052"/>
    <cellStyle name="Normal 9 3 2 2 2 2 2 4" xfId="36053"/>
    <cellStyle name="Normal 9 3 2 2 2 2 3" xfId="36054"/>
    <cellStyle name="Normal 9 3 2 2 2 2 3 2" xfId="36055"/>
    <cellStyle name="Normal 9 3 2 2 2 2 3 2 2" xfId="36056"/>
    <cellStyle name="Normal 9 3 2 2 2 2 3 2 2 2" xfId="36057"/>
    <cellStyle name="Normal 9 3 2 2 2 2 3 2 3" xfId="36058"/>
    <cellStyle name="Normal 9 3 2 2 2 2 3 3" xfId="36059"/>
    <cellStyle name="Normal 9 3 2 2 2 2 3 3 2" xfId="36060"/>
    <cellStyle name="Normal 9 3 2 2 2 2 3 4" xfId="36061"/>
    <cellStyle name="Normal 9 3 2 2 2 2 4" xfId="36062"/>
    <cellStyle name="Normal 9 3 2 2 2 2 4 2" xfId="36063"/>
    <cellStyle name="Normal 9 3 2 2 2 2 4 2 2" xfId="36064"/>
    <cellStyle name="Normal 9 3 2 2 2 2 4 3" xfId="36065"/>
    <cellStyle name="Normal 9 3 2 2 2 2 5" xfId="36066"/>
    <cellStyle name="Normal 9 3 2 2 2 2 5 2" xfId="36067"/>
    <cellStyle name="Normal 9 3 2 2 2 2 6" xfId="36068"/>
    <cellStyle name="Normal 9 3 2 2 2 3" xfId="36069"/>
    <cellStyle name="Normal 9 3 2 2 2 3 2" xfId="36070"/>
    <cellStyle name="Normal 9 3 2 2 2 3 2 2" xfId="36071"/>
    <cellStyle name="Normal 9 3 2 2 2 3 2 2 2" xfId="36072"/>
    <cellStyle name="Normal 9 3 2 2 2 3 2 3" xfId="36073"/>
    <cellStyle name="Normal 9 3 2 2 2 3 3" xfId="36074"/>
    <cellStyle name="Normal 9 3 2 2 2 3 3 2" xfId="36075"/>
    <cellStyle name="Normal 9 3 2 2 2 3 4" xfId="36076"/>
    <cellStyle name="Normal 9 3 2 2 2 4" xfId="36077"/>
    <cellStyle name="Normal 9 3 2 2 2 4 2" xfId="36078"/>
    <cellStyle name="Normal 9 3 2 2 2 4 2 2" xfId="36079"/>
    <cellStyle name="Normal 9 3 2 2 2 4 2 2 2" xfId="36080"/>
    <cellStyle name="Normal 9 3 2 2 2 4 2 3" xfId="36081"/>
    <cellStyle name="Normal 9 3 2 2 2 4 3" xfId="36082"/>
    <cellStyle name="Normal 9 3 2 2 2 4 3 2" xfId="36083"/>
    <cellStyle name="Normal 9 3 2 2 2 4 4" xfId="36084"/>
    <cellStyle name="Normal 9 3 2 2 2 5" xfId="36085"/>
    <cellStyle name="Normal 9 3 2 2 2 5 2" xfId="36086"/>
    <cellStyle name="Normal 9 3 2 2 2 5 2 2" xfId="36087"/>
    <cellStyle name="Normal 9 3 2 2 2 5 3" xfId="36088"/>
    <cellStyle name="Normal 9 3 2 2 2 6" xfId="36089"/>
    <cellStyle name="Normal 9 3 2 2 2 6 2" xfId="36090"/>
    <cellStyle name="Normal 9 3 2 2 2 7" xfId="36091"/>
    <cellStyle name="Normal 9 3 2 2 3" xfId="36092"/>
    <cellStyle name="Normal 9 3 2 2 3 2" xfId="36093"/>
    <cellStyle name="Normal 9 3 2 2 3 2 2" xfId="36094"/>
    <cellStyle name="Normal 9 3 2 2 3 2 2 2" xfId="36095"/>
    <cellStyle name="Normal 9 3 2 2 3 2 2 2 2" xfId="36096"/>
    <cellStyle name="Normal 9 3 2 2 3 2 2 3" xfId="36097"/>
    <cellStyle name="Normal 9 3 2 2 3 2 3" xfId="36098"/>
    <cellStyle name="Normal 9 3 2 2 3 2 3 2" xfId="36099"/>
    <cellStyle name="Normal 9 3 2 2 3 2 4" xfId="36100"/>
    <cellStyle name="Normal 9 3 2 2 3 3" xfId="36101"/>
    <cellStyle name="Normal 9 3 2 2 3 3 2" xfId="36102"/>
    <cellStyle name="Normal 9 3 2 2 3 3 2 2" xfId="36103"/>
    <cellStyle name="Normal 9 3 2 2 3 3 2 2 2" xfId="36104"/>
    <cellStyle name="Normal 9 3 2 2 3 3 2 3" xfId="36105"/>
    <cellStyle name="Normal 9 3 2 2 3 3 3" xfId="36106"/>
    <cellStyle name="Normal 9 3 2 2 3 3 3 2" xfId="36107"/>
    <cellStyle name="Normal 9 3 2 2 3 3 4" xfId="36108"/>
    <cellStyle name="Normal 9 3 2 2 3 4" xfId="36109"/>
    <cellStyle name="Normal 9 3 2 2 3 4 2" xfId="36110"/>
    <cellStyle name="Normal 9 3 2 2 3 4 2 2" xfId="36111"/>
    <cellStyle name="Normal 9 3 2 2 3 4 3" xfId="36112"/>
    <cellStyle name="Normal 9 3 2 2 3 5" xfId="36113"/>
    <cellStyle name="Normal 9 3 2 2 3 5 2" xfId="36114"/>
    <cellStyle name="Normal 9 3 2 2 3 6" xfId="36115"/>
    <cellStyle name="Normal 9 3 2 2 4" xfId="36116"/>
    <cellStyle name="Normal 9 3 2 2 4 2" xfId="36117"/>
    <cellStyle name="Normal 9 3 2 2 4 2 2" xfId="36118"/>
    <cellStyle name="Normal 9 3 2 2 4 2 2 2" xfId="36119"/>
    <cellStyle name="Normal 9 3 2 2 4 2 3" xfId="36120"/>
    <cellStyle name="Normal 9 3 2 2 4 3" xfId="36121"/>
    <cellStyle name="Normal 9 3 2 2 4 3 2" xfId="36122"/>
    <cellStyle name="Normal 9 3 2 2 4 4" xfId="36123"/>
    <cellStyle name="Normal 9 3 2 2 5" xfId="36124"/>
    <cellStyle name="Normal 9 3 2 2 5 2" xfId="36125"/>
    <cellStyle name="Normal 9 3 2 2 5 2 2" xfId="36126"/>
    <cellStyle name="Normal 9 3 2 2 5 2 2 2" xfId="36127"/>
    <cellStyle name="Normal 9 3 2 2 5 2 3" xfId="36128"/>
    <cellStyle name="Normal 9 3 2 2 5 3" xfId="36129"/>
    <cellStyle name="Normal 9 3 2 2 5 3 2" xfId="36130"/>
    <cellStyle name="Normal 9 3 2 2 5 4" xfId="36131"/>
    <cellStyle name="Normal 9 3 2 2 6" xfId="36132"/>
    <cellStyle name="Normal 9 3 2 2 6 2" xfId="36133"/>
    <cellStyle name="Normal 9 3 2 2 6 2 2" xfId="36134"/>
    <cellStyle name="Normal 9 3 2 2 6 2 2 2" xfId="36135"/>
    <cellStyle name="Normal 9 3 2 2 6 2 3" xfId="36136"/>
    <cellStyle name="Normal 9 3 2 2 6 3" xfId="36137"/>
    <cellStyle name="Normal 9 3 2 2 6 3 2" xfId="36138"/>
    <cellStyle name="Normal 9 3 2 2 6 4" xfId="36139"/>
    <cellStyle name="Normal 9 3 2 2 7" xfId="36140"/>
    <cellStyle name="Normal 9 3 2 2 7 2" xfId="36141"/>
    <cellStyle name="Normal 9 3 2 2 7 2 2" xfId="36142"/>
    <cellStyle name="Normal 9 3 2 2 7 3" xfId="36143"/>
    <cellStyle name="Normal 9 3 2 2 8" xfId="36144"/>
    <cellStyle name="Normal 9 3 2 2 8 2" xfId="36145"/>
    <cellStyle name="Normal 9 3 2 2 9" xfId="36146"/>
    <cellStyle name="Normal 9 3 2 3" xfId="36147"/>
    <cellStyle name="Normal 9 3 2 3 2" xfId="36148"/>
    <cellStyle name="Normal 9 3 2 3 2 2" xfId="36149"/>
    <cellStyle name="Normal 9 3 2 3 2 2 2" xfId="36150"/>
    <cellStyle name="Normal 9 3 2 3 2 2 2 2" xfId="36151"/>
    <cellStyle name="Normal 9 3 2 3 2 2 2 2 2" xfId="36152"/>
    <cellStyle name="Normal 9 3 2 3 2 2 2 3" xfId="36153"/>
    <cellStyle name="Normal 9 3 2 3 2 2 3" xfId="36154"/>
    <cellStyle name="Normal 9 3 2 3 2 2 3 2" xfId="36155"/>
    <cellStyle name="Normal 9 3 2 3 2 2 4" xfId="36156"/>
    <cellStyle name="Normal 9 3 2 3 2 3" xfId="36157"/>
    <cellStyle name="Normal 9 3 2 3 2 3 2" xfId="36158"/>
    <cellStyle name="Normal 9 3 2 3 2 3 2 2" xfId="36159"/>
    <cellStyle name="Normal 9 3 2 3 2 3 2 2 2" xfId="36160"/>
    <cellStyle name="Normal 9 3 2 3 2 3 2 3" xfId="36161"/>
    <cellStyle name="Normal 9 3 2 3 2 3 3" xfId="36162"/>
    <cellStyle name="Normal 9 3 2 3 2 3 3 2" xfId="36163"/>
    <cellStyle name="Normal 9 3 2 3 2 3 4" xfId="36164"/>
    <cellStyle name="Normal 9 3 2 3 2 4" xfId="36165"/>
    <cellStyle name="Normal 9 3 2 3 2 4 2" xfId="36166"/>
    <cellStyle name="Normal 9 3 2 3 2 4 2 2" xfId="36167"/>
    <cellStyle name="Normal 9 3 2 3 2 4 3" xfId="36168"/>
    <cellStyle name="Normal 9 3 2 3 2 5" xfId="36169"/>
    <cellStyle name="Normal 9 3 2 3 2 5 2" xfId="36170"/>
    <cellStyle name="Normal 9 3 2 3 2 6" xfId="36171"/>
    <cellStyle name="Normal 9 3 2 3 3" xfId="36172"/>
    <cellStyle name="Normal 9 3 2 3 3 2" xfId="36173"/>
    <cellStyle name="Normal 9 3 2 3 3 2 2" xfId="36174"/>
    <cellStyle name="Normal 9 3 2 3 3 2 2 2" xfId="36175"/>
    <cellStyle name="Normal 9 3 2 3 3 2 3" xfId="36176"/>
    <cellStyle name="Normal 9 3 2 3 3 3" xfId="36177"/>
    <cellStyle name="Normal 9 3 2 3 3 3 2" xfId="36178"/>
    <cellStyle name="Normal 9 3 2 3 3 4" xfId="36179"/>
    <cellStyle name="Normal 9 3 2 3 4" xfId="36180"/>
    <cellStyle name="Normal 9 3 2 3 4 2" xfId="36181"/>
    <cellStyle name="Normal 9 3 2 3 4 2 2" xfId="36182"/>
    <cellStyle name="Normal 9 3 2 3 4 2 2 2" xfId="36183"/>
    <cellStyle name="Normal 9 3 2 3 4 2 3" xfId="36184"/>
    <cellStyle name="Normal 9 3 2 3 4 3" xfId="36185"/>
    <cellStyle name="Normal 9 3 2 3 4 3 2" xfId="36186"/>
    <cellStyle name="Normal 9 3 2 3 4 4" xfId="36187"/>
    <cellStyle name="Normal 9 3 2 3 5" xfId="36188"/>
    <cellStyle name="Normal 9 3 2 3 5 2" xfId="36189"/>
    <cellStyle name="Normal 9 3 2 3 5 2 2" xfId="36190"/>
    <cellStyle name="Normal 9 3 2 3 5 3" xfId="36191"/>
    <cellStyle name="Normal 9 3 2 3 6" xfId="36192"/>
    <cellStyle name="Normal 9 3 2 3 6 2" xfId="36193"/>
    <cellStyle name="Normal 9 3 2 3 7" xfId="36194"/>
    <cellStyle name="Normal 9 3 2 4" xfId="36195"/>
    <cellStyle name="Normal 9 3 2 4 2" xfId="36196"/>
    <cellStyle name="Normal 9 3 2 4 2 2" xfId="36197"/>
    <cellStyle name="Normal 9 3 2 4 2 2 2" xfId="36198"/>
    <cellStyle name="Normal 9 3 2 4 2 2 2 2" xfId="36199"/>
    <cellStyle name="Normal 9 3 2 4 2 2 3" xfId="36200"/>
    <cellStyle name="Normal 9 3 2 4 2 3" xfId="36201"/>
    <cellStyle name="Normal 9 3 2 4 2 3 2" xfId="36202"/>
    <cellStyle name="Normal 9 3 2 4 2 4" xfId="36203"/>
    <cellStyle name="Normal 9 3 2 4 3" xfId="36204"/>
    <cellStyle name="Normal 9 3 2 4 3 2" xfId="36205"/>
    <cellStyle name="Normal 9 3 2 4 3 2 2" xfId="36206"/>
    <cellStyle name="Normal 9 3 2 4 3 2 2 2" xfId="36207"/>
    <cellStyle name="Normal 9 3 2 4 3 2 3" xfId="36208"/>
    <cellStyle name="Normal 9 3 2 4 3 3" xfId="36209"/>
    <cellStyle name="Normal 9 3 2 4 3 3 2" xfId="36210"/>
    <cellStyle name="Normal 9 3 2 4 3 4" xfId="36211"/>
    <cellStyle name="Normal 9 3 2 4 4" xfId="36212"/>
    <cellStyle name="Normal 9 3 2 4 4 2" xfId="36213"/>
    <cellStyle name="Normal 9 3 2 4 4 2 2" xfId="36214"/>
    <cellStyle name="Normal 9 3 2 4 4 3" xfId="36215"/>
    <cellStyle name="Normal 9 3 2 4 5" xfId="36216"/>
    <cellStyle name="Normal 9 3 2 4 5 2" xfId="36217"/>
    <cellStyle name="Normal 9 3 2 4 6" xfId="36218"/>
    <cellStyle name="Normal 9 3 2 5" xfId="36219"/>
    <cellStyle name="Normal 9 3 2 5 2" xfId="36220"/>
    <cellStyle name="Normal 9 3 2 5 2 2" xfId="36221"/>
    <cellStyle name="Normal 9 3 2 5 2 2 2" xfId="36222"/>
    <cellStyle name="Normal 9 3 2 5 2 3" xfId="36223"/>
    <cellStyle name="Normal 9 3 2 5 3" xfId="36224"/>
    <cellStyle name="Normal 9 3 2 5 3 2" xfId="36225"/>
    <cellStyle name="Normal 9 3 2 5 4" xfId="36226"/>
    <cellStyle name="Normal 9 3 2 6" xfId="36227"/>
    <cellStyle name="Normal 9 3 2 6 2" xfId="36228"/>
    <cellStyle name="Normal 9 3 2 6 2 2" xfId="36229"/>
    <cellStyle name="Normal 9 3 2 6 2 2 2" xfId="36230"/>
    <cellStyle name="Normal 9 3 2 6 2 3" xfId="36231"/>
    <cellStyle name="Normal 9 3 2 6 3" xfId="36232"/>
    <cellStyle name="Normal 9 3 2 6 3 2" xfId="36233"/>
    <cellStyle name="Normal 9 3 2 6 4" xfId="36234"/>
    <cellStyle name="Normal 9 3 2 7" xfId="36235"/>
    <cellStyle name="Normal 9 3 2 7 2" xfId="36236"/>
    <cellStyle name="Normal 9 3 2 7 2 2" xfId="36237"/>
    <cellStyle name="Normal 9 3 2 7 2 2 2" xfId="36238"/>
    <cellStyle name="Normal 9 3 2 7 2 3" xfId="36239"/>
    <cellStyle name="Normal 9 3 2 7 3" xfId="36240"/>
    <cellStyle name="Normal 9 3 2 7 3 2" xfId="36241"/>
    <cellStyle name="Normal 9 3 2 7 4" xfId="36242"/>
    <cellStyle name="Normal 9 3 2 8" xfId="36243"/>
    <cellStyle name="Normal 9 3 2 8 2" xfId="36244"/>
    <cellStyle name="Normal 9 3 2 8 2 2" xfId="36245"/>
    <cellStyle name="Normal 9 3 2 8 3" xfId="36246"/>
    <cellStyle name="Normal 9 3 2 9" xfId="36247"/>
    <cellStyle name="Normal 9 3 2 9 2" xfId="36248"/>
    <cellStyle name="Normal 9 3 3" xfId="36249"/>
    <cellStyle name="Normal 9 3 3 2" xfId="36250"/>
    <cellStyle name="Normal 9 3 3 2 2" xfId="36251"/>
    <cellStyle name="Normal 9 3 3 2 2 2" xfId="36252"/>
    <cellStyle name="Normal 9 3 3 2 2 2 2" xfId="36253"/>
    <cellStyle name="Normal 9 3 3 2 2 2 2 2" xfId="36254"/>
    <cellStyle name="Normal 9 3 3 2 2 2 2 2 2" xfId="36255"/>
    <cellStyle name="Normal 9 3 3 2 2 2 2 3" xfId="36256"/>
    <cellStyle name="Normal 9 3 3 2 2 2 3" xfId="36257"/>
    <cellStyle name="Normal 9 3 3 2 2 2 3 2" xfId="36258"/>
    <cellStyle name="Normal 9 3 3 2 2 2 4" xfId="36259"/>
    <cellStyle name="Normal 9 3 3 2 2 3" xfId="36260"/>
    <cellStyle name="Normal 9 3 3 2 2 3 2" xfId="36261"/>
    <cellStyle name="Normal 9 3 3 2 2 3 2 2" xfId="36262"/>
    <cellStyle name="Normal 9 3 3 2 2 3 2 2 2" xfId="36263"/>
    <cellStyle name="Normal 9 3 3 2 2 3 2 3" xfId="36264"/>
    <cellStyle name="Normal 9 3 3 2 2 3 3" xfId="36265"/>
    <cellStyle name="Normal 9 3 3 2 2 3 3 2" xfId="36266"/>
    <cellStyle name="Normal 9 3 3 2 2 3 4" xfId="36267"/>
    <cellStyle name="Normal 9 3 3 2 2 4" xfId="36268"/>
    <cellStyle name="Normal 9 3 3 2 2 4 2" xfId="36269"/>
    <cellStyle name="Normal 9 3 3 2 2 4 2 2" xfId="36270"/>
    <cellStyle name="Normal 9 3 3 2 2 4 3" xfId="36271"/>
    <cellStyle name="Normal 9 3 3 2 2 5" xfId="36272"/>
    <cellStyle name="Normal 9 3 3 2 2 5 2" xfId="36273"/>
    <cellStyle name="Normal 9 3 3 2 2 6" xfId="36274"/>
    <cellStyle name="Normal 9 3 3 2 3" xfId="36275"/>
    <cellStyle name="Normal 9 3 3 2 3 2" xfId="36276"/>
    <cellStyle name="Normal 9 3 3 2 3 2 2" xfId="36277"/>
    <cellStyle name="Normal 9 3 3 2 3 2 2 2" xfId="36278"/>
    <cellStyle name="Normal 9 3 3 2 3 2 3" xfId="36279"/>
    <cellStyle name="Normal 9 3 3 2 3 3" xfId="36280"/>
    <cellStyle name="Normal 9 3 3 2 3 3 2" xfId="36281"/>
    <cellStyle name="Normal 9 3 3 2 3 4" xfId="36282"/>
    <cellStyle name="Normal 9 3 3 2 4" xfId="36283"/>
    <cellStyle name="Normal 9 3 3 2 4 2" xfId="36284"/>
    <cellStyle name="Normal 9 3 3 2 4 2 2" xfId="36285"/>
    <cellStyle name="Normal 9 3 3 2 4 2 2 2" xfId="36286"/>
    <cellStyle name="Normal 9 3 3 2 4 2 3" xfId="36287"/>
    <cellStyle name="Normal 9 3 3 2 4 3" xfId="36288"/>
    <cellStyle name="Normal 9 3 3 2 4 3 2" xfId="36289"/>
    <cellStyle name="Normal 9 3 3 2 4 4" xfId="36290"/>
    <cellStyle name="Normal 9 3 3 2 5" xfId="36291"/>
    <cellStyle name="Normal 9 3 3 2 5 2" xfId="36292"/>
    <cellStyle name="Normal 9 3 3 2 5 2 2" xfId="36293"/>
    <cellStyle name="Normal 9 3 3 2 5 3" xfId="36294"/>
    <cellStyle name="Normal 9 3 3 2 6" xfId="36295"/>
    <cellStyle name="Normal 9 3 3 2 6 2" xfId="36296"/>
    <cellStyle name="Normal 9 3 3 2 7" xfId="36297"/>
    <cellStyle name="Normal 9 3 3 3" xfId="36298"/>
    <cellStyle name="Normal 9 3 3 3 2" xfId="36299"/>
    <cellStyle name="Normal 9 3 3 3 2 2" xfId="36300"/>
    <cellStyle name="Normal 9 3 3 3 2 2 2" xfId="36301"/>
    <cellStyle name="Normal 9 3 3 3 2 2 2 2" xfId="36302"/>
    <cellStyle name="Normal 9 3 3 3 2 2 3" xfId="36303"/>
    <cellStyle name="Normal 9 3 3 3 2 3" xfId="36304"/>
    <cellStyle name="Normal 9 3 3 3 2 3 2" xfId="36305"/>
    <cellStyle name="Normal 9 3 3 3 2 4" xfId="36306"/>
    <cellStyle name="Normal 9 3 3 3 3" xfId="36307"/>
    <cellStyle name="Normal 9 3 3 3 3 2" xfId="36308"/>
    <cellStyle name="Normal 9 3 3 3 3 2 2" xfId="36309"/>
    <cellStyle name="Normal 9 3 3 3 3 2 2 2" xfId="36310"/>
    <cellStyle name="Normal 9 3 3 3 3 2 3" xfId="36311"/>
    <cellStyle name="Normal 9 3 3 3 3 3" xfId="36312"/>
    <cellStyle name="Normal 9 3 3 3 3 3 2" xfId="36313"/>
    <cellStyle name="Normal 9 3 3 3 3 4" xfId="36314"/>
    <cellStyle name="Normal 9 3 3 3 4" xfId="36315"/>
    <cellStyle name="Normal 9 3 3 3 4 2" xfId="36316"/>
    <cellStyle name="Normal 9 3 3 3 4 2 2" xfId="36317"/>
    <cellStyle name="Normal 9 3 3 3 4 3" xfId="36318"/>
    <cellStyle name="Normal 9 3 3 3 5" xfId="36319"/>
    <cellStyle name="Normal 9 3 3 3 5 2" xfId="36320"/>
    <cellStyle name="Normal 9 3 3 3 6" xfId="36321"/>
    <cellStyle name="Normal 9 3 3 4" xfId="36322"/>
    <cellStyle name="Normal 9 3 3 4 2" xfId="36323"/>
    <cellStyle name="Normal 9 3 3 4 2 2" xfId="36324"/>
    <cellStyle name="Normal 9 3 3 4 2 2 2" xfId="36325"/>
    <cellStyle name="Normal 9 3 3 4 2 3" xfId="36326"/>
    <cellStyle name="Normal 9 3 3 4 3" xfId="36327"/>
    <cellStyle name="Normal 9 3 3 4 3 2" xfId="36328"/>
    <cellStyle name="Normal 9 3 3 4 4" xfId="36329"/>
    <cellStyle name="Normal 9 3 3 5" xfId="36330"/>
    <cellStyle name="Normal 9 3 3 5 2" xfId="36331"/>
    <cellStyle name="Normal 9 3 3 5 2 2" xfId="36332"/>
    <cellStyle name="Normal 9 3 3 5 2 2 2" xfId="36333"/>
    <cellStyle name="Normal 9 3 3 5 2 3" xfId="36334"/>
    <cellStyle name="Normal 9 3 3 5 3" xfId="36335"/>
    <cellStyle name="Normal 9 3 3 5 3 2" xfId="36336"/>
    <cellStyle name="Normal 9 3 3 5 4" xfId="36337"/>
    <cellStyle name="Normal 9 3 3 6" xfId="36338"/>
    <cellStyle name="Normal 9 3 3 6 2" xfId="36339"/>
    <cellStyle name="Normal 9 3 3 6 2 2" xfId="36340"/>
    <cellStyle name="Normal 9 3 3 6 2 2 2" xfId="36341"/>
    <cellStyle name="Normal 9 3 3 6 2 3" xfId="36342"/>
    <cellStyle name="Normal 9 3 3 6 3" xfId="36343"/>
    <cellStyle name="Normal 9 3 3 6 3 2" xfId="36344"/>
    <cellStyle name="Normal 9 3 3 6 4" xfId="36345"/>
    <cellStyle name="Normal 9 3 3 7" xfId="36346"/>
    <cellStyle name="Normal 9 3 3 7 2" xfId="36347"/>
    <cellStyle name="Normal 9 3 3 7 2 2" xfId="36348"/>
    <cellStyle name="Normal 9 3 3 7 3" xfId="36349"/>
    <cellStyle name="Normal 9 3 3 8" xfId="36350"/>
    <cellStyle name="Normal 9 3 3 8 2" xfId="36351"/>
    <cellStyle name="Normal 9 3 3 9" xfId="36352"/>
    <cellStyle name="Normal 9 3 4" xfId="36353"/>
    <cellStyle name="Normal 9 3 4 2" xfId="36354"/>
    <cellStyle name="Normal 9 3 4 2 2" xfId="36355"/>
    <cellStyle name="Normal 9 3 4 2 2 2" xfId="36356"/>
    <cellStyle name="Normal 9 3 4 2 2 2 2" xfId="36357"/>
    <cellStyle name="Normal 9 3 4 2 2 2 2 2" xfId="36358"/>
    <cellStyle name="Normal 9 3 4 2 2 2 3" xfId="36359"/>
    <cellStyle name="Normal 9 3 4 2 2 3" xfId="36360"/>
    <cellStyle name="Normal 9 3 4 2 2 3 2" xfId="36361"/>
    <cellStyle name="Normal 9 3 4 2 2 4" xfId="36362"/>
    <cellStyle name="Normal 9 3 4 2 3" xfId="36363"/>
    <cellStyle name="Normal 9 3 4 2 3 2" xfId="36364"/>
    <cellStyle name="Normal 9 3 4 2 3 2 2" xfId="36365"/>
    <cellStyle name="Normal 9 3 4 2 3 2 2 2" xfId="36366"/>
    <cellStyle name="Normal 9 3 4 2 3 2 3" xfId="36367"/>
    <cellStyle name="Normal 9 3 4 2 3 3" xfId="36368"/>
    <cellStyle name="Normal 9 3 4 2 3 3 2" xfId="36369"/>
    <cellStyle name="Normal 9 3 4 2 3 4" xfId="36370"/>
    <cellStyle name="Normal 9 3 4 2 4" xfId="36371"/>
    <cellStyle name="Normal 9 3 4 2 4 2" xfId="36372"/>
    <cellStyle name="Normal 9 3 4 2 4 2 2" xfId="36373"/>
    <cellStyle name="Normal 9 3 4 2 4 3" xfId="36374"/>
    <cellStyle name="Normal 9 3 4 2 5" xfId="36375"/>
    <cellStyle name="Normal 9 3 4 2 5 2" xfId="36376"/>
    <cellStyle name="Normal 9 3 4 2 6" xfId="36377"/>
    <cellStyle name="Normal 9 3 4 3" xfId="36378"/>
    <cellStyle name="Normal 9 3 4 3 2" xfId="36379"/>
    <cellStyle name="Normal 9 3 4 3 2 2" xfId="36380"/>
    <cellStyle name="Normal 9 3 4 3 2 2 2" xfId="36381"/>
    <cellStyle name="Normal 9 3 4 3 2 3" xfId="36382"/>
    <cellStyle name="Normal 9 3 4 3 3" xfId="36383"/>
    <cellStyle name="Normal 9 3 4 3 3 2" xfId="36384"/>
    <cellStyle name="Normal 9 3 4 3 4" xfId="36385"/>
    <cellStyle name="Normal 9 3 4 4" xfId="36386"/>
    <cellStyle name="Normal 9 3 4 4 2" xfId="36387"/>
    <cellStyle name="Normal 9 3 4 4 2 2" xfId="36388"/>
    <cellStyle name="Normal 9 3 4 4 2 2 2" xfId="36389"/>
    <cellStyle name="Normal 9 3 4 4 2 3" xfId="36390"/>
    <cellStyle name="Normal 9 3 4 4 3" xfId="36391"/>
    <cellStyle name="Normal 9 3 4 4 3 2" xfId="36392"/>
    <cellStyle name="Normal 9 3 4 4 4" xfId="36393"/>
    <cellStyle name="Normal 9 3 4 5" xfId="36394"/>
    <cellStyle name="Normal 9 3 4 5 2" xfId="36395"/>
    <cellStyle name="Normal 9 3 4 5 2 2" xfId="36396"/>
    <cellStyle name="Normal 9 3 4 5 3" xfId="36397"/>
    <cellStyle name="Normal 9 3 4 6" xfId="36398"/>
    <cellStyle name="Normal 9 3 4 6 2" xfId="36399"/>
    <cellStyle name="Normal 9 3 4 7" xfId="36400"/>
    <cellStyle name="Normal 9 3 5" xfId="36401"/>
    <cellStyle name="Normal 9 3 5 2" xfId="36402"/>
    <cellStyle name="Normal 9 3 5 2 2" xfId="36403"/>
    <cellStyle name="Normal 9 3 5 2 2 2" xfId="36404"/>
    <cellStyle name="Normal 9 3 5 2 2 2 2" xfId="36405"/>
    <cellStyle name="Normal 9 3 5 2 2 3" xfId="36406"/>
    <cellStyle name="Normal 9 3 5 2 3" xfId="36407"/>
    <cellStyle name="Normal 9 3 5 2 3 2" xfId="36408"/>
    <cellStyle name="Normal 9 3 5 2 4" xfId="36409"/>
    <cellStyle name="Normal 9 3 5 3" xfId="36410"/>
    <cellStyle name="Normal 9 3 5 3 2" xfId="36411"/>
    <cellStyle name="Normal 9 3 5 3 2 2" xfId="36412"/>
    <cellStyle name="Normal 9 3 5 3 2 2 2" xfId="36413"/>
    <cellStyle name="Normal 9 3 5 3 2 3" xfId="36414"/>
    <cellStyle name="Normal 9 3 5 3 3" xfId="36415"/>
    <cellStyle name="Normal 9 3 5 3 3 2" xfId="36416"/>
    <cellStyle name="Normal 9 3 5 3 4" xfId="36417"/>
    <cellStyle name="Normal 9 3 5 4" xfId="36418"/>
    <cellStyle name="Normal 9 3 5 4 2" xfId="36419"/>
    <cellStyle name="Normal 9 3 5 4 2 2" xfId="36420"/>
    <cellStyle name="Normal 9 3 5 4 3" xfId="36421"/>
    <cellStyle name="Normal 9 3 5 5" xfId="36422"/>
    <cellStyle name="Normal 9 3 5 5 2" xfId="36423"/>
    <cellStyle name="Normal 9 3 5 6" xfId="36424"/>
    <cellStyle name="Normal 9 3 6" xfId="36425"/>
    <cellStyle name="Normal 9 3 6 2" xfId="36426"/>
    <cellStyle name="Normal 9 3 6 2 2" xfId="36427"/>
    <cellStyle name="Normal 9 3 6 2 2 2" xfId="36428"/>
    <cellStyle name="Normal 9 3 6 2 3" xfId="36429"/>
    <cellStyle name="Normal 9 3 6 3" xfId="36430"/>
    <cellStyle name="Normal 9 3 6 3 2" xfId="36431"/>
    <cellStyle name="Normal 9 3 6 4" xfId="36432"/>
    <cellStyle name="Normal 9 3 7" xfId="36433"/>
    <cellStyle name="Normal 9 3 7 2" xfId="36434"/>
    <cellStyle name="Normal 9 3 7 2 2" xfId="36435"/>
    <cellStyle name="Normal 9 3 7 2 2 2" xfId="36436"/>
    <cellStyle name="Normal 9 3 7 2 3" xfId="36437"/>
    <cellStyle name="Normal 9 3 7 3" xfId="36438"/>
    <cellStyle name="Normal 9 3 7 3 2" xfId="36439"/>
    <cellStyle name="Normal 9 3 7 4" xfId="36440"/>
    <cellStyle name="Normal 9 3 8" xfId="36441"/>
    <cellStyle name="Normal 9 3 8 2" xfId="36442"/>
    <cellStyle name="Normal 9 3 8 2 2" xfId="36443"/>
    <cellStyle name="Normal 9 3 8 2 2 2" xfId="36444"/>
    <cellStyle name="Normal 9 3 8 2 3" xfId="36445"/>
    <cellStyle name="Normal 9 3 8 3" xfId="36446"/>
    <cellStyle name="Normal 9 3 8 3 2" xfId="36447"/>
    <cellStyle name="Normal 9 3 8 4" xfId="36448"/>
    <cellStyle name="Normal 9 3 9" xfId="36449"/>
    <cellStyle name="Normal 9 3 9 2" xfId="36450"/>
    <cellStyle name="Normal 9 3 9 2 2" xfId="36451"/>
    <cellStyle name="Normal 9 3 9 3" xfId="36452"/>
    <cellStyle name="Normal 9 4" xfId="36453"/>
    <cellStyle name="Normal 9 4 10" xfId="36454"/>
    <cellStyle name="Normal 9 4 2" xfId="36455"/>
    <cellStyle name="Normal 9 4 2 2" xfId="36456"/>
    <cellStyle name="Normal 9 4 2 2 2" xfId="36457"/>
    <cellStyle name="Normal 9 4 2 2 2 2" xfId="36458"/>
    <cellStyle name="Normal 9 4 2 2 2 2 2" xfId="36459"/>
    <cellStyle name="Normal 9 4 2 2 2 2 2 2" xfId="36460"/>
    <cellStyle name="Normal 9 4 2 2 2 2 2 2 2" xfId="36461"/>
    <cellStyle name="Normal 9 4 2 2 2 2 2 3" xfId="36462"/>
    <cellStyle name="Normal 9 4 2 2 2 2 3" xfId="36463"/>
    <cellStyle name="Normal 9 4 2 2 2 2 3 2" xfId="36464"/>
    <cellStyle name="Normal 9 4 2 2 2 2 4" xfId="36465"/>
    <cellStyle name="Normal 9 4 2 2 2 3" xfId="36466"/>
    <cellStyle name="Normal 9 4 2 2 2 3 2" xfId="36467"/>
    <cellStyle name="Normal 9 4 2 2 2 3 2 2" xfId="36468"/>
    <cellStyle name="Normal 9 4 2 2 2 3 2 2 2" xfId="36469"/>
    <cellStyle name="Normal 9 4 2 2 2 3 2 3" xfId="36470"/>
    <cellStyle name="Normal 9 4 2 2 2 3 3" xfId="36471"/>
    <cellStyle name="Normal 9 4 2 2 2 3 3 2" xfId="36472"/>
    <cellStyle name="Normal 9 4 2 2 2 3 4" xfId="36473"/>
    <cellStyle name="Normal 9 4 2 2 2 4" xfId="36474"/>
    <cellStyle name="Normal 9 4 2 2 2 4 2" xfId="36475"/>
    <cellStyle name="Normal 9 4 2 2 2 4 2 2" xfId="36476"/>
    <cellStyle name="Normal 9 4 2 2 2 4 3" xfId="36477"/>
    <cellStyle name="Normal 9 4 2 2 2 5" xfId="36478"/>
    <cellStyle name="Normal 9 4 2 2 2 5 2" xfId="36479"/>
    <cellStyle name="Normal 9 4 2 2 2 6" xfId="36480"/>
    <cellStyle name="Normal 9 4 2 2 3" xfId="36481"/>
    <cellStyle name="Normal 9 4 2 2 3 2" xfId="36482"/>
    <cellStyle name="Normal 9 4 2 2 3 2 2" xfId="36483"/>
    <cellStyle name="Normal 9 4 2 2 3 2 2 2" xfId="36484"/>
    <cellStyle name="Normal 9 4 2 2 3 2 3" xfId="36485"/>
    <cellStyle name="Normal 9 4 2 2 3 3" xfId="36486"/>
    <cellStyle name="Normal 9 4 2 2 3 3 2" xfId="36487"/>
    <cellStyle name="Normal 9 4 2 2 3 4" xfId="36488"/>
    <cellStyle name="Normal 9 4 2 2 4" xfId="36489"/>
    <cellStyle name="Normal 9 4 2 2 4 2" xfId="36490"/>
    <cellStyle name="Normal 9 4 2 2 4 2 2" xfId="36491"/>
    <cellStyle name="Normal 9 4 2 2 4 2 2 2" xfId="36492"/>
    <cellStyle name="Normal 9 4 2 2 4 2 3" xfId="36493"/>
    <cellStyle name="Normal 9 4 2 2 4 3" xfId="36494"/>
    <cellStyle name="Normal 9 4 2 2 4 3 2" xfId="36495"/>
    <cellStyle name="Normal 9 4 2 2 4 4" xfId="36496"/>
    <cellStyle name="Normal 9 4 2 2 5" xfId="36497"/>
    <cellStyle name="Normal 9 4 2 2 5 2" xfId="36498"/>
    <cellStyle name="Normal 9 4 2 2 5 2 2" xfId="36499"/>
    <cellStyle name="Normal 9 4 2 2 5 3" xfId="36500"/>
    <cellStyle name="Normal 9 4 2 2 6" xfId="36501"/>
    <cellStyle name="Normal 9 4 2 2 6 2" xfId="36502"/>
    <cellStyle name="Normal 9 4 2 2 7" xfId="36503"/>
    <cellStyle name="Normal 9 4 2 3" xfId="36504"/>
    <cellStyle name="Normal 9 4 2 3 2" xfId="36505"/>
    <cellStyle name="Normal 9 4 2 3 2 2" xfId="36506"/>
    <cellStyle name="Normal 9 4 2 3 2 2 2" xfId="36507"/>
    <cellStyle name="Normal 9 4 2 3 2 2 2 2" xfId="36508"/>
    <cellStyle name="Normal 9 4 2 3 2 2 3" xfId="36509"/>
    <cellStyle name="Normal 9 4 2 3 2 3" xfId="36510"/>
    <cellStyle name="Normal 9 4 2 3 2 3 2" xfId="36511"/>
    <cellStyle name="Normal 9 4 2 3 2 4" xfId="36512"/>
    <cellStyle name="Normal 9 4 2 3 3" xfId="36513"/>
    <cellStyle name="Normal 9 4 2 3 3 2" xfId="36514"/>
    <cellStyle name="Normal 9 4 2 3 3 2 2" xfId="36515"/>
    <cellStyle name="Normal 9 4 2 3 3 2 2 2" xfId="36516"/>
    <cellStyle name="Normal 9 4 2 3 3 2 3" xfId="36517"/>
    <cellStyle name="Normal 9 4 2 3 3 3" xfId="36518"/>
    <cellStyle name="Normal 9 4 2 3 3 3 2" xfId="36519"/>
    <cellStyle name="Normal 9 4 2 3 3 4" xfId="36520"/>
    <cellStyle name="Normal 9 4 2 3 4" xfId="36521"/>
    <cellStyle name="Normal 9 4 2 3 4 2" xfId="36522"/>
    <cellStyle name="Normal 9 4 2 3 4 2 2" xfId="36523"/>
    <cellStyle name="Normal 9 4 2 3 4 3" xfId="36524"/>
    <cellStyle name="Normal 9 4 2 3 5" xfId="36525"/>
    <cellStyle name="Normal 9 4 2 3 5 2" xfId="36526"/>
    <cellStyle name="Normal 9 4 2 3 6" xfId="36527"/>
    <cellStyle name="Normal 9 4 2 4" xfId="36528"/>
    <cellStyle name="Normal 9 4 2 4 2" xfId="36529"/>
    <cellStyle name="Normal 9 4 2 4 2 2" xfId="36530"/>
    <cellStyle name="Normal 9 4 2 4 2 2 2" xfId="36531"/>
    <cellStyle name="Normal 9 4 2 4 2 3" xfId="36532"/>
    <cellStyle name="Normal 9 4 2 4 3" xfId="36533"/>
    <cellStyle name="Normal 9 4 2 4 3 2" xfId="36534"/>
    <cellStyle name="Normal 9 4 2 4 4" xfId="36535"/>
    <cellStyle name="Normal 9 4 2 5" xfId="36536"/>
    <cellStyle name="Normal 9 4 2 5 2" xfId="36537"/>
    <cellStyle name="Normal 9 4 2 5 2 2" xfId="36538"/>
    <cellStyle name="Normal 9 4 2 5 2 2 2" xfId="36539"/>
    <cellStyle name="Normal 9 4 2 5 2 3" xfId="36540"/>
    <cellStyle name="Normal 9 4 2 5 3" xfId="36541"/>
    <cellStyle name="Normal 9 4 2 5 3 2" xfId="36542"/>
    <cellStyle name="Normal 9 4 2 5 4" xfId="36543"/>
    <cellStyle name="Normal 9 4 2 6" xfId="36544"/>
    <cellStyle name="Normal 9 4 2 6 2" xfId="36545"/>
    <cellStyle name="Normal 9 4 2 6 2 2" xfId="36546"/>
    <cellStyle name="Normal 9 4 2 6 2 2 2" xfId="36547"/>
    <cellStyle name="Normal 9 4 2 6 2 3" xfId="36548"/>
    <cellStyle name="Normal 9 4 2 6 3" xfId="36549"/>
    <cellStyle name="Normal 9 4 2 6 3 2" xfId="36550"/>
    <cellStyle name="Normal 9 4 2 6 4" xfId="36551"/>
    <cellStyle name="Normal 9 4 2 7" xfId="36552"/>
    <cellStyle name="Normal 9 4 2 7 2" xfId="36553"/>
    <cellStyle name="Normal 9 4 2 7 2 2" xfId="36554"/>
    <cellStyle name="Normal 9 4 2 7 3" xfId="36555"/>
    <cellStyle name="Normal 9 4 2 8" xfId="36556"/>
    <cellStyle name="Normal 9 4 2 8 2" xfId="36557"/>
    <cellStyle name="Normal 9 4 2 9" xfId="36558"/>
    <cellStyle name="Normal 9 4 3" xfId="36559"/>
    <cellStyle name="Normal 9 4 3 2" xfId="36560"/>
    <cellStyle name="Normal 9 4 3 2 2" xfId="36561"/>
    <cellStyle name="Normal 9 4 3 2 2 2" xfId="36562"/>
    <cellStyle name="Normal 9 4 3 2 2 2 2" xfId="36563"/>
    <cellStyle name="Normal 9 4 3 2 2 2 2 2" xfId="36564"/>
    <cellStyle name="Normal 9 4 3 2 2 2 3" xfId="36565"/>
    <cellStyle name="Normal 9 4 3 2 2 3" xfId="36566"/>
    <cellStyle name="Normal 9 4 3 2 2 3 2" xfId="36567"/>
    <cellStyle name="Normal 9 4 3 2 2 4" xfId="36568"/>
    <cellStyle name="Normal 9 4 3 2 3" xfId="36569"/>
    <cellStyle name="Normal 9 4 3 2 3 2" xfId="36570"/>
    <cellStyle name="Normal 9 4 3 2 3 2 2" xfId="36571"/>
    <cellStyle name="Normal 9 4 3 2 3 2 2 2" xfId="36572"/>
    <cellStyle name="Normal 9 4 3 2 3 2 3" xfId="36573"/>
    <cellStyle name="Normal 9 4 3 2 3 3" xfId="36574"/>
    <cellStyle name="Normal 9 4 3 2 3 3 2" xfId="36575"/>
    <cellStyle name="Normal 9 4 3 2 3 4" xfId="36576"/>
    <cellStyle name="Normal 9 4 3 2 4" xfId="36577"/>
    <cellStyle name="Normal 9 4 3 2 4 2" xfId="36578"/>
    <cellStyle name="Normal 9 4 3 2 4 2 2" xfId="36579"/>
    <cellStyle name="Normal 9 4 3 2 4 3" xfId="36580"/>
    <cellStyle name="Normal 9 4 3 2 5" xfId="36581"/>
    <cellStyle name="Normal 9 4 3 2 5 2" xfId="36582"/>
    <cellStyle name="Normal 9 4 3 2 6" xfId="36583"/>
    <cellStyle name="Normal 9 4 3 3" xfId="36584"/>
    <cellStyle name="Normal 9 4 3 3 2" xfId="36585"/>
    <cellStyle name="Normal 9 4 3 3 2 2" xfId="36586"/>
    <cellStyle name="Normal 9 4 3 3 2 2 2" xfId="36587"/>
    <cellStyle name="Normal 9 4 3 3 2 3" xfId="36588"/>
    <cellStyle name="Normal 9 4 3 3 3" xfId="36589"/>
    <cellStyle name="Normal 9 4 3 3 3 2" xfId="36590"/>
    <cellStyle name="Normal 9 4 3 3 4" xfId="36591"/>
    <cellStyle name="Normal 9 4 3 4" xfId="36592"/>
    <cellStyle name="Normal 9 4 3 4 2" xfId="36593"/>
    <cellStyle name="Normal 9 4 3 4 2 2" xfId="36594"/>
    <cellStyle name="Normal 9 4 3 4 2 2 2" xfId="36595"/>
    <cellStyle name="Normal 9 4 3 4 2 3" xfId="36596"/>
    <cellStyle name="Normal 9 4 3 4 3" xfId="36597"/>
    <cellStyle name="Normal 9 4 3 4 3 2" xfId="36598"/>
    <cellStyle name="Normal 9 4 3 4 4" xfId="36599"/>
    <cellStyle name="Normal 9 4 3 5" xfId="36600"/>
    <cellStyle name="Normal 9 4 3 5 2" xfId="36601"/>
    <cellStyle name="Normal 9 4 3 5 2 2" xfId="36602"/>
    <cellStyle name="Normal 9 4 3 5 3" xfId="36603"/>
    <cellStyle name="Normal 9 4 3 6" xfId="36604"/>
    <cellStyle name="Normal 9 4 3 6 2" xfId="36605"/>
    <cellStyle name="Normal 9 4 3 7" xfId="36606"/>
    <cellStyle name="Normal 9 4 4" xfId="36607"/>
    <cellStyle name="Normal 9 4 4 2" xfId="36608"/>
    <cellStyle name="Normal 9 4 4 2 2" xfId="36609"/>
    <cellStyle name="Normal 9 4 4 2 2 2" xfId="36610"/>
    <cellStyle name="Normal 9 4 4 2 2 2 2" xfId="36611"/>
    <cellStyle name="Normal 9 4 4 2 2 3" xfId="36612"/>
    <cellStyle name="Normal 9 4 4 2 3" xfId="36613"/>
    <cellStyle name="Normal 9 4 4 2 3 2" xfId="36614"/>
    <cellStyle name="Normal 9 4 4 2 4" xfId="36615"/>
    <cellStyle name="Normal 9 4 4 3" xfId="36616"/>
    <cellStyle name="Normal 9 4 4 3 2" xfId="36617"/>
    <cellStyle name="Normal 9 4 4 3 2 2" xfId="36618"/>
    <cellStyle name="Normal 9 4 4 3 2 2 2" xfId="36619"/>
    <cellStyle name="Normal 9 4 4 3 2 3" xfId="36620"/>
    <cellStyle name="Normal 9 4 4 3 3" xfId="36621"/>
    <cellStyle name="Normal 9 4 4 3 3 2" xfId="36622"/>
    <cellStyle name="Normal 9 4 4 3 4" xfId="36623"/>
    <cellStyle name="Normal 9 4 4 4" xfId="36624"/>
    <cellStyle name="Normal 9 4 4 4 2" xfId="36625"/>
    <cellStyle name="Normal 9 4 4 4 2 2" xfId="36626"/>
    <cellStyle name="Normal 9 4 4 4 3" xfId="36627"/>
    <cellStyle name="Normal 9 4 4 5" xfId="36628"/>
    <cellStyle name="Normal 9 4 4 5 2" xfId="36629"/>
    <cellStyle name="Normal 9 4 4 6" xfId="36630"/>
    <cellStyle name="Normal 9 4 5" xfId="36631"/>
    <cellStyle name="Normal 9 4 5 2" xfId="36632"/>
    <cellStyle name="Normal 9 4 5 2 2" xfId="36633"/>
    <cellStyle name="Normal 9 4 5 2 2 2" xfId="36634"/>
    <cellStyle name="Normal 9 4 5 2 3" xfId="36635"/>
    <cellStyle name="Normal 9 4 5 3" xfId="36636"/>
    <cellStyle name="Normal 9 4 5 3 2" xfId="36637"/>
    <cellStyle name="Normal 9 4 5 4" xfId="36638"/>
    <cellStyle name="Normal 9 4 6" xfId="36639"/>
    <cellStyle name="Normal 9 4 6 2" xfId="36640"/>
    <cellStyle name="Normal 9 4 6 2 2" xfId="36641"/>
    <cellStyle name="Normal 9 4 6 2 2 2" xfId="36642"/>
    <cellStyle name="Normal 9 4 6 2 3" xfId="36643"/>
    <cellStyle name="Normal 9 4 6 3" xfId="36644"/>
    <cellStyle name="Normal 9 4 6 3 2" xfId="36645"/>
    <cellStyle name="Normal 9 4 6 4" xfId="36646"/>
    <cellStyle name="Normal 9 4 7" xfId="36647"/>
    <cellStyle name="Normal 9 4 7 2" xfId="36648"/>
    <cellStyle name="Normal 9 4 7 2 2" xfId="36649"/>
    <cellStyle name="Normal 9 4 7 2 2 2" xfId="36650"/>
    <cellStyle name="Normal 9 4 7 2 3" xfId="36651"/>
    <cellStyle name="Normal 9 4 7 3" xfId="36652"/>
    <cellStyle name="Normal 9 4 7 3 2" xfId="36653"/>
    <cellStyle name="Normal 9 4 7 4" xfId="36654"/>
    <cellStyle name="Normal 9 4 8" xfId="36655"/>
    <cellStyle name="Normal 9 4 8 2" xfId="36656"/>
    <cellStyle name="Normal 9 4 8 2 2" xfId="36657"/>
    <cellStyle name="Normal 9 4 8 3" xfId="36658"/>
    <cellStyle name="Normal 9 4 9" xfId="36659"/>
    <cellStyle name="Normal 9 4 9 2" xfId="36660"/>
    <cellStyle name="Normal 9 5" xfId="36661"/>
    <cellStyle name="Normal 9 5 10" xfId="36662"/>
    <cellStyle name="Normal 9 5 2" xfId="36663"/>
    <cellStyle name="Normal 9 5 2 2" xfId="36664"/>
    <cellStyle name="Normal 9 5 2 2 2" xfId="36665"/>
    <cellStyle name="Normal 9 5 2 2 2 2" xfId="36666"/>
    <cellStyle name="Normal 9 5 2 2 2 2 2" xfId="36667"/>
    <cellStyle name="Normal 9 5 2 2 2 2 2 2" xfId="36668"/>
    <cellStyle name="Normal 9 5 2 2 2 2 2 2 2" xfId="36669"/>
    <cellStyle name="Normal 9 5 2 2 2 2 2 3" xfId="36670"/>
    <cellStyle name="Normal 9 5 2 2 2 2 3" xfId="36671"/>
    <cellStyle name="Normal 9 5 2 2 2 2 3 2" xfId="36672"/>
    <cellStyle name="Normal 9 5 2 2 2 2 4" xfId="36673"/>
    <cellStyle name="Normal 9 5 2 2 2 3" xfId="36674"/>
    <cellStyle name="Normal 9 5 2 2 2 3 2" xfId="36675"/>
    <cellStyle name="Normal 9 5 2 2 2 3 2 2" xfId="36676"/>
    <cellStyle name="Normal 9 5 2 2 2 3 2 2 2" xfId="36677"/>
    <cellStyle name="Normal 9 5 2 2 2 3 2 3" xfId="36678"/>
    <cellStyle name="Normal 9 5 2 2 2 3 3" xfId="36679"/>
    <cellStyle name="Normal 9 5 2 2 2 3 3 2" xfId="36680"/>
    <cellStyle name="Normal 9 5 2 2 2 3 4" xfId="36681"/>
    <cellStyle name="Normal 9 5 2 2 2 4" xfId="36682"/>
    <cellStyle name="Normal 9 5 2 2 2 4 2" xfId="36683"/>
    <cellStyle name="Normal 9 5 2 2 2 4 2 2" xfId="36684"/>
    <cellStyle name="Normal 9 5 2 2 2 4 3" xfId="36685"/>
    <cellStyle name="Normal 9 5 2 2 2 5" xfId="36686"/>
    <cellStyle name="Normal 9 5 2 2 2 5 2" xfId="36687"/>
    <cellStyle name="Normal 9 5 2 2 2 6" xfId="36688"/>
    <cellStyle name="Normal 9 5 2 2 3" xfId="36689"/>
    <cellStyle name="Normal 9 5 2 2 3 2" xfId="36690"/>
    <cellStyle name="Normal 9 5 2 2 3 2 2" xfId="36691"/>
    <cellStyle name="Normal 9 5 2 2 3 2 2 2" xfId="36692"/>
    <cellStyle name="Normal 9 5 2 2 3 2 3" xfId="36693"/>
    <cellStyle name="Normal 9 5 2 2 3 3" xfId="36694"/>
    <cellStyle name="Normal 9 5 2 2 3 3 2" xfId="36695"/>
    <cellStyle name="Normal 9 5 2 2 3 4" xfId="36696"/>
    <cellStyle name="Normal 9 5 2 2 4" xfId="36697"/>
    <cellStyle name="Normal 9 5 2 2 4 2" xfId="36698"/>
    <cellStyle name="Normal 9 5 2 2 4 2 2" xfId="36699"/>
    <cellStyle name="Normal 9 5 2 2 4 2 2 2" xfId="36700"/>
    <cellStyle name="Normal 9 5 2 2 4 2 3" xfId="36701"/>
    <cellStyle name="Normal 9 5 2 2 4 3" xfId="36702"/>
    <cellStyle name="Normal 9 5 2 2 4 3 2" xfId="36703"/>
    <cellStyle name="Normal 9 5 2 2 4 4" xfId="36704"/>
    <cellStyle name="Normal 9 5 2 2 5" xfId="36705"/>
    <cellStyle name="Normal 9 5 2 2 5 2" xfId="36706"/>
    <cellStyle name="Normal 9 5 2 2 5 2 2" xfId="36707"/>
    <cellStyle name="Normal 9 5 2 2 5 3" xfId="36708"/>
    <cellStyle name="Normal 9 5 2 2 6" xfId="36709"/>
    <cellStyle name="Normal 9 5 2 2 6 2" xfId="36710"/>
    <cellStyle name="Normal 9 5 2 2 7" xfId="36711"/>
    <cellStyle name="Normal 9 5 2 3" xfId="36712"/>
    <cellStyle name="Normal 9 5 2 3 2" xfId="36713"/>
    <cellStyle name="Normal 9 5 2 3 2 2" xfId="36714"/>
    <cellStyle name="Normal 9 5 2 3 2 2 2" xfId="36715"/>
    <cellStyle name="Normal 9 5 2 3 2 2 2 2" xfId="36716"/>
    <cellStyle name="Normal 9 5 2 3 2 2 3" xfId="36717"/>
    <cellStyle name="Normal 9 5 2 3 2 3" xfId="36718"/>
    <cellStyle name="Normal 9 5 2 3 2 3 2" xfId="36719"/>
    <cellStyle name="Normal 9 5 2 3 2 4" xfId="36720"/>
    <cellStyle name="Normal 9 5 2 3 3" xfId="36721"/>
    <cellStyle name="Normal 9 5 2 3 3 2" xfId="36722"/>
    <cellStyle name="Normal 9 5 2 3 3 2 2" xfId="36723"/>
    <cellStyle name="Normal 9 5 2 3 3 2 2 2" xfId="36724"/>
    <cellStyle name="Normal 9 5 2 3 3 2 3" xfId="36725"/>
    <cellStyle name="Normal 9 5 2 3 3 3" xfId="36726"/>
    <cellStyle name="Normal 9 5 2 3 3 3 2" xfId="36727"/>
    <cellStyle name="Normal 9 5 2 3 3 4" xfId="36728"/>
    <cellStyle name="Normal 9 5 2 3 4" xfId="36729"/>
    <cellStyle name="Normal 9 5 2 3 4 2" xfId="36730"/>
    <cellStyle name="Normal 9 5 2 3 4 2 2" xfId="36731"/>
    <cellStyle name="Normal 9 5 2 3 4 3" xfId="36732"/>
    <cellStyle name="Normal 9 5 2 3 5" xfId="36733"/>
    <cellStyle name="Normal 9 5 2 3 5 2" xfId="36734"/>
    <cellStyle name="Normal 9 5 2 3 6" xfId="36735"/>
    <cellStyle name="Normal 9 5 2 4" xfId="36736"/>
    <cellStyle name="Normal 9 5 2 4 2" xfId="36737"/>
    <cellStyle name="Normal 9 5 2 4 2 2" xfId="36738"/>
    <cellStyle name="Normal 9 5 2 4 2 2 2" xfId="36739"/>
    <cellStyle name="Normal 9 5 2 4 2 3" xfId="36740"/>
    <cellStyle name="Normal 9 5 2 4 3" xfId="36741"/>
    <cellStyle name="Normal 9 5 2 4 3 2" xfId="36742"/>
    <cellStyle name="Normal 9 5 2 4 4" xfId="36743"/>
    <cellStyle name="Normal 9 5 2 5" xfId="36744"/>
    <cellStyle name="Normal 9 5 2 5 2" xfId="36745"/>
    <cellStyle name="Normal 9 5 2 5 2 2" xfId="36746"/>
    <cellStyle name="Normal 9 5 2 5 2 2 2" xfId="36747"/>
    <cellStyle name="Normal 9 5 2 5 2 3" xfId="36748"/>
    <cellStyle name="Normal 9 5 2 5 3" xfId="36749"/>
    <cellStyle name="Normal 9 5 2 5 3 2" xfId="36750"/>
    <cellStyle name="Normal 9 5 2 5 4" xfId="36751"/>
    <cellStyle name="Normal 9 5 2 6" xfId="36752"/>
    <cellStyle name="Normal 9 5 2 6 2" xfId="36753"/>
    <cellStyle name="Normal 9 5 2 6 2 2" xfId="36754"/>
    <cellStyle name="Normal 9 5 2 6 2 2 2" xfId="36755"/>
    <cellStyle name="Normal 9 5 2 6 2 3" xfId="36756"/>
    <cellStyle name="Normal 9 5 2 6 3" xfId="36757"/>
    <cellStyle name="Normal 9 5 2 6 3 2" xfId="36758"/>
    <cellStyle name="Normal 9 5 2 6 4" xfId="36759"/>
    <cellStyle name="Normal 9 5 2 7" xfId="36760"/>
    <cellStyle name="Normal 9 5 2 7 2" xfId="36761"/>
    <cellStyle name="Normal 9 5 2 7 2 2" xfId="36762"/>
    <cellStyle name="Normal 9 5 2 7 3" xfId="36763"/>
    <cellStyle name="Normal 9 5 2 8" xfId="36764"/>
    <cellStyle name="Normal 9 5 2 8 2" xfId="36765"/>
    <cellStyle name="Normal 9 5 2 9" xfId="36766"/>
    <cellStyle name="Normal 9 5 3" xfId="36767"/>
    <cellStyle name="Normal 9 5 3 2" xfId="36768"/>
    <cellStyle name="Normal 9 5 3 2 2" xfId="36769"/>
    <cellStyle name="Normal 9 5 3 2 2 2" xfId="36770"/>
    <cellStyle name="Normal 9 5 3 2 2 2 2" xfId="36771"/>
    <cellStyle name="Normal 9 5 3 2 2 2 2 2" xfId="36772"/>
    <cellStyle name="Normal 9 5 3 2 2 2 3" xfId="36773"/>
    <cellStyle name="Normal 9 5 3 2 2 3" xfId="36774"/>
    <cellStyle name="Normal 9 5 3 2 2 3 2" xfId="36775"/>
    <cellStyle name="Normal 9 5 3 2 2 4" xfId="36776"/>
    <cellStyle name="Normal 9 5 3 2 3" xfId="36777"/>
    <cellStyle name="Normal 9 5 3 2 3 2" xfId="36778"/>
    <cellStyle name="Normal 9 5 3 2 3 2 2" xfId="36779"/>
    <cellStyle name="Normal 9 5 3 2 3 2 2 2" xfId="36780"/>
    <cellStyle name="Normal 9 5 3 2 3 2 3" xfId="36781"/>
    <cellStyle name="Normal 9 5 3 2 3 3" xfId="36782"/>
    <cellStyle name="Normal 9 5 3 2 3 3 2" xfId="36783"/>
    <cellStyle name="Normal 9 5 3 2 3 4" xfId="36784"/>
    <cellStyle name="Normal 9 5 3 2 4" xfId="36785"/>
    <cellStyle name="Normal 9 5 3 2 4 2" xfId="36786"/>
    <cellStyle name="Normal 9 5 3 2 4 2 2" xfId="36787"/>
    <cellStyle name="Normal 9 5 3 2 4 3" xfId="36788"/>
    <cellStyle name="Normal 9 5 3 2 5" xfId="36789"/>
    <cellStyle name="Normal 9 5 3 2 5 2" xfId="36790"/>
    <cellStyle name="Normal 9 5 3 2 6" xfId="36791"/>
    <cellStyle name="Normal 9 5 3 3" xfId="36792"/>
    <cellStyle name="Normal 9 5 3 3 2" xfId="36793"/>
    <cellStyle name="Normal 9 5 3 3 2 2" xfId="36794"/>
    <cellStyle name="Normal 9 5 3 3 2 2 2" xfId="36795"/>
    <cellStyle name="Normal 9 5 3 3 2 3" xfId="36796"/>
    <cellStyle name="Normal 9 5 3 3 3" xfId="36797"/>
    <cellStyle name="Normal 9 5 3 3 3 2" xfId="36798"/>
    <cellStyle name="Normal 9 5 3 3 4" xfId="36799"/>
    <cellStyle name="Normal 9 5 3 4" xfId="36800"/>
    <cellStyle name="Normal 9 5 3 4 2" xfId="36801"/>
    <cellStyle name="Normal 9 5 3 4 2 2" xfId="36802"/>
    <cellStyle name="Normal 9 5 3 4 2 2 2" xfId="36803"/>
    <cellStyle name="Normal 9 5 3 4 2 3" xfId="36804"/>
    <cellStyle name="Normal 9 5 3 4 3" xfId="36805"/>
    <cellStyle name="Normal 9 5 3 4 3 2" xfId="36806"/>
    <cellStyle name="Normal 9 5 3 4 4" xfId="36807"/>
    <cellStyle name="Normal 9 5 3 5" xfId="36808"/>
    <cellStyle name="Normal 9 5 3 5 2" xfId="36809"/>
    <cellStyle name="Normal 9 5 3 5 2 2" xfId="36810"/>
    <cellStyle name="Normal 9 5 3 5 3" xfId="36811"/>
    <cellStyle name="Normal 9 5 3 6" xfId="36812"/>
    <cellStyle name="Normal 9 5 3 6 2" xfId="36813"/>
    <cellStyle name="Normal 9 5 3 7" xfId="36814"/>
    <cellStyle name="Normal 9 5 4" xfId="36815"/>
    <cellStyle name="Normal 9 5 4 2" xfId="36816"/>
    <cellStyle name="Normal 9 5 4 2 2" xfId="36817"/>
    <cellStyle name="Normal 9 5 4 2 2 2" xfId="36818"/>
    <cellStyle name="Normal 9 5 4 2 2 2 2" xfId="36819"/>
    <cellStyle name="Normal 9 5 4 2 2 3" xfId="36820"/>
    <cellStyle name="Normal 9 5 4 2 3" xfId="36821"/>
    <cellStyle name="Normal 9 5 4 2 3 2" xfId="36822"/>
    <cellStyle name="Normal 9 5 4 2 4" xfId="36823"/>
    <cellStyle name="Normal 9 5 4 3" xfId="36824"/>
    <cellStyle name="Normal 9 5 4 3 2" xfId="36825"/>
    <cellStyle name="Normal 9 5 4 3 2 2" xfId="36826"/>
    <cellStyle name="Normal 9 5 4 3 2 2 2" xfId="36827"/>
    <cellStyle name="Normal 9 5 4 3 2 3" xfId="36828"/>
    <cellStyle name="Normal 9 5 4 3 3" xfId="36829"/>
    <cellStyle name="Normal 9 5 4 3 3 2" xfId="36830"/>
    <cellStyle name="Normal 9 5 4 3 4" xfId="36831"/>
    <cellStyle name="Normal 9 5 4 4" xfId="36832"/>
    <cellStyle name="Normal 9 5 4 4 2" xfId="36833"/>
    <cellStyle name="Normal 9 5 4 4 2 2" xfId="36834"/>
    <cellStyle name="Normal 9 5 4 4 3" xfId="36835"/>
    <cellStyle name="Normal 9 5 4 5" xfId="36836"/>
    <cellStyle name="Normal 9 5 4 5 2" xfId="36837"/>
    <cellStyle name="Normal 9 5 4 6" xfId="36838"/>
    <cellStyle name="Normal 9 5 5" xfId="36839"/>
    <cellStyle name="Normal 9 5 5 2" xfId="36840"/>
    <cellStyle name="Normal 9 5 5 2 2" xfId="36841"/>
    <cellStyle name="Normal 9 5 5 2 2 2" xfId="36842"/>
    <cellStyle name="Normal 9 5 5 2 3" xfId="36843"/>
    <cellStyle name="Normal 9 5 5 3" xfId="36844"/>
    <cellStyle name="Normal 9 5 5 3 2" xfId="36845"/>
    <cellStyle name="Normal 9 5 5 4" xfId="36846"/>
    <cellStyle name="Normal 9 5 6" xfId="36847"/>
    <cellStyle name="Normal 9 5 6 2" xfId="36848"/>
    <cellStyle name="Normal 9 5 6 2 2" xfId="36849"/>
    <cellStyle name="Normal 9 5 6 2 2 2" xfId="36850"/>
    <cellStyle name="Normal 9 5 6 2 3" xfId="36851"/>
    <cellStyle name="Normal 9 5 6 3" xfId="36852"/>
    <cellStyle name="Normal 9 5 6 3 2" xfId="36853"/>
    <cellStyle name="Normal 9 5 6 4" xfId="36854"/>
    <cellStyle name="Normal 9 5 7" xfId="36855"/>
    <cellStyle name="Normal 9 5 7 2" xfId="36856"/>
    <cellStyle name="Normal 9 5 7 2 2" xfId="36857"/>
    <cellStyle name="Normal 9 5 7 2 2 2" xfId="36858"/>
    <cellStyle name="Normal 9 5 7 2 3" xfId="36859"/>
    <cellStyle name="Normal 9 5 7 3" xfId="36860"/>
    <cellStyle name="Normal 9 5 7 3 2" xfId="36861"/>
    <cellStyle name="Normal 9 5 7 4" xfId="36862"/>
    <cellStyle name="Normal 9 5 8" xfId="36863"/>
    <cellStyle name="Normal 9 5 8 2" xfId="36864"/>
    <cellStyle name="Normal 9 5 8 2 2" xfId="36865"/>
    <cellStyle name="Normal 9 5 8 3" xfId="36866"/>
    <cellStyle name="Normal 9 5 9" xfId="36867"/>
    <cellStyle name="Normal 9 5 9 2" xfId="36868"/>
    <cellStyle name="Normal 9 6" xfId="36869"/>
    <cellStyle name="Normal 9 6 2" xfId="36870"/>
    <cellStyle name="Normal 9 6 2 2" xfId="36871"/>
    <cellStyle name="Normal 9 6 2 2 2" xfId="36872"/>
    <cellStyle name="Normal 9 6 2 2 2 2" xfId="36873"/>
    <cellStyle name="Normal 9 6 2 2 2 2 2" xfId="36874"/>
    <cellStyle name="Normal 9 6 2 2 2 2 2 2" xfId="36875"/>
    <cellStyle name="Normal 9 6 2 2 2 2 3" xfId="36876"/>
    <cellStyle name="Normal 9 6 2 2 2 3" xfId="36877"/>
    <cellStyle name="Normal 9 6 2 2 2 3 2" xfId="36878"/>
    <cellStyle name="Normal 9 6 2 2 2 4" xfId="36879"/>
    <cellStyle name="Normal 9 6 2 2 3" xfId="36880"/>
    <cellStyle name="Normal 9 6 2 2 3 2" xfId="36881"/>
    <cellStyle name="Normal 9 6 2 2 3 2 2" xfId="36882"/>
    <cellStyle name="Normal 9 6 2 2 3 2 2 2" xfId="36883"/>
    <cellStyle name="Normal 9 6 2 2 3 2 3" xfId="36884"/>
    <cellStyle name="Normal 9 6 2 2 3 3" xfId="36885"/>
    <cellStyle name="Normal 9 6 2 2 3 3 2" xfId="36886"/>
    <cellStyle name="Normal 9 6 2 2 3 4" xfId="36887"/>
    <cellStyle name="Normal 9 6 2 2 4" xfId="36888"/>
    <cellStyle name="Normal 9 6 2 2 4 2" xfId="36889"/>
    <cellStyle name="Normal 9 6 2 2 4 2 2" xfId="36890"/>
    <cellStyle name="Normal 9 6 2 2 4 3" xfId="36891"/>
    <cellStyle name="Normal 9 6 2 2 5" xfId="36892"/>
    <cellStyle name="Normal 9 6 2 2 5 2" xfId="36893"/>
    <cellStyle name="Normal 9 6 2 2 6" xfId="36894"/>
    <cellStyle name="Normal 9 6 2 3" xfId="36895"/>
    <cellStyle name="Normal 9 6 2 3 2" xfId="36896"/>
    <cellStyle name="Normal 9 6 2 3 2 2" xfId="36897"/>
    <cellStyle name="Normal 9 6 2 3 2 2 2" xfId="36898"/>
    <cellStyle name="Normal 9 6 2 3 2 3" xfId="36899"/>
    <cellStyle name="Normal 9 6 2 3 3" xfId="36900"/>
    <cellStyle name="Normal 9 6 2 3 3 2" xfId="36901"/>
    <cellStyle name="Normal 9 6 2 3 4" xfId="36902"/>
    <cellStyle name="Normal 9 6 2 4" xfId="36903"/>
    <cellStyle name="Normal 9 6 2 4 2" xfId="36904"/>
    <cellStyle name="Normal 9 6 2 4 2 2" xfId="36905"/>
    <cellStyle name="Normal 9 6 2 4 2 2 2" xfId="36906"/>
    <cellStyle name="Normal 9 6 2 4 2 3" xfId="36907"/>
    <cellStyle name="Normal 9 6 2 4 3" xfId="36908"/>
    <cellStyle name="Normal 9 6 2 4 3 2" xfId="36909"/>
    <cellStyle name="Normal 9 6 2 4 4" xfId="36910"/>
    <cellStyle name="Normal 9 6 2 5" xfId="36911"/>
    <cellStyle name="Normal 9 6 2 5 2" xfId="36912"/>
    <cellStyle name="Normal 9 6 2 5 2 2" xfId="36913"/>
    <cellStyle name="Normal 9 6 2 5 3" xfId="36914"/>
    <cellStyle name="Normal 9 6 2 6" xfId="36915"/>
    <cellStyle name="Normal 9 6 2 6 2" xfId="36916"/>
    <cellStyle name="Normal 9 6 2 7" xfId="36917"/>
    <cellStyle name="Normal 9 6 3" xfId="36918"/>
    <cellStyle name="Normal 9 6 3 2" xfId="36919"/>
    <cellStyle name="Normal 9 6 3 2 2" xfId="36920"/>
    <cellStyle name="Normal 9 6 3 2 2 2" xfId="36921"/>
    <cellStyle name="Normal 9 6 3 2 2 2 2" xfId="36922"/>
    <cellStyle name="Normal 9 6 3 2 2 3" xfId="36923"/>
    <cellStyle name="Normal 9 6 3 2 3" xfId="36924"/>
    <cellStyle name="Normal 9 6 3 2 3 2" xfId="36925"/>
    <cellStyle name="Normal 9 6 3 2 4" xfId="36926"/>
    <cellStyle name="Normal 9 6 3 3" xfId="36927"/>
    <cellStyle name="Normal 9 6 3 3 2" xfId="36928"/>
    <cellStyle name="Normal 9 6 3 3 2 2" xfId="36929"/>
    <cellStyle name="Normal 9 6 3 3 2 2 2" xfId="36930"/>
    <cellStyle name="Normal 9 6 3 3 2 3" xfId="36931"/>
    <cellStyle name="Normal 9 6 3 3 3" xfId="36932"/>
    <cellStyle name="Normal 9 6 3 3 3 2" xfId="36933"/>
    <cellStyle name="Normal 9 6 3 3 4" xfId="36934"/>
    <cellStyle name="Normal 9 6 3 4" xfId="36935"/>
    <cellStyle name="Normal 9 6 3 4 2" xfId="36936"/>
    <cellStyle name="Normal 9 6 3 4 2 2" xfId="36937"/>
    <cellStyle name="Normal 9 6 3 4 3" xfId="36938"/>
    <cellStyle name="Normal 9 6 3 5" xfId="36939"/>
    <cellStyle name="Normal 9 6 3 5 2" xfId="36940"/>
    <cellStyle name="Normal 9 6 3 6" xfId="36941"/>
    <cellStyle name="Normal 9 6 4" xfId="36942"/>
    <cellStyle name="Normal 9 6 4 2" xfId="36943"/>
    <cellStyle name="Normal 9 6 4 2 2" xfId="36944"/>
    <cellStyle name="Normal 9 6 4 2 2 2" xfId="36945"/>
    <cellStyle name="Normal 9 6 4 2 3" xfId="36946"/>
    <cellStyle name="Normal 9 6 4 3" xfId="36947"/>
    <cellStyle name="Normal 9 6 4 3 2" xfId="36948"/>
    <cellStyle name="Normal 9 6 4 4" xfId="36949"/>
    <cellStyle name="Normal 9 6 5" xfId="36950"/>
    <cellStyle name="Normal 9 6 5 2" xfId="36951"/>
    <cellStyle name="Normal 9 6 5 2 2" xfId="36952"/>
    <cellStyle name="Normal 9 6 5 2 2 2" xfId="36953"/>
    <cellStyle name="Normal 9 6 5 2 3" xfId="36954"/>
    <cellStyle name="Normal 9 6 5 3" xfId="36955"/>
    <cellStyle name="Normal 9 6 5 3 2" xfId="36956"/>
    <cellStyle name="Normal 9 6 5 4" xfId="36957"/>
    <cellStyle name="Normal 9 6 6" xfId="36958"/>
    <cellStyle name="Normal 9 6 6 2" xfId="36959"/>
    <cellStyle name="Normal 9 6 6 2 2" xfId="36960"/>
    <cellStyle name="Normal 9 6 6 2 2 2" xfId="36961"/>
    <cellStyle name="Normal 9 6 6 2 3" xfId="36962"/>
    <cellStyle name="Normal 9 6 6 3" xfId="36963"/>
    <cellStyle name="Normal 9 6 6 3 2" xfId="36964"/>
    <cellStyle name="Normal 9 6 6 4" xfId="36965"/>
    <cellStyle name="Normal 9 6 7" xfId="36966"/>
    <cellStyle name="Normal 9 6 7 2" xfId="36967"/>
    <cellStyle name="Normal 9 6 7 2 2" xfId="36968"/>
    <cellStyle name="Normal 9 6 7 3" xfId="36969"/>
    <cellStyle name="Normal 9 6 8" xfId="36970"/>
    <cellStyle name="Normal 9 6 8 2" xfId="36971"/>
    <cellStyle name="Normal 9 6 9" xfId="36972"/>
    <cellStyle name="Normal 9 7" xfId="36973"/>
    <cellStyle name="Normal 9 7 2" xfId="36974"/>
    <cellStyle name="Normal 9 7 2 2" xfId="36975"/>
    <cellStyle name="Normal 9 7 2 2 2" xfId="36976"/>
    <cellStyle name="Normal 9 7 2 2 2 2" xfId="36977"/>
    <cellStyle name="Normal 9 7 2 2 2 2 2" xfId="36978"/>
    <cellStyle name="Normal 9 7 2 2 2 3" xfId="36979"/>
    <cellStyle name="Normal 9 7 2 2 3" xfId="36980"/>
    <cellStyle name="Normal 9 7 2 2 3 2" xfId="36981"/>
    <cellStyle name="Normal 9 7 2 2 4" xfId="36982"/>
    <cellStyle name="Normal 9 7 2 3" xfId="36983"/>
    <cellStyle name="Normal 9 7 2 3 2" xfId="36984"/>
    <cellStyle name="Normal 9 7 2 3 2 2" xfId="36985"/>
    <cellStyle name="Normal 9 7 2 3 2 2 2" xfId="36986"/>
    <cellStyle name="Normal 9 7 2 3 2 3" xfId="36987"/>
    <cellStyle name="Normal 9 7 2 3 3" xfId="36988"/>
    <cellStyle name="Normal 9 7 2 3 3 2" xfId="36989"/>
    <cellStyle name="Normal 9 7 2 3 4" xfId="36990"/>
    <cellStyle name="Normal 9 7 2 4" xfId="36991"/>
    <cellStyle name="Normal 9 7 2 4 2" xfId="36992"/>
    <cellStyle name="Normal 9 7 2 4 2 2" xfId="36993"/>
    <cellStyle name="Normal 9 7 2 4 3" xfId="36994"/>
    <cellStyle name="Normal 9 7 2 5" xfId="36995"/>
    <cellStyle name="Normal 9 7 2 5 2" xfId="36996"/>
    <cellStyle name="Normal 9 7 2 6" xfId="36997"/>
    <cellStyle name="Normal 9 7 3" xfId="36998"/>
    <cellStyle name="Normal 9 7 3 2" xfId="36999"/>
    <cellStyle name="Normal 9 7 3 2 2" xfId="37000"/>
    <cellStyle name="Normal 9 7 3 2 2 2" xfId="37001"/>
    <cellStyle name="Normal 9 7 3 2 3" xfId="37002"/>
    <cellStyle name="Normal 9 7 3 3" xfId="37003"/>
    <cellStyle name="Normal 9 7 3 3 2" xfId="37004"/>
    <cellStyle name="Normal 9 7 3 4" xfId="37005"/>
    <cellStyle name="Normal 9 7 4" xfId="37006"/>
    <cellStyle name="Normal 9 7 4 2" xfId="37007"/>
    <cellStyle name="Normal 9 7 4 2 2" xfId="37008"/>
    <cellStyle name="Normal 9 7 4 2 2 2" xfId="37009"/>
    <cellStyle name="Normal 9 7 4 2 3" xfId="37010"/>
    <cellStyle name="Normal 9 7 4 3" xfId="37011"/>
    <cellStyle name="Normal 9 7 4 3 2" xfId="37012"/>
    <cellStyle name="Normal 9 7 4 4" xfId="37013"/>
    <cellStyle name="Normal 9 7 5" xfId="37014"/>
    <cellStyle name="Normal 9 7 5 2" xfId="37015"/>
    <cellStyle name="Normal 9 7 5 2 2" xfId="37016"/>
    <cellStyle name="Normal 9 7 5 3" xfId="37017"/>
    <cellStyle name="Normal 9 7 6" xfId="37018"/>
    <cellStyle name="Normal 9 7 6 2" xfId="37019"/>
    <cellStyle name="Normal 9 7 7" xfId="37020"/>
    <cellStyle name="Normal 9 8" xfId="37021"/>
    <cellStyle name="Normal 9 8 2" xfId="37022"/>
    <cellStyle name="Normal 9 8 2 2" xfId="37023"/>
    <cellStyle name="Normal 9 8 2 2 2" xfId="37024"/>
    <cellStyle name="Normal 9 8 2 2 2 2" xfId="37025"/>
    <cellStyle name="Normal 9 8 2 2 3" xfId="37026"/>
    <cellStyle name="Normal 9 8 2 3" xfId="37027"/>
    <cellStyle name="Normal 9 8 2 3 2" xfId="37028"/>
    <cellStyle name="Normal 9 8 2 4" xfId="37029"/>
    <cellStyle name="Normal 9 8 3" xfId="37030"/>
    <cellStyle name="Normal 9 8 3 2" xfId="37031"/>
    <cellStyle name="Normal 9 8 3 2 2" xfId="37032"/>
    <cellStyle name="Normal 9 8 3 2 2 2" xfId="37033"/>
    <cellStyle name="Normal 9 8 3 2 3" xfId="37034"/>
    <cellStyle name="Normal 9 8 3 3" xfId="37035"/>
    <cellStyle name="Normal 9 8 3 3 2" xfId="37036"/>
    <cellStyle name="Normal 9 8 3 4" xfId="37037"/>
    <cellStyle name="Normal 9 8 4" xfId="37038"/>
    <cellStyle name="Normal 9 8 4 2" xfId="37039"/>
    <cellStyle name="Normal 9 8 4 2 2" xfId="37040"/>
    <cellStyle name="Normal 9 8 4 3" xfId="37041"/>
    <cellStyle name="Normal 9 8 5" xfId="37042"/>
    <cellStyle name="Normal 9 8 5 2" xfId="37043"/>
    <cellStyle name="Normal 9 8 6" xfId="37044"/>
    <cellStyle name="Normal 9 9" xfId="37045"/>
    <cellStyle name="Normal 9 9 2" xfId="37046"/>
    <cellStyle name="Normal 9 9 2 2" xfId="37047"/>
    <cellStyle name="Normal 9 9 2 2 2" xfId="37048"/>
    <cellStyle name="Normal 9 9 2 3" xfId="37049"/>
    <cellStyle name="Normal 9 9 3" xfId="37050"/>
    <cellStyle name="Normal 9 9 3 2" xfId="37051"/>
    <cellStyle name="Normal 9 9 4" xfId="37052"/>
    <cellStyle name="Normal_Sheet1 (3)" xfId="4"/>
    <cellStyle name="Normal_Sheet2" xfId="5"/>
    <cellStyle name="Note 2" xfId="37053"/>
    <cellStyle name="Percent 2" xfId="7"/>
    <cellStyle name="Percent 3" xfId="3705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externalLink" Target="externalLinks/externalLink1.xml"/><Relationship Id="rId11" Type="http://schemas.openxmlformats.org/officeDocument/2006/relationships/externalLink" Target="externalLinks/externalLink2.xml"/><Relationship Id="rId12" Type="http://schemas.openxmlformats.org/officeDocument/2006/relationships/externalLink" Target="externalLinks/externalLink3.xml"/><Relationship Id="rId13" Type="http://schemas.openxmlformats.org/officeDocument/2006/relationships/externalLink" Target="externalLinks/externalLink4.xml"/><Relationship Id="rId14" Type="http://schemas.openxmlformats.org/officeDocument/2006/relationships/externalLink" Target="externalLinks/externalLink5.xml"/><Relationship Id="rId15" Type="http://schemas.openxmlformats.org/officeDocument/2006/relationships/externalLink" Target="externalLinks/externalLink6.xml"/><Relationship Id="rId16" Type="http://schemas.openxmlformats.org/officeDocument/2006/relationships/externalLink" Target="externalLinks/externalLink7.xml"/><Relationship Id="rId17" Type="http://schemas.openxmlformats.org/officeDocument/2006/relationships/externalLink" Target="externalLinks/externalLink8.xml"/><Relationship Id="rId18" Type="http://schemas.openxmlformats.org/officeDocument/2006/relationships/externalLink" Target="externalLinks/externalLink9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Economics of Scale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'TEA Op Matrix'!$G$274:$G$281</c:f>
              <c:numCache>
                <c:formatCode>#,##0</c:formatCode>
                <c:ptCount val="8"/>
                <c:pt idx="0">
                  <c:v>1.38487282426896E6</c:v>
                </c:pt>
                <c:pt idx="1">
                  <c:v>536525.9069248222</c:v>
                </c:pt>
                <c:pt idx="2">
                  <c:v>296840.6839856126</c:v>
                </c:pt>
                <c:pt idx="3">
                  <c:v>214217.0692477634</c:v>
                </c:pt>
                <c:pt idx="4">
                  <c:v>110697.7377021803</c:v>
                </c:pt>
                <c:pt idx="5">
                  <c:v>51975.49758373603</c:v>
                </c:pt>
                <c:pt idx="6">
                  <c:v>27098.88292969319</c:v>
                </c:pt>
                <c:pt idx="7">
                  <c:v>10080.14494818381</c:v>
                </c:pt>
              </c:numCache>
            </c:numRef>
          </c:xVal>
          <c:yVal>
            <c:numRef>
              <c:f>'TEA Op Matrix'!$S$274:$S$281</c:f>
              <c:numCache>
                <c:formatCode>"$"#,##0.00</c:formatCode>
                <c:ptCount val="8"/>
                <c:pt idx="0">
                  <c:v>0.252702256746742</c:v>
                </c:pt>
                <c:pt idx="1">
                  <c:v>0.255689242394569</c:v>
                </c:pt>
                <c:pt idx="2">
                  <c:v>0.261037672777661</c:v>
                </c:pt>
                <c:pt idx="3">
                  <c:v>0.270052846565761</c:v>
                </c:pt>
                <c:pt idx="4">
                  <c:v>0.289819497061273</c:v>
                </c:pt>
                <c:pt idx="5">
                  <c:v>0.312968060391533</c:v>
                </c:pt>
                <c:pt idx="6">
                  <c:v>0.352601742223974</c:v>
                </c:pt>
                <c:pt idx="7">
                  <c:v>0.394936979623223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6371960"/>
        <c:axId val="-2066200008"/>
      </c:scatterChart>
      <c:valAx>
        <c:axId val="-20663719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Methane Production (MMBTU/yr)</a:t>
                </a:r>
              </a:p>
            </c:rich>
          </c:tx>
          <c:overlay val="0"/>
        </c:title>
        <c:numFmt formatCode="#,##0" sourceLinked="1"/>
        <c:majorTickMark val="none"/>
        <c:minorTickMark val="none"/>
        <c:tickLblPos val="nextTo"/>
        <c:crossAx val="-2066200008"/>
        <c:crosses val="autoZero"/>
        <c:crossBetween val="midCat"/>
        <c:majorUnit val="500000.0"/>
      </c:valAx>
      <c:valAx>
        <c:axId val="-2066200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FCI+OP ($/MMBTU)</a:t>
                </a:r>
              </a:p>
            </c:rich>
          </c:tx>
          <c:overlay val="0"/>
        </c:title>
        <c:numFmt formatCode="&quot;$&quot;#,##0.00" sourceLinked="1"/>
        <c:majorTickMark val="none"/>
        <c:minorTickMark val="none"/>
        <c:tickLblPos val="nextTo"/>
        <c:crossAx val="-20663719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Economics of Scale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'TEA Op Matrix-OCT.FY17'!$G$274:$G$281</c:f>
              <c:numCache>
                <c:formatCode>#,##0</c:formatCode>
                <c:ptCount val="8"/>
                <c:pt idx="0">
                  <c:v>1.38487282426896E6</c:v>
                </c:pt>
                <c:pt idx="1">
                  <c:v>536525.9069248222</c:v>
                </c:pt>
                <c:pt idx="2">
                  <c:v>296840.6839856126</c:v>
                </c:pt>
                <c:pt idx="3">
                  <c:v>214217.0692477634</c:v>
                </c:pt>
                <c:pt idx="4">
                  <c:v>110697.7377021803</c:v>
                </c:pt>
                <c:pt idx="5">
                  <c:v>51975.49758373603</c:v>
                </c:pt>
                <c:pt idx="6">
                  <c:v>27098.88292969319</c:v>
                </c:pt>
                <c:pt idx="7">
                  <c:v>10080.14494818381</c:v>
                </c:pt>
              </c:numCache>
            </c:numRef>
          </c:xVal>
          <c:yVal>
            <c:numRef>
              <c:f>'TEA Op Matrix-OCT.FY17'!$S$274:$S$281</c:f>
              <c:numCache>
                <c:formatCode>"$"#,##0.00</c:formatCode>
                <c:ptCount val="8"/>
                <c:pt idx="0">
                  <c:v>0.252702256746742</c:v>
                </c:pt>
                <c:pt idx="1">
                  <c:v>0.255689242394569</c:v>
                </c:pt>
                <c:pt idx="2">
                  <c:v>0.261037672777661</c:v>
                </c:pt>
                <c:pt idx="3">
                  <c:v>0.270052846565761</c:v>
                </c:pt>
                <c:pt idx="4">
                  <c:v>0.289819497061273</c:v>
                </c:pt>
                <c:pt idx="5">
                  <c:v>0.312968060391533</c:v>
                </c:pt>
                <c:pt idx="6">
                  <c:v>0.352601742223974</c:v>
                </c:pt>
                <c:pt idx="7">
                  <c:v>0.394936979623223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228760"/>
        <c:axId val="2108234280"/>
      </c:scatterChart>
      <c:valAx>
        <c:axId val="21082287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Methane Production (MMBTU/yr)</a:t>
                </a:r>
              </a:p>
            </c:rich>
          </c:tx>
          <c:overlay val="0"/>
        </c:title>
        <c:numFmt formatCode="#,##0" sourceLinked="1"/>
        <c:majorTickMark val="none"/>
        <c:minorTickMark val="none"/>
        <c:tickLblPos val="nextTo"/>
        <c:crossAx val="2108234280"/>
        <c:crosses val="autoZero"/>
        <c:crossBetween val="midCat"/>
        <c:majorUnit val="500000.0"/>
      </c:valAx>
      <c:valAx>
        <c:axId val="2108234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FCI+OP ($/MMBTU)</a:t>
                </a:r>
              </a:p>
            </c:rich>
          </c:tx>
          <c:overlay val="0"/>
        </c:title>
        <c:numFmt formatCode="&quot;$&quot;#,##0.00" sourceLinked="1"/>
        <c:majorTickMark val="none"/>
        <c:minorTickMark val="none"/>
        <c:tickLblPos val="nextTo"/>
        <c:crossAx val="21082287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Relationship Id="rId2" Type="http://schemas.openxmlformats.org/officeDocument/2006/relationships/image" Target="../media/image3.emf"/><Relationship Id="rId3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282</xdr:row>
      <xdr:rowOff>91440</xdr:rowOff>
    </xdr:from>
    <xdr:to>
      <xdr:col>16</xdr:col>
      <xdr:colOff>209550</xdr:colOff>
      <xdr:row>294</xdr:row>
      <xdr:rowOff>91440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139700</xdr:colOff>
      <xdr:row>28</xdr:row>
      <xdr:rowOff>101600</xdr:rowOff>
    </xdr:from>
    <xdr:to>
      <xdr:col>5</xdr:col>
      <xdr:colOff>749300</xdr:colOff>
      <xdr:row>32</xdr:row>
      <xdr:rowOff>139700</xdr:rowOff>
    </xdr:to>
    <xdr:sp macro="" textlink="">
      <xdr:nvSpPr>
        <xdr:cNvPr id="6145" name="cmd_SolveProductCost" hidden="1">
          <a:extLst>
            <a:ext uri="{63B3BB69-23CF-44E3-9099-C40C66FF867C}">
              <a14:compatExt xmlns:a14="http://schemas.microsoft.com/office/drawing/2010/main" spid="_x0000_s614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139700</xdr:colOff>
      <xdr:row>28</xdr:row>
      <xdr:rowOff>101600</xdr:rowOff>
    </xdr:from>
    <xdr:to>
      <xdr:col>5</xdr:col>
      <xdr:colOff>749300</xdr:colOff>
      <xdr:row>32</xdr:row>
      <xdr:rowOff>139700</xdr:rowOff>
    </xdr:to>
    <xdr:pic>
      <xdr:nvPicPr>
        <xdr:cNvPr id="2" name="cmd_SolveProductCos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300" y="4914900"/>
          <a:ext cx="3149600" cy="698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28575</xdr:colOff>
      <xdr:row>0</xdr:row>
      <xdr:rowOff>0</xdr:rowOff>
    </xdr:from>
    <xdr:to>
      <xdr:col>33</xdr:col>
      <xdr:colOff>571500</xdr:colOff>
      <xdr:row>79</xdr:row>
      <xdr:rowOff>28151</xdr:rowOff>
    </xdr:to>
    <xdr:pic>
      <xdr:nvPicPr>
        <xdr:cNvPr id="2" name="Picture 107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53935" y="0"/>
          <a:ext cx="6509385" cy="8848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25400</xdr:colOff>
      <xdr:row>50</xdr:row>
      <xdr:rowOff>0</xdr:rowOff>
    </xdr:from>
    <xdr:to>
      <xdr:col>15</xdr:col>
      <xdr:colOff>508000</xdr:colOff>
      <xdr:row>52</xdr:row>
      <xdr:rowOff>152400</xdr:rowOff>
    </xdr:to>
    <xdr:sp macro="" textlink="">
      <xdr:nvSpPr>
        <xdr:cNvPr id="10241" name="CommandButton1" hidden="1">
          <a:extLst>
            <a:ext uri="{63B3BB69-23CF-44E3-9099-C40C66FF867C}">
              <a14:compatExt xmlns:a14="http://schemas.microsoft.com/office/drawing/2010/main" spid="_x0000_s1024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13</xdr:col>
      <xdr:colOff>0</xdr:colOff>
      <xdr:row>50</xdr:row>
      <xdr:rowOff>0</xdr:rowOff>
    </xdr:from>
    <xdr:to>
      <xdr:col>15</xdr:col>
      <xdr:colOff>495300</xdr:colOff>
      <xdr:row>53</xdr:row>
      <xdr:rowOff>25400</xdr:rowOff>
    </xdr:to>
    <xdr:sp macro="" textlink="">
      <xdr:nvSpPr>
        <xdr:cNvPr id="10242" name="CommandButton2" hidden="1">
          <a:extLst>
            <a:ext uri="{63B3BB69-23CF-44E3-9099-C40C66FF867C}">
              <a14:compatExt xmlns:a14="http://schemas.microsoft.com/office/drawing/2010/main" spid="_x0000_s1024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13</xdr:col>
      <xdr:colOff>25400</xdr:colOff>
      <xdr:row>50</xdr:row>
      <xdr:rowOff>0</xdr:rowOff>
    </xdr:from>
    <xdr:to>
      <xdr:col>15</xdr:col>
      <xdr:colOff>508000</xdr:colOff>
      <xdr:row>52</xdr:row>
      <xdr:rowOff>152400</xdr:rowOff>
    </xdr:to>
    <xdr:pic>
      <xdr:nvPicPr>
        <xdr:cNvPr id="3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70000" y="3378200"/>
          <a:ext cx="2209800" cy="508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0</xdr:colOff>
      <xdr:row>50</xdr:row>
      <xdr:rowOff>0</xdr:rowOff>
    </xdr:from>
    <xdr:to>
      <xdr:col>15</xdr:col>
      <xdr:colOff>495300</xdr:colOff>
      <xdr:row>53</xdr:row>
      <xdr:rowOff>25400</xdr:rowOff>
    </xdr:to>
    <xdr:pic>
      <xdr:nvPicPr>
        <xdr:cNvPr id="4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44600" y="3378200"/>
          <a:ext cx="2222500" cy="558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282</xdr:row>
      <xdr:rowOff>91440</xdr:rowOff>
    </xdr:from>
    <xdr:to>
      <xdr:col>16</xdr:col>
      <xdr:colOff>209550</xdr:colOff>
      <xdr:row>294</xdr:row>
      <xdr:rowOff>91440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zhang2/AppData/Local/Microsoft/Windows/Temporary%20Internet%20Files/Content.Outlook/BFSHCN65/WTE_AD_MSW_1412D_Base%20%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tao/Documents/Documents/W2E/FY14-15%20Deliverables/Q4FY15-WTE/New%20Table2/WTE_AD_Biosolids_1509A-Case%203-HIGH_Bas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markham/AppData/Local/Microsoft/Windows/Temporary%20Internet%20Files/Content.Outlook/YEBZX6Z3/WTE_AD_Biosolids_1501H-LOW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eberle/Library/Caches/TemporaryItems/Outlook%20Temp/Template%20for%20Consistent%20TEA%20Data_LT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zhang2/AppData/Local/Microsoft/Windows/Temporary%20Internet%20Files/Content.Outlook/BFSHCN65/AD%20biosolids%20Organic%20loading%20rate%20vs%20biogas%20production%20rate%20estimation%201020-%20Copy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tao/AppData/Local/Microsoft/Windows/Temporary%20Internet%20Files/Content.Outlook/UWDLLBKC/BC1306A%20ET1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tao/Documents/documents/Advanced%20Biofuel%20task/Sugar%20to%20Jet/Old%20Models/BC1307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5100/IA&amp;P/BWOOLEY4/PE%20Databases/2013/models/Microbial%20fermentation/BC1303v1%20fedbatch-FFA-%20rev1%20RD_GGE%20adjustment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5100/Working%20Folder/rdavis/for%20Jen/SABC%20rev1-%20improved-%2050%20prod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B_DATA_"/>
      <sheetName val="Set-up"/>
      <sheetName val="Summary"/>
      <sheetName val="DCFROR"/>
      <sheetName val="OPEX"/>
      <sheetName val="CAPEX"/>
      <sheetName val="aspen"/>
      <sheetName val="ADSizing"/>
      <sheetName val="Operating Summaries"/>
      <sheetName val="Cbalance"/>
      <sheetName val="Energy Bal"/>
      <sheetName val="Tipping fee and ferrous metals "/>
      <sheetName val="S-L Sep"/>
      <sheetName val="Cost Breakdown"/>
      <sheetName val="aspen2"/>
      <sheetName val="aspenqw"/>
      <sheetName val="INDICES"/>
      <sheetName val="Sheet1"/>
      <sheetName val="Sheet2"/>
      <sheetName val="Sheet3"/>
      <sheetName val="Sheet4"/>
    </sheetNames>
    <sheetDataSet>
      <sheetData sheetId="0"/>
      <sheetData sheetId="1">
        <row r="15">
          <cell r="C15" t="str">
            <v>WTE_AD_MSW_1412D_Base</v>
          </cell>
        </row>
        <row r="24">
          <cell r="B24" t="str">
            <v>DW1102A</v>
          </cell>
        </row>
        <row r="30">
          <cell r="G30" t="str">
            <v>aspen2!B9:KB385</v>
          </cell>
        </row>
        <row r="31">
          <cell r="G31" t="str">
            <v>aspenqw!B7:D132</v>
          </cell>
        </row>
        <row r="32">
          <cell r="G32" t="str">
            <v>aspenqw!F7:H199</v>
          </cell>
        </row>
        <row r="34">
          <cell r="G34" t="str">
            <v>INDICES!b15:e40</v>
          </cell>
        </row>
        <row r="35">
          <cell r="G35" t="str">
            <v>INDICES!b57:e92</v>
          </cell>
        </row>
        <row r="36">
          <cell r="G36" t="str">
            <v>INDICES!b113:e144</v>
          </cell>
        </row>
      </sheetData>
      <sheetData sheetId="2"/>
      <sheetData sheetId="3">
        <row r="5">
          <cell r="K5">
            <v>2180525.6989739994</v>
          </cell>
        </row>
        <row r="8">
          <cell r="M8">
            <v>92708899.2502933</v>
          </cell>
        </row>
        <row r="34">
          <cell r="B34">
            <v>2011</v>
          </cell>
        </row>
      </sheetData>
      <sheetData sheetId="4">
        <row r="2">
          <cell r="B2">
            <v>3569.6570891220395</v>
          </cell>
        </row>
        <row r="3">
          <cell r="B3">
            <v>101.24397123600001</v>
          </cell>
        </row>
        <row r="7">
          <cell r="B7">
            <v>7880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et-up"/>
      <sheetName val="Summary"/>
      <sheetName val="CB_DATA_"/>
      <sheetName val="DCFROR"/>
      <sheetName val="OPEX"/>
      <sheetName val="CAPEX"/>
      <sheetName val="Operating Summaries"/>
      <sheetName val="BFD"/>
      <sheetName val="LCI"/>
      <sheetName val="CBalance"/>
      <sheetName val="ADSizing"/>
      <sheetName val="aspen"/>
      <sheetName val="Cost Breakdown"/>
      <sheetName val="Energy Bal"/>
      <sheetName val="aspen2"/>
      <sheetName val="aspenqw"/>
      <sheetName val="INDICES"/>
    </sheetNames>
    <sheetDataSet>
      <sheetData sheetId="0">
        <row r="15">
          <cell r="C15" t="str">
            <v>WTE_AD_Biosolids_1502F-Case3-HIGH</v>
          </cell>
        </row>
        <row r="24">
          <cell r="B24" t="str">
            <v>DW1102A</v>
          </cell>
        </row>
        <row r="29">
          <cell r="G29" t="str">
            <v>aspen!C7:E805</v>
          </cell>
        </row>
        <row r="30">
          <cell r="G30" t="str">
            <v>aspen2!B9:KB385</v>
          </cell>
        </row>
        <row r="31">
          <cell r="G31" t="str">
            <v>aspenqw!B7:D76</v>
          </cell>
        </row>
        <row r="32">
          <cell r="G32" t="str">
            <v>aspenqw!F7:H62</v>
          </cell>
        </row>
        <row r="34">
          <cell r="G34" t="str">
            <v>INDICES!b15:e40</v>
          </cell>
        </row>
        <row r="35">
          <cell r="G35" t="str">
            <v>INDICES!b57:e92</v>
          </cell>
        </row>
        <row r="36">
          <cell r="G36" t="str">
            <v>INDICES!b113:e144</v>
          </cell>
        </row>
      </sheetData>
      <sheetData sheetId="1"/>
      <sheetData sheetId="2"/>
      <sheetData sheetId="3"/>
      <sheetData sheetId="4">
        <row r="2">
          <cell r="B2">
            <v>114.50564794385441</v>
          </cell>
        </row>
        <row r="3">
          <cell r="B3">
            <v>0.90230450579757271</v>
          </cell>
        </row>
        <row r="7">
          <cell r="B7">
            <v>7880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et-up"/>
      <sheetName val="Summary"/>
      <sheetName val="CB_DATA_"/>
      <sheetName val="DCFROR"/>
      <sheetName val="OPEX"/>
      <sheetName val="CAPEX"/>
      <sheetName val="Operating Summaries"/>
      <sheetName val="aspen"/>
      <sheetName val="ADSizing"/>
      <sheetName val="CBalance"/>
      <sheetName val="Cost Breakdown"/>
      <sheetName val="Energy Bal"/>
      <sheetName val="aspen2"/>
      <sheetName val="aspenqw"/>
      <sheetName val="INDICES"/>
      <sheetName val="AD of protein"/>
    </sheetNames>
    <sheetDataSet>
      <sheetData sheetId="0"/>
      <sheetData sheetId="1"/>
      <sheetData sheetId="2"/>
      <sheetData sheetId="3">
        <row r="3">
          <cell r="K3">
            <v>37770.948291106499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Unit Processes"/>
      <sheetName val="TEA Op Matrix"/>
      <sheetName val="Finance Assumptions"/>
      <sheetName val="CAFO # Oper"/>
      <sheetName val="DCFROR"/>
    </sheetNames>
    <sheetDataSet>
      <sheetData sheetId="0"/>
      <sheetData sheetId="1"/>
      <sheetData sheetId="2">
        <row r="6">
          <cell r="D6">
            <v>15</v>
          </cell>
        </row>
      </sheetData>
      <sheetData sheetId="3"/>
      <sheetData sheetId="4">
        <row r="4">
          <cell r="B4">
            <v>47769407.32</v>
          </cell>
        </row>
        <row r="11">
          <cell r="K11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InputData_ResultsSummary"/>
      <sheetName val="Yield Results"/>
      <sheetName val="FinancialAnalysis"/>
      <sheetName val="Raw Data"/>
      <sheetName val="Set-up"/>
      <sheetName val="aspen"/>
      <sheetName val="OLR"/>
    </sheetNames>
    <sheetDataSet>
      <sheetData sheetId="0"/>
      <sheetData sheetId="1">
        <row r="73">
          <cell r="B73">
            <v>35</v>
          </cell>
        </row>
      </sheetData>
      <sheetData sheetId="2">
        <row r="97">
          <cell r="B97">
            <v>1142179086.7101569</v>
          </cell>
          <cell r="E97">
            <v>4612838012.6761551</v>
          </cell>
        </row>
      </sheetData>
      <sheetData sheetId="3"/>
      <sheetData sheetId="4">
        <row r="16">
          <cell r="J16" t="str">
            <v>aspen!C7:E112</v>
          </cell>
        </row>
      </sheetData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Summary"/>
      <sheetName val="Set-up"/>
      <sheetName val="CB_DATA_"/>
      <sheetName val="DCFROR"/>
      <sheetName val="OPEX"/>
      <sheetName val="CAPEX"/>
      <sheetName val="S-L Sep"/>
      <sheetName val="Operating Summaries"/>
      <sheetName val="aspen"/>
      <sheetName val="LCA"/>
      <sheetName val="Cost Breakdown"/>
      <sheetName val="Energy Bal"/>
      <sheetName val="aspen2"/>
      <sheetName val="aspenqw"/>
      <sheetName val="SUGAR"/>
      <sheetName val="PFD tables 2"/>
      <sheetName val="crystal"/>
      <sheetName val="INDICES"/>
    </sheetNames>
    <sheetDataSet>
      <sheetData sheetId="0"/>
      <sheetData sheetId="1">
        <row r="16">
          <cell r="J16" t="str">
            <v>aspen!C7:E1000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Summary"/>
      <sheetName val="Set-up"/>
      <sheetName val="CB_DATA_"/>
      <sheetName val="DCFROR"/>
      <sheetName val="OPEX"/>
      <sheetName val="CAPEX"/>
      <sheetName val="S-L Sep"/>
      <sheetName val="Operating Summaries"/>
      <sheetName val="aspen"/>
      <sheetName val="LCA"/>
      <sheetName val="Cost Breakdown"/>
      <sheetName val="Energy Bal"/>
      <sheetName val="aspen2"/>
      <sheetName val="aspenqw"/>
      <sheetName val="SUGAR"/>
      <sheetName val="PFD tables 2"/>
      <sheetName val="crystal"/>
      <sheetName val="INDICES"/>
    </sheetNames>
    <sheetDataSet>
      <sheetData sheetId="0">
        <row r="5">
          <cell r="D5">
            <v>5.349028997282038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Summary"/>
      <sheetName val="Set-up"/>
      <sheetName val="CB_DATA_"/>
      <sheetName val="DCFROR"/>
      <sheetName val="OPEX"/>
      <sheetName val="CAPEX"/>
      <sheetName val="S-L Sep"/>
      <sheetName val="Operating Summaries"/>
      <sheetName val="aspen"/>
      <sheetName val="LCA"/>
      <sheetName val="Cost Breakdown"/>
      <sheetName val="Energy Bal"/>
      <sheetName val="aspen2"/>
      <sheetName val="aspenqw"/>
      <sheetName val="SUGAR"/>
      <sheetName val="PFD tables 2"/>
      <sheetName val="crystal"/>
      <sheetName val="INDICES"/>
    </sheetNames>
    <sheetDataSet>
      <sheetData sheetId="0" refreshError="1"/>
      <sheetData sheetId="1">
        <row r="16">
          <cell r="J16" t="str">
            <v>aspen!C7:E1000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InputData_ResultsSummary"/>
      <sheetName val="Yield Results"/>
      <sheetName val="FinancialAnalysis"/>
      <sheetName val="Raw Data"/>
      <sheetName val="Set-up"/>
      <sheetName val="aspen"/>
    </sheetNames>
    <sheetDataSet>
      <sheetData sheetId="0"/>
      <sheetData sheetId="1" refreshError="1"/>
      <sheetData sheetId="2" refreshError="1"/>
      <sheetData sheetId="3" refreshError="1"/>
      <sheetData sheetId="4">
        <row r="16">
          <cell r="J16" t="str">
            <v>aspen!C7:E112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pa.gov/sites/production/files/2014-12/documents/agstar-handbook.pdf" TargetMode="External"/><Relationship Id="rId4" Type="http://schemas.openxmlformats.org/officeDocument/2006/relationships/hyperlink" Target="http://www.epa.gov/sites/production/files/2014-12/documents/agstar-handbook.pdf" TargetMode="External"/><Relationship Id="rId5" Type="http://schemas.openxmlformats.org/officeDocument/2006/relationships/hyperlink" Target="http://www3.epa.gov/climatechange/Downloads/EPAactivities/MAC_Report_2013-III_Waste.pdf" TargetMode="External"/><Relationship Id="rId1" Type="http://schemas.openxmlformats.org/officeDocument/2006/relationships/hyperlink" Target="http://www.epa.gov/sites/production/files/2014-12/documents/agstar-handbook.pdf" TargetMode="External"/><Relationship Id="rId2" Type="http://schemas.openxmlformats.org/officeDocument/2006/relationships/hyperlink" Target="http://www.epa.gov/sites/production/files/2014-12/documents/agstar-handbook.pdf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B42"/>
  <sheetViews>
    <sheetView workbookViewId="0">
      <selection activeCell="F43" sqref="F43"/>
    </sheetView>
  </sheetViews>
  <sheetFormatPr baseColWidth="10" defaultRowHeight="14" x14ac:dyDescent="0"/>
  <sheetData>
    <row r="1" spans="1:28" s="4" customFormat="1" ht="64.75" customHeight="1">
      <c r="A1" s="9" t="s">
        <v>12</v>
      </c>
      <c r="B1" s="10" t="s">
        <v>14</v>
      </c>
      <c r="C1" s="10" t="s">
        <v>759</v>
      </c>
      <c r="D1" s="10" t="s">
        <v>11</v>
      </c>
      <c r="E1" s="10" t="s">
        <v>49</v>
      </c>
      <c r="F1" s="24" t="s">
        <v>86</v>
      </c>
      <c r="G1" s="24" t="s">
        <v>87</v>
      </c>
      <c r="H1" s="24" t="s">
        <v>91</v>
      </c>
      <c r="I1" s="21" t="s">
        <v>88</v>
      </c>
      <c r="J1" s="21" t="s">
        <v>0</v>
      </c>
      <c r="K1" s="16" t="s">
        <v>98</v>
      </c>
      <c r="L1" s="68" t="s">
        <v>764</v>
      </c>
      <c r="M1" s="21" t="s">
        <v>90</v>
      </c>
      <c r="N1" s="21" t="s">
        <v>97</v>
      </c>
      <c r="O1" s="21" t="s">
        <v>89</v>
      </c>
      <c r="P1" s="16" t="s">
        <v>61</v>
      </c>
      <c r="Q1" s="16" t="s">
        <v>846</v>
      </c>
      <c r="R1" s="21" t="s">
        <v>45</v>
      </c>
      <c r="S1" s="21" t="s">
        <v>63</v>
      </c>
      <c r="T1" s="21" t="s">
        <v>62</v>
      </c>
      <c r="U1" s="16" t="s">
        <v>64</v>
      </c>
      <c r="V1" s="68" t="s">
        <v>768</v>
      </c>
      <c r="W1" s="15" t="s">
        <v>46</v>
      </c>
      <c r="X1" s="15" t="s">
        <v>47</v>
      </c>
      <c r="Y1" s="15" t="s">
        <v>48</v>
      </c>
      <c r="Z1" s="74" t="s">
        <v>765</v>
      </c>
      <c r="AA1" s="74" t="s">
        <v>766</v>
      </c>
      <c r="AB1" s="74" t="s">
        <v>767</v>
      </c>
    </row>
    <row r="2" spans="1:28" s="4" customFormat="1" ht="42">
      <c r="A2" s="25"/>
      <c r="B2" s="26"/>
      <c r="C2" s="26"/>
      <c r="D2" s="26"/>
      <c r="E2" s="26" t="s">
        <v>92</v>
      </c>
      <c r="F2" s="27" t="s">
        <v>94</v>
      </c>
      <c r="G2" s="27" t="s">
        <v>94</v>
      </c>
      <c r="H2" s="27" t="s">
        <v>93</v>
      </c>
      <c r="I2" s="28" t="s">
        <v>100</v>
      </c>
      <c r="J2" s="28" t="s">
        <v>93</v>
      </c>
      <c r="K2" s="30" t="s">
        <v>96</v>
      </c>
      <c r="L2" s="69" t="s">
        <v>93</v>
      </c>
      <c r="M2" s="27" t="s">
        <v>95</v>
      </c>
      <c r="N2" s="28" t="s">
        <v>763</v>
      </c>
      <c r="O2" s="28" t="s">
        <v>96</v>
      </c>
      <c r="P2" s="30" t="s">
        <v>93</v>
      </c>
      <c r="Q2" s="69" t="s">
        <v>845</v>
      </c>
      <c r="R2" s="31" t="s">
        <v>95</v>
      </c>
      <c r="S2" s="28" t="s">
        <v>763</v>
      </c>
      <c r="T2" s="28" t="s">
        <v>99</v>
      </c>
      <c r="U2" s="30" t="s">
        <v>93</v>
      </c>
      <c r="V2" s="69" t="s">
        <v>93</v>
      </c>
      <c r="W2" s="29" t="s">
        <v>763</v>
      </c>
      <c r="X2" s="29" t="s">
        <v>95</v>
      </c>
      <c r="Y2" s="29" t="s">
        <v>95</v>
      </c>
      <c r="Z2" s="75" t="s">
        <v>93</v>
      </c>
      <c r="AA2" s="75" t="s">
        <v>93</v>
      </c>
      <c r="AB2" s="75" t="s">
        <v>93</v>
      </c>
    </row>
    <row r="3" spans="1:28" s="34" customFormat="1">
      <c r="A3" s="33" t="s">
        <v>13</v>
      </c>
      <c r="B3" s="34" t="s">
        <v>6</v>
      </c>
      <c r="C3" s="34" t="s">
        <v>760</v>
      </c>
      <c r="D3" s="33" t="s">
        <v>3</v>
      </c>
      <c r="E3" s="33" t="s">
        <v>50</v>
      </c>
      <c r="F3" s="46">
        <v>1570</v>
      </c>
      <c r="G3" s="63">
        <v>1094800</v>
      </c>
      <c r="H3" s="63">
        <v>697.32484076433116</v>
      </c>
      <c r="I3" s="47">
        <v>690.25</v>
      </c>
      <c r="J3" s="63">
        <v>481328.4713375796</v>
      </c>
      <c r="K3" s="49">
        <v>409129.20063694264</v>
      </c>
      <c r="L3" s="70">
        <v>13184.506793043574</v>
      </c>
      <c r="M3" s="63">
        <v>732533.42499999993</v>
      </c>
      <c r="N3" s="63">
        <v>0</v>
      </c>
      <c r="O3" s="63">
        <v>0</v>
      </c>
      <c r="P3" s="66">
        <v>732533.42499999993</v>
      </c>
      <c r="Q3" s="169">
        <v>1.8520056318084397</v>
      </c>
      <c r="R3" s="48">
        <v>29301.337</v>
      </c>
      <c r="S3" s="48">
        <v>0</v>
      </c>
      <c r="T3" s="48">
        <v>0</v>
      </c>
      <c r="U3" s="49">
        <v>29301.337</v>
      </c>
      <c r="V3" s="72">
        <v>2.2224067581701279</v>
      </c>
      <c r="W3" s="50">
        <v>0</v>
      </c>
      <c r="X3" s="50">
        <v>46882.139199999998</v>
      </c>
      <c r="Y3" s="35">
        <v>38824.271524999996</v>
      </c>
      <c r="Z3" s="76">
        <v>3.5558508130722046</v>
      </c>
      <c r="AA3" s="76">
        <v>0</v>
      </c>
      <c r="AB3" s="76">
        <v>2.9446889545754193</v>
      </c>
    </row>
    <row r="4" spans="1:28" s="32" customFormat="1">
      <c r="A4" s="34" t="s">
        <v>13</v>
      </c>
      <c r="B4" s="34" t="s">
        <v>6</v>
      </c>
      <c r="C4" s="33" t="s">
        <v>760</v>
      </c>
      <c r="D4" s="33" t="s">
        <v>3</v>
      </c>
      <c r="E4" s="33" t="s">
        <v>51</v>
      </c>
      <c r="F4" s="46">
        <v>1570</v>
      </c>
      <c r="G4" s="63">
        <v>1094800</v>
      </c>
      <c r="H4" s="63">
        <v>697.32484076433116</v>
      </c>
      <c r="I4" s="47">
        <v>690.25</v>
      </c>
      <c r="J4" s="65">
        <v>481328.4713375796</v>
      </c>
      <c r="K4" s="49">
        <v>409129.20063694264</v>
      </c>
      <c r="L4" s="70">
        <v>13184.506793043574</v>
      </c>
      <c r="M4" s="65">
        <v>732533.42499999993</v>
      </c>
      <c r="N4" s="65">
        <v>132500</v>
      </c>
      <c r="O4" s="63">
        <v>0</v>
      </c>
      <c r="P4" s="66">
        <v>865033.42499999993</v>
      </c>
      <c r="Q4" s="169">
        <v>2.1869947774772784</v>
      </c>
      <c r="R4" s="55">
        <v>38766.337</v>
      </c>
      <c r="S4" s="48">
        <v>9465</v>
      </c>
      <c r="T4" s="48">
        <v>0</v>
      </c>
      <c r="U4" s="49">
        <v>48231.337</v>
      </c>
      <c r="V4" s="72">
        <v>3.658182877606607</v>
      </c>
      <c r="W4" s="56">
        <v>22708.536174999997</v>
      </c>
      <c r="X4" s="50">
        <v>46882.139199999998</v>
      </c>
      <c r="Y4" s="35">
        <v>38824.271524999996</v>
      </c>
      <c r="Z4" s="76">
        <v>3.5558508130722046</v>
      </c>
      <c r="AA4" s="76">
        <v>1.722365237581849</v>
      </c>
      <c r="AB4" s="76">
        <v>2.9446889545754193</v>
      </c>
    </row>
    <row r="5" spans="1:28" s="32" customFormat="1">
      <c r="A5" s="34" t="s">
        <v>13</v>
      </c>
      <c r="B5" s="34" t="s">
        <v>6</v>
      </c>
      <c r="C5" s="33" t="s">
        <v>760</v>
      </c>
      <c r="D5" s="33" t="s">
        <v>3</v>
      </c>
      <c r="E5" s="33" t="s">
        <v>52</v>
      </c>
      <c r="F5" s="46">
        <v>1570</v>
      </c>
      <c r="G5" s="63">
        <v>1094800</v>
      </c>
      <c r="H5" s="63">
        <v>697.32484076433116</v>
      </c>
      <c r="I5" s="47">
        <v>690.25</v>
      </c>
      <c r="J5" s="63">
        <v>481328.4713375796</v>
      </c>
      <c r="K5" s="49">
        <v>409129.20063694264</v>
      </c>
      <c r="L5" s="70">
        <v>13184.506793043574</v>
      </c>
      <c r="M5" s="63">
        <v>732533.42499999993</v>
      </c>
      <c r="N5" s="63">
        <v>132500</v>
      </c>
      <c r="O5" s="63">
        <v>900000</v>
      </c>
      <c r="P5" s="66">
        <v>1765033.4249999998</v>
      </c>
      <c r="Q5" s="169">
        <v>4.4623927480580692</v>
      </c>
      <c r="R5" s="48">
        <v>47914.758354885045</v>
      </c>
      <c r="S5" s="48">
        <v>9465</v>
      </c>
      <c r="T5" s="48">
        <v>17195.0507784</v>
      </c>
      <c r="U5" s="49">
        <v>74574.809133285045</v>
      </c>
      <c r="V5" s="72">
        <v>5.6562456452775542</v>
      </c>
      <c r="W5" s="50">
        <v>22708.536174999997</v>
      </c>
      <c r="X5" s="50">
        <v>46882.139199999998</v>
      </c>
      <c r="Y5" s="35">
        <v>38824.271524999996</v>
      </c>
      <c r="Z5" s="76">
        <v>3.5558508130722046</v>
      </c>
      <c r="AA5" s="76">
        <v>1.722365237581849</v>
      </c>
      <c r="AB5" s="76">
        <v>2.9446889545754193</v>
      </c>
    </row>
    <row r="6" spans="1:28">
      <c r="A6" s="379" t="s">
        <v>13</v>
      </c>
      <c r="B6" s="379" t="s">
        <v>7</v>
      </c>
      <c r="C6" s="379" t="s">
        <v>761</v>
      </c>
      <c r="D6" s="379" t="s">
        <v>3</v>
      </c>
      <c r="E6" s="379" t="s">
        <v>50</v>
      </c>
      <c r="F6" s="380">
        <v>950</v>
      </c>
      <c r="G6" s="381">
        <v>1288000</v>
      </c>
      <c r="H6" s="381">
        <v>1355.7894736842106</v>
      </c>
      <c r="I6" s="382">
        <v>690.25</v>
      </c>
      <c r="J6" s="381">
        <v>935833.68421052641</v>
      </c>
      <c r="K6" s="383">
        <v>795458.63157894742</v>
      </c>
      <c r="L6" s="384">
        <v>25634.273269446952</v>
      </c>
      <c r="M6" s="381">
        <v>1113567.8839999998</v>
      </c>
      <c r="N6" s="381">
        <v>0</v>
      </c>
      <c r="O6" s="381">
        <v>0</v>
      </c>
      <c r="P6" s="385">
        <v>1113567.8839999998</v>
      </c>
      <c r="Q6" s="386">
        <v>1.4480195742825319</v>
      </c>
      <c r="R6" s="387">
        <v>44542.715359999995</v>
      </c>
      <c r="S6" s="387">
        <v>0</v>
      </c>
      <c r="T6" s="387">
        <v>0</v>
      </c>
      <c r="U6" s="383">
        <v>44542.715359999995</v>
      </c>
      <c r="V6" s="386">
        <v>1.7376234891390383</v>
      </c>
      <c r="W6" s="388">
        <v>0</v>
      </c>
      <c r="X6" s="388">
        <v>71268.344575999989</v>
      </c>
      <c r="Y6" s="389">
        <v>59019.097851999992</v>
      </c>
      <c r="Z6" s="390">
        <v>2.7801975826224612</v>
      </c>
      <c r="AA6" s="390">
        <v>0</v>
      </c>
      <c r="AB6" s="390">
        <v>2.3023511231092257</v>
      </c>
    </row>
    <row r="7" spans="1:28">
      <c r="A7" s="379" t="s">
        <v>13</v>
      </c>
      <c r="B7" s="379" t="s">
        <v>7</v>
      </c>
      <c r="C7" s="379" t="s">
        <v>761</v>
      </c>
      <c r="D7" s="379" t="s">
        <v>3</v>
      </c>
      <c r="E7" s="379" t="s">
        <v>51</v>
      </c>
      <c r="F7" s="380">
        <v>950</v>
      </c>
      <c r="G7" s="381">
        <v>1288000</v>
      </c>
      <c r="H7" s="381">
        <v>1355.7894736842106</v>
      </c>
      <c r="I7" s="382">
        <v>690.25</v>
      </c>
      <c r="J7" s="381">
        <v>935833.68421052641</v>
      </c>
      <c r="K7" s="383">
        <v>795458.63157894742</v>
      </c>
      <c r="L7" s="384">
        <v>25634.273269446952</v>
      </c>
      <c r="M7" s="381">
        <v>1113567.8839999998</v>
      </c>
      <c r="N7" s="381">
        <v>132500</v>
      </c>
      <c r="O7" s="381">
        <v>0</v>
      </c>
      <c r="P7" s="385">
        <v>1246067.8839999998</v>
      </c>
      <c r="Q7" s="386">
        <v>1.6203149469752625</v>
      </c>
      <c r="R7" s="387">
        <v>54007.715359999995</v>
      </c>
      <c r="S7" s="387">
        <v>9465</v>
      </c>
      <c r="T7" s="387">
        <v>0</v>
      </c>
      <c r="U7" s="383">
        <v>63472.715359999995</v>
      </c>
      <c r="V7" s="386">
        <v>2.476087958212259</v>
      </c>
      <c r="W7" s="388">
        <v>34520.604403999998</v>
      </c>
      <c r="X7" s="388">
        <v>71268.344575999989</v>
      </c>
      <c r="Y7" s="389">
        <v>59019.097851999992</v>
      </c>
      <c r="Z7" s="390">
        <v>2.7801975826224612</v>
      </c>
      <c r="AA7" s="390">
        <v>1.3466582040827546</v>
      </c>
      <c r="AB7" s="390">
        <v>2.3023511231092257</v>
      </c>
    </row>
    <row r="8" spans="1:28">
      <c r="A8" s="379" t="s">
        <v>13</v>
      </c>
      <c r="B8" s="379" t="s">
        <v>7</v>
      </c>
      <c r="C8" s="379" t="s">
        <v>761</v>
      </c>
      <c r="D8" s="379" t="s">
        <v>3</v>
      </c>
      <c r="E8" s="379" t="s">
        <v>52</v>
      </c>
      <c r="F8" s="380">
        <v>950</v>
      </c>
      <c r="G8" s="381">
        <v>1288000</v>
      </c>
      <c r="H8" s="381">
        <v>1355.7894736842106</v>
      </c>
      <c r="I8" s="382">
        <v>690.25</v>
      </c>
      <c r="J8" s="381">
        <v>935833.68421052641</v>
      </c>
      <c r="K8" s="383">
        <v>795458.63157894742</v>
      </c>
      <c r="L8" s="384">
        <v>25634.273269446952</v>
      </c>
      <c r="M8" s="381">
        <v>1113567.8839999998</v>
      </c>
      <c r="N8" s="381">
        <v>132500</v>
      </c>
      <c r="O8" s="381">
        <v>900000</v>
      </c>
      <c r="P8" s="385">
        <v>2146067.8839999996</v>
      </c>
      <c r="Q8" s="386">
        <v>2.7906231388504144</v>
      </c>
      <c r="R8" s="387">
        <v>80732.277622748632</v>
      </c>
      <c r="S8" s="387">
        <v>9465</v>
      </c>
      <c r="T8" s="387">
        <v>33452.638243199995</v>
      </c>
      <c r="U8" s="383">
        <v>123649.91586594863</v>
      </c>
      <c r="V8" s="386">
        <v>4.823616982086433</v>
      </c>
      <c r="W8" s="388">
        <v>34520.604403999998</v>
      </c>
      <c r="X8" s="388">
        <v>71268.344575999989</v>
      </c>
      <c r="Y8" s="389">
        <v>59019.097851999992</v>
      </c>
      <c r="Z8" s="390">
        <v>2.7801975826224612</v>
      </c>
      <c r="AA8" s="390">
        <v>1.3466582040827546</v>
      </c>
      <c r="AB8" s="390">
        <v>2.3023511231092257</v>
      </c>
    </row>
    <row r="9" spans="1:28">
      <c r="A9" s="379" t="s">
        <v>13</v>
      </c>
      <c r="B9" s="379" t="s">
        <v>8</v>
      </c>
      <c r="C9" s="379" t="s">
        <v>762</v>
      </c>
      <c r="D9" s="379" t="s">
        <v>3</v>
      </c>
      <c r="E9" s="379" t="s">
        <v>50</v>
      </c>
      <c r="F9" s="380">
        <v>780</v>
      </c>
      <c r="G9" s="381">
        <v>2999200</v>
      </c>
      <c r="H9" s="381">
        <v>3845.1282051282051</v>
      </c>
      <c r="I9" s="382">
        <v>690.25</v>
      </c>
      <c r="J9" s="381">
        <v>2654099.7435897435</v>
      </c>
      <c r="K9" s="383">
        <v>2255984.782051282</v>
      </c>
      <c r="L9" s="384">
        <v>72700.864757763004</v>
      </c>
      <c r="M9" s="381">
        <v>2552710.173</v>
      </c>
      <c r="N9" s="381">
        <v>0</v>
      </c>
      <c r="O9" s="381">
        <v>0</v>
      </c>
      <c r="P9" s="385">
        <v>2552710.173</v>
      </c>
      <c r="Q9" s="386">
        <v>1.1704171523064868</v>
      </c>
      <c r="R9" s="387">
        <v>102108.40691999999</v>
      </c>
      <c r="S9" s="387">
        <v>0</v>
      </c>
      <c r="T9" s="387">
        <v>0</v>
      </c>
      <c r="U9" s="383">
        <v>102108.40691999999</v>
      </c>
      <c r="V9" s="386">
        <v>1.4045005827677841</v>
      </c>
      <c r="W9" s="388">
        <v>0</v>
      </c>
      <c r="X9" s="388">
        <v>163373.451072</v>
      </c>
      <c r="Y9" s="389">
        <v>135293.639169</v>
      </c>
      <c r="Z9" s="390">
        <v>2.2472009324284548</v>
      </c>
      <c r="AA9" s="390">
        <v>0</v>
      </c>
      <c r="AB9" s="390">
        <v>1.8609632721673139</v>
      </c>
    </row>
    <row r="10" spans="1:28">
      <c r="A10" s="379" t="s">
        <v>13</v>
      </c>
      <c r="B10" s="379" t="s">
        <v>8</v>
      </c>
      <c r="C10" s="379" t="s">
        <v>762</v>
      </c>
      <c r="D10" s="379" t="s">
        <v>3</v>
      </c>
      <c r="E10" s="379" t="s">
        <v>51</v>
      </c>
      <c r="F10" s="380">
        <v>780</v>
      </c>
      <c r="G10" s="381">
        <v>2999200</v>
      </c>
      <c r="H10" s="381">
        <v>3845.1282051282051</v>
      </c>
      <c r="I10" s="382">
        <v>690.25</v>
      </c>
      <c r="J10" s="381">
        <v>2654099.7435897435</v>
      </c>
      <c r="K10" s="383">
        <v>2255984.782051282</v>
      </c>
      <c r="L10" s="384">
        <v>72700.864757763004</v>
      </c>
      <c r="M10" s="381">
        <v>2552710.173</v>
      </c>
      <c r="N10" s="381">
        <v>200000</v>
      </c>
      <c r="O10" s="381">
        <v>0</v>
      </c>
      <c r="P10" s="385">
        <v>2752710.173</v>
      </c>
      <c r="Q10" s="386">
        <v>1.2621171161085654</v>
      </c>
      <c r="R10" s="387">
        <v>118508.40691999999</v>
      </c>
      <c r="S10" s="387">
        <v>16400</v>
      </c>
      <c r="T10" s="387">
        <v>0</v>
      </c>
      <c r="U10" s="383">
        <v>134908.40691999998</v>
      </c>
      <c r="V10" s="386">
        <v>1.8556644046740098</v>
      </c>
      <c r="W10" s="388">
        <v>79134.015362999999</v>
      </c>
      <c r="X10" s="388">
        <v>163373.451072</v>
      </c>
      <c r="Y10" s="389">
        <v>135293.639169</v>
      </c>
      <c r="Z10" s="390">
        <v>2.2472009324284548</v>
      </c>
      <c r="AA10" s="390">
        <v>1.0884879516450328</v>
      </c>
      <c r="AB10" s="390">
        <v>1.8609632721673139</v>
      </c>
    </row>
    <row r="11" spans="1:28">
      <c r="A11" s="391" t="s">
        <v>13</v>
      </c>
      <c r="B11" s="391" t="s">
        <v>8</v>
      </c>
      <c r="C11" s="391" t="s">
        <v>762</v>
      </c>
      <c r="D11" s="391" t="s">
        <v>3</v>
      </c>
      <c r="E11" s="391" t="s">
        <v>52</v>
      </c>
      <c r="F11" s="392">
        <v>780</v>
      </c>
      <c r="G11" s="393">
        <v>2999200</v>
      </c>
      <c r="H11" s="393">
        <v>3845.1282051282051</v>
      </c>
      <c r="I11" s="394">
        <v>690.25</v>
      </c>
      <c r="J11" s="393">
        <v>2654099.7435897435</v>
      </c>
      <c r="K11" s="395">
        <v>2255984.782051282</v>
      </c>
      <c r="L11" s="396">
        <v>72700.864757763004</v>
      </c>
      <c r="M11" s="393">
        <v>2552710.173</v>
      </c>
      <c r="N11" s="393">
        <v>200000</v>
      </c>
      <c r="O11" s="393">
        <v>900000</v>
      </c>
      <c r="P11" s="397">
        <v>3652710.173</v>
      </c>
      <c r="Q11" s="398">
        <v>1.6747669532179181</v>
      </c>
      <c r="R11" s="399">
        <v>204744.92187213601</v>
      </c>
      <c r="S11" s="399">
        <v>16400</v>
      </c>
      <c r="T11" s="399">
        <v>94856.485284000009</v>
      </c>
      <c r="U11" s="395">
        <v>316001.407156136</v>
      </c>
      <c r="V11" s="398">
        <v>4.3465976396435275</v>
      </c>
      <c r="W11" s="400">
        <v>79134.015362999999</v>
      </c>
      <c r="X11" s="400">
        <v>163373.451072</v>
      </c>
      <c r="Y11" s="401">
        <v>135293.639169</v>
      </c>
      <c r="Z11" s="390">
        <v>2.2472009324284548</v>
      </c>
      <c r="AA11" s="390">
        <v>1.0884879516450328</v>
      </c>
      <c r="AB11" s="390">
        <v>1.8609632721673139</v>
      </c>
    </row>
    <row r="12" spans="1:28">
      <c r="A12" s="379" t="s">
        <v>15</v>
      </c>
      <c r="B12" s="379" t="s">
        <v>6</v>
      </c>
      <c r="C12" s="379" t="s">
        <v>760</v>
      </c>
      <c r="D12" s="379" t="s">
        <v>4</v>
      </c>
      <c r="E12" s="379" t="s">
        <v>50</v>
      </c>
      <c r="F12" s="380">
        <v>2300</v>
      </c>
      <c r="G12" s="381">
        <v>1713400</v>
      </c>
      <c r="H12" s="381">
        <v>745</v>
      </c>
      <c r="I12" s="382">
        <v>247</v>
      </c>
      <c r="J12" s="381">
        <v>184220</v>
      </c>
      <c r="K12" s="383">
        <v>156587</v>
      </c>
      <c r="L12" s="384">
        <v>5046</v>
      </c>
      <c r="M12" s="381">
        <v>729400</v>
      </c>
      <c r="N12" s="381" t="s">
        <v>1129</v>
      </c>
      <c r="O12" s="381" t="s">
        <v>1129</v>
      </c>
      <c r="P12" s="385">
        <v>729400</v>
      </c>
      <c r="Q12" s="386">
        <v>4.82</v>
      </c>
      <c r="R12" s="387">
        <v>29176</v>
      </c>
      <c r="S12" s="387">
        <v>0</v>
      </c>
      <c r="T12" s="387">
        <v>0</v>
      </c>
      <c r="U12" s="383">
        <v>29176</v>
      </c>
      <c r="V12" s="386">
        <v>5.78</v>
      </c>
      <c r="W12" s="388">
        <v>0</v>
      </c>
      <c r="X12" s="388">
        <v>0</v>
      </c>
      <c r="Y12" s="389">
        <v>38658</v>
      </c>
      <c r="Z12" s="390">
        <v>0</v>
      </c>
      <c r="AA12" s="390">
        <v>0</v>
      </c>
      <c r="AB12" s="390">
        <v>7.66</v>
      </c>
    </row>
    <row r="13" spans="1:28">
      <c r="A13" s="379" t="s">
        <v>15</v>
      </c>
      <c r="B13" s="379" t="s">
        <v>6</v>
      </c>
      <c r="C13" s="379" t="s">
        <v>760</v>
      </c>
      <c r="D13" s="379" t="s">
        <v>4</v>
      </c>
      <c r="E13" s="379" t="s">
        <v>51</v>
      </c>
      <c r="F13" s="380">
        <v>2300</v>
      </c>
      <c r="G13" s="381">
        <v>1713400</v>
      </c>
      <c r="H13" s="381">
        <v>745</v>
      </c>
      <c r="I13" s="382">
        <v>247</v>
      </c>
      <c r="J13" s="381">
        <v>184220</v>
      </c>
      <c r="K13" s="383">
        <v>156587</v>
      </c>
      <c r="L13" s="384">
        <v>5046</v>
      </c>
      <c r="M13" s="381">
        <v>729400</v>
      </c>
      <c r="N13" s="381">
        <v>132500</v>
      </c>
      <c r="O13" s="381" t="s">
        <v>1129</v>
      </c>
      <c r="P13" s="385">
        <v>861900</v>
      </c>
      <c r="Q13" s="386">
        <v>5.69</v>
      </c>
      <c r="R13" s="387">
        <v>29176</v>
      </c>
      <c r="S13" s="387">
        <v>9465</v>
      </c>
      <c r="T13" s="387">
        <v>0</v>
      </c>
      <c r="U13" s="383">
        <v>38641</v>
      </c>
      <c r="V13" s="386">
        <v>7.66</v>
      </c>
      <c r="W13" s="388">
        <v>22611</v>
      </c>
      <c r="X13" s="388">
        <v>0</v>
      </c>
      <c r="Y13" s="389">
        <v>38658</v>
      </c>
      <c r="Z13" s="390">
        <v>0</v>
      </c>
      <c r="AA13" s="390">
        <v>4.4800000000000004</v>
      </c>
      <c r="AB13" s="390">
        <v>7.66</v>
      </c>
    </row>
    <row r="14" spans="1:28">
      <c r="A14" s="379" t="s">
        <v>15</v>
      </c>
      <c r="B14" s="379" t="s">
        <v>6</v>
      </c>
      <c r="C14" s="379" t="s">
        <v>760</v>
      </c>
      <c r="D14" s="379" t="s">
        <v>4</v>
      </c>
      <c r="E14" s="379" t="s">
        <v>52</v>
      </c>
      <c r="F14" s="380">
        <v>2300</v>
      </c>
      <c r="G14" s="381">
        <v>1713400</v>
      </c>
      <c r="H14" s="381">
        <v>745</v>
      </c>
      <c r="I14" s="382">
        <v>247</v>
      </c>
      <c r="J14" s="381">
        <v>184220</v>
      </c>
      <c r="K14" s="383">
        <v>156587</v>
      </c>
      <c r="L14" s="384">
        <v>5046</v>
      </c>
      <c r="M14" s="381">
        <v>729400</v>
      </c>
      <c r="N14" s="381">
        <v>132500</v>
      </c>
      <c r="O14" s="381">
        <v>900000</v>
      </c>
      <c r="P14" s="385">
        <v>1761900</v>
      </c>
      <c r="Q14" s="386">
        <v>11.64</v>
      </c>
      <c r="R14" s="399">
        <v>29176</v>
      </c>
      <c r="S14" s="387">
        <v>9465</v>
      </c>
      <c r="T14" s="387">
        <v>6664</v>
      </c>
      <c r="U14" s="383">
        <v>45305</v>
      </c>
      <c r="V14" s="386">
        <v>8.98</v>
      </c>
      <c r="W14" s="388">
        <v>22611</v>
      </c>
      <c r="X14" s="388">
        <v>0</v>
      </c>
      <c r="Y14" s="389">
        <v>38658</v>
      </c>
      <c r="Z14" s="390">
        <v>0</v>
      </c>
      <c r="AA14" s="390">
        <v>4.4800000000000004</v>
      </c>
      <c r="AB14" s="390">
        <v>7.66</v>
      </c>
    </row>
    <row r="15" spans="1:28">
      <c r="A15" s="379" t="s">
        <v>15</v>
      </c>
      <c r="B15" s="379" t="s">
        <v>7</v>
      </c>
      <c r="C15" s="379" t="s">
        <v>761</v>
      </c>
      <c r="D15" s="379" t="s">
        <v>4</v>
      </c>
      <c r="E15" s="379" t="s">
        <v>50</v>
      </c>
      <c r="F15" s="380">
        <v>3300</v>
      </c>
      <c r="G15" s="381">
        <v>4810700</v>
      </c>
      <c r="H15" s="381">
        <v>1458</v>
      </c>
      <c r="I15" s="382">
        <v>247</v>
      </c>
      <c r="J15" s="381">
        <v>360496</v>
      </c>
      <c r="K15" s="383">
        <v>306422</v>
      </c>
      <c r="L15" s="384">
        <v>9875</v>
      </c>
      <c r="M15" s="381">
        <v>867689</v>
      </c>
      <c r="N15" s="381" t="s">
        <v>1129</v>
      </c>
      <c r="O15" s="381" t="s">
        <v>1129</v>
      </c>
      <c r="P15" s="385">
        <v>867689</v>
      </c>
      <c r="Q15" s="386">
        <v>2.93</v>
      </c>
      <c r="R15" s="387">
        <v>34708</v>
      </c>
      <c r="S15" s="387">
        <v>0</v>
      </c>
      <c r="T15" s="387">
        <v>0</v>
      </c>
      <c r="U15" s="383">
        <v>34708</v>
      </c>
      <c r="V15" s="386">
        <v>3.51</v>
      </c>
      <c r="W15" s="388">
        <v>0</v>
      </c>
      <c r="X15" s="388">
        <v>0</v>
      </c>
      <c r="Y15" s="389">
        <v>45988</v>
      </c>
      <c r="Z15" s="390">
        <v>0</v>
      </c>
      <c r="AA15" s="390">
        <v>0</v>
      </c>
      <c r="AB15" s="390">
        <v>4.66</v>
      </c>
    </row>
    <row r="16" spans="1:28">
      <c r="A16" s="379" t="s">
        <v>15</v>
      </c>
      <c r="B16" s="379" t="s">
        <v>7</v>
      </c>
      <c r="C16" s="379" t="s">
        <v>761</v>
      </c>
      <c r="D16" s="379" t="s">
        <v>4</v>
      </c>
      <c r="E16" s="379" t="s">
        <v>51</v>
      </c>
      <c r="F16" s="380">
        <v>3300</v>
      </c>
      <c r="G16" s="381">
        <v>4810700</v>
      </c>
      <c r="H16" s="381">
        <v>1458</v>
      </c>
      <c r="I16" s="382">
        <v>247</v>
      </c>
      <c r="J16" s="381">
        <v>360496</v>
      </c>
      <c r="K16" s="383">
        <v>306422</v>
      </c>
      <c r="L16" s="384">
        <v>9875</v>
      </c>
      <c r="M16" s="381">
        <v>867689</v>
      </c>
      <c r="N16" s="381">
        <v>132500</v>
      </c>
      <c r="O16" s="381" t="s">
        <v>1129</v>
      </c>
      <c r="P16" s="385">
        <v>1000189</v>
      </c>
      <c r="Q16" s="386">
        <v>3.38</v>
      </c>
      <c r="R16" s="387">
        <v>34708</v>
      </c>
      <c r="S16" s="387">
        <v>9465</v>
      </c>
      <c r="T16" s="387">
        <v>0</v>
      </c>
      <c r="U16" s="383">
        <v>44173</v>
      </c>
      <c r="V16" s="386">
        <v>4.47</v>
      </c>
      <c r="W16" s="388">
        <v>26898</v>
      </c>
      <c r="X16" s="388">
        <v>0</v>
      </c>
      <c r="Y16" s="389">
        <v>45988</v>
      </c>
      <c r="Z16" s="390">
        <v>0</v>
      </c>
      <c r="AA16" s="390">
        <v>2.72</v>
      </c>
      <c r="AB16" s="390">
        <v>4.66</v>
      </c>
    </row>
    <row r="17" spans="1:28">
      <c r="A17" s="379" t="s">
        <v>15</v>
      </c>
      <c r="B17" s="379" t="s">
        <v>7</v>
      </c>
      <c r="C17" s="379" t="s">
        <v>761</v>
      </c>
      <c r="D17" s="379" t="s">
        <v>4</v>
      </c>
      <c r="E17" s="379" t="s">
        <v>52</v>
      </c>
      <c r="F17" s="380">
        <v>3300</v>
      </c>
      <c r="G17" s="381">
        <v>4810700</v>
      </c>
      <c r="H17" s="381">
        <v>1458</v>
      </c>
      <c r="I17" s="382">
        <v>247</v>
      </c>
      <c r="J17" s="381">
        <v>360496</v>
      </c>
      <c r="K17" s="383">
        <v>306422</v>
      </c>
      <c r="L17" s="384">
        <v>9875</v>
      </c>
      <c r="M17" s="381">
        <v>867689</v>
      </c>
      <c r="N17" s="381">
        <v>132500</v>
      </c>
      <c r="O17" s="381">
        <v>900000</v>
      </c>
      <c r="P17" s="385">
        <v>1900189</v>
      </c>
      <c r="Q17" s="386">
        <v>6.41</v>
      </c>
      <c r="R17" s="387">
        <v>34708</v>
      </c>
      <c r="S17" s="387">
        <v>9465</v>
      </c>
      <c r="T17" s="387">
        <v>12886</v>
      </c>
      <c r="U17" s="383">
        <v>57059</v>
      </c>
      <c r="V17" s="386">
        <v>5.78</v>
      </c>
      <c r="W17" s="388">
        <v>26898</v>
      </c>
      <c r="X17" s="388">
        <v>0</v>
      </c>
      <c r="Y17" s="389">
        <v>45988</v>
      </c>
      <c r="Z17" s="390">
        <v>0</v>
      </c>
      <c r="AA17" s="390">
        <v>2.72</v>
      </c>
      <c r="AB17" s="390">
        <v>4.66</v>
      </c>
    </row>
    <row r="18" spans="1:28">
      <c r="A18" s="379" t="s">
        <v>15</v>
      </c>
      <c r="B18" s="379" t="s">
        <v>8</v>
      </c>
      <c r="C18" s="379" t="s">
        <v>762</v>
      </c>
      <c r="D18" s="379" t="s">
        <v>4</v>
      </c>
      <c r="E18" s="379" t="s">
        <v>50</v>
      </c>
      <c r="F18" s="380">
        <v>9000</v>
      </c>
      <c r="G18" s="381">
        <v>57596600</v>
      </c>
      <c r="H18" s="381">
        <v>6400</v>
      </c>
      <c r="I18" s="382">
        <v>247</v>
      </c>
      <c r="J18" s="381">
        <v>1582563</v>
      </c>
      <c r="K18" s="383">
        <v>1345178</v>
      </c>
      <c r="L18" s="384">
        <v>43349</v>
      </c>
      <c r="M18" s="381">
        <v>2084993</v>
      </c>
      <c r="N18" s="381" t="s">
        <v>1129</v>
      </c>
      <c r="O18" s="381" t="s">
        <v>1129</v>
      </c>
      <c r="P18" s="385">
        <v>2084993</v>
      </c>
      <c r="Q18" s="386">
        <v>1.6</v>
      </c>
      <c r="R18" s="387">
        <v>83400</v>
      </c>
      <c r="S18" s="387">
        <v>0</v>
      </c>
      <c r="T18" s="387">
        <v>0</v>
      </c>
      <c r="U18" s="383">
        <v>83400</v>
      </c>
      <c r="V18" s="386">
        <v>1.92</v>
      </c>
      <c r="W18" s="388">
        <v>0</v>
      </c>
      <c r="X18" s="388">
        <v>0</v>
      </c>
      <c r="Y18" s="389">
        <v>110505</v>
      </c>
      <c r="Z18" s="390">
        <v>0</v>
      </c>
      <c r="AA18" s="390">
        <v>0</v>
      </c>
      <c r="AB18" s="390">
        <v>2.5499999999999998</v>
      </c>
    </row>
    <row r="19" spans="1:28">
      <c r="A19" s="379" t="s">
        <v>15</v>
      </c>
      <c r="B19" s="379" t="s">
        <v>8</v>
      </c>
      <c r="C19" s="379" t="s">
        <v>762</v>
      </c>
      <c r="D19" s="379" t="s">
        <v>4</v>
      </c>
      <c r="E19" s="379" t="s">
        <v>51</v>
      </c>
      <c r="F19" s="380">
        <v>9000</v>
      </c>
      <c r="G19" s="381">
        <v>57596600</v>
      </c>
      <c r="H19" s="381">
        <v>6400</v>
      </c>
      <c r="I19" s="382">
        <v>247</v>
      </c>
      <c r="J19" s="381">
        <v>1582563</v>
      </c>
      <c r="K19" s="383">
        <v>1345178</v>
      </c>
      <c r="L19" s="384">
        <v>43349</v>
      </c>
      <c r="M19" s="381">
        <v>2084993</v>
      </c>
      <c r="N19" s="381">
        <v>200000</v>
      </c>
      <c r="O19" s="381" t="s">
        <v>1129</v>
      </c>
      <c r="P19" s="385">
        <v>2284993</v>
      </c>
      <c r="Q19" s="386">
        <v>1.76</v>
      </c>
      <c r="R19" s="387">
        <v>83400</v>
      </c>
      <c r="S19" s="387">
        <v>16400</v>
      </c>
      <c r="T19" s="387">
        <v>0</v>
      </c>
      <c r="U19" s="383">
        <v>99800</v>
      </c>
      <c r="V19" s="386">
        <v>2.2999999999999998</v>
      </c>
      <c r="W19" s="388">
        <v>64635</v>
      </c>
      <c r="X19" s="388">
        <v>0</v>
      </c>
      <c r="Y19" s="389">
        <v>110505</v>
      </c>
      <c r="Z19" s="390">
        <v>0</v>
      </c>
      <c r="AA19" s="390">
        <v>1.49</v>
      </c>
      <c r="AB19" s="390">
        <v>2.5499999999999998</v>
      </c>
    </row>
    <row r="20" spans="1:28">
      <c r="A20" s="391" t="s">
        <v>15</v>
      </c>
      <c r="B20" s="391" t="s">
        <v>8</v>
      </c>
      <c r="C20" s="391" t="s">
        <v>762</v>
      </c>
      <c r="D20" s="391" t="s">
        <v>4</v>
      </c>
      <c r="E20" s="391" t="s">
        <v>52</v>
      </c>
      <c r="F20" s="392">
        <v>9000</v>
      </c>
      <c r="G20" s="393">
        <v>57596600</v>
      </c>
      <c r="H20" s="393">
        <v>6400</v>
      </c>
      <c r="I20" s="394">
        <v>247</v>
      </c>
      <c r="J20" s="393">
        <v>1582563</v>
      </c>
      <c r="K20" s="395">
        <v>1345178</v>
      </c>
      <c r="L20" s="396">
        <v>43349</v>
      </c>
      <c r="M20" s="393">
        <v>2084993</v>
      </c>
      <c r="N20" s="393">
        <v>200000</v>
      </c>
      <c r="O20" s="393">
        <v>900000</v>
      </c>
      <c r="P20" s="397">
        <v>3184993</v>
      </c>
      <c r="Q20" s="398">
        <v>2.4500000000000002</v>
      </c>
      <c r="R20" s="399">
        <v>83400</v>
      </c>
      <c r="S20" s="399">
        <v>16400</v>
      </c>
      <c r="T20" s="399">
        <v>67658</v>
      </c>
      <c r="U20" s="395">
        <v>167457</v>
      </c>
      <c r="V20" s="398">
        <v>3.86</v>
      </c>
      <c r="W20" s="400">
        <v>64635</v>
      </c>
      <c r="X20" s="400">
        <v>0</v>
      </c>
      <c r="Y20" s="401">
        <v>110505</v>
      </c>
      <c r="Z20" s="390">
        <v>0</v>
      </c>
      <c r="AA20" s="390">
        <v>1.49</v>
      </c>
      <c r="AB20" s="390">
        <v>2.5499999999999998</v>
      </c>
    </row>
    <row r="21" spans="1:28">
      <c r="A21" s="379" t="s">
        <v>16</v>
      </c>
      <c r="B21" s="379" t="s">
        <v>6</v>
      </c>
      <c r="C21" s="379" t="s">
        <v>760</v>
      </c>
      <c r="D21" s="379" t="s">
        <v>4</v>
      </c>
      <c r="E21" s="379" t="s">
        <v>50</v>
      </c>
      <c r="F21" s="380">
        <v>4230</v>
      </c>
      <c r="G21" s="381">
        <v>2637000</v>
      </c>
      <c r="H21" s="381">
        <v>623</v>
      </c>
      <c r="I21" s="382">
        <v>136</v>
      </c>
      <c r="J21" s="381">
        <v>84783</v>
      </c>
      <c r="K21" s="383">
        <v>72066</v>
      </c>
      <c r="L21" s="384">
        <v>2322</v>
      </c>
      <c r="M21" s="381">
        <v>703667</v>
      </c>
      <c r="N21" s="381" t="s">
        <v>1129</v>
      </c>
      <c r="O21" s="381" t="s">
        <v>1129</v>
      </c>
      <c r="P21" s="385">
        <v>703667</v>
      </c>
      <c r="Q21" s="386">
        <v>10.1</v>
      </c>
      <c r="R21" s="387">
        <v>28147</v>
      </c>
      <c r="S21" s="387">
        <v>0</v>
      </c>
      <c r="T21" s="387">
        <v>0</v>
      </c>
      <c r="U21" s="383">
        <v>28147</v>
      </c>
      <c r="V21" s="386">
        <v>12.12</v>
      </c>
      <c r="W21" s="388">
        <v>0</v>
      </c>
      <c r="X21" s="388">
        <v>45035</v>
      </c>
      <c r="Y21" s="389">
        <v>37294</v>
      </c>
      <c r="Z21" s="390">
        <v>19.39</v>
      </c>
      <c r="AA21" s="390">
        <v>0</v>
      </c>
      <c r="AB21" s="390">
        <v>16.059999999999999</v>
      </c>
    </row>
    <row r="22" spans="1:28">
      <c r="A22" s="379" t="s">
        <v>16</v>
      </c>
      <c r="B22" s="379" t="s">
        <v>6</v>
      </c>
      <c r="C22" s="379" t="s">
        <v>760</v>
      </c>
      <c r="D22" s="379" t="s">
        <v>4</v>
      </c>
      <c r="E22" s="379" t="s">
        <v>51</v>
      </c>
      <c r="F22" s="380">
        <v>4230</v>
      </c>
      <c r="G22" s="381">
        <v>2637000</v>
      </c>
      <c r="H22" s="381">
        <v>623</v>
      </c>
      <c r="I22" s="382">
        <v>136</v>
      </c>
      <c r="J22" s="381">
        <v>84783</v>
      </c>
      <c r="K22" s="383">
        <v>72066</v>
      </c>
      <c r="L22" s="384">
        <v>2322</v>
      </c>
      <c r="M22" s="381">
        <v>703667</v>
      </c>
      <c r="N22" s="381">
        <v>132500</v>
      </c>
      <c r="O22" s="381" t="s">
        <v>1129</v>
      </c>
      <c r="P22" s="385">
        <v>836167</v>
      </c>
      <c r="Q22" s="386">
        <v>12</v>
      </c>
      <c r="R22" s="387">
        <v>28147</v>
      </c>
      <c r="S22" s="387">
        <v>9465</v>
      </c>
      <c r="T22" s="387">
        <v>0</v>
      </c>
      <c r="U22" s="383">
        <v>37612</v>
      </c>
      <c r="V22" s="386">
        <v>16.2</v>
      </c>
      <c r="W22" s="388">
        <v>21814</v>
      </c>
      <c r="X22" s="388">
        <v>45035</v>
      </c>
      <c r="Y22" s="389">
        <v>37294</v>
      </c>
      <c r="Z22" s="390">
        <v>19.39</v>
      </c>
      <c r="AA22" s="390">
        <v>9.39</v>
      </c>
      <c r="AB22" s="390">
        <v>16.059999999999999</v>
      </c>
    </row>
    <row r="23" spans="1:28">
      <c r="A23" s="379" t="s">
        <v>16</v>
      </c>
      <c r="B23" s="379" t="s">
        <v>6</v>
      </c>
      <c r="C23" s="379" t="s">
        <v>760</v>
      </c>
      <c r="D23" s="379" t="s">
        <v>4</v>
      </c>
      <c r="E23" s="379" t="s">
        <v>52</v>
      </c>
      <c r="F23" s="380">
        <v>4230</v>
      </c>
      <c r="G23" s="381">
        <v>2637000</v>
      </c>
      <c r="H23" s="381">
        <v>623</v>
      </c>
      <c r="I23" s="382">
        <v>136</v>
      </c>
      <c r="J23" s="381">
        <v>84783</v>
      </c>
      <c r="K23" s="383">
        <v>72066</v>
      </c>
      <c r="L23" s="384">
        <v>2322</v>
      </c>
      <c r="M23" s="381">
        <v>703667</v>
      </c>
      <c r="N23" s="381">
        <v>132500</v>
      </c>
      <c r="O23" s="381">
        <v>900000</v>
      </c>
      <c r="P23" s="385">
        <v>1736167</v>
      </c>
      <c r="Q23" s="386">
        <v>24.92</v>
      </c>
      <c r="R23" s="387">
        <v>28147</v>
      </c>
      <c r="S23" s="387">
        <v>9465</v>
      </c>
      <c r="T23" s="387">
        <v>3028</v>
      </c>
      <c r="U23" s="383">
        <v>40640</v>
      </c>
      <c r="V23" s="386">
        <v>17.5</v>
      </c>
      <c r="W23" s="388">
        <v>21814</v>
      </c>
      <c r="X23" s="388">
        <v>45035</v>
      </c>
      <c r="Y23" s="389">
        <v>37294</v>
      </c>
      <c r="Z23" s="390">
        <v>19.39</v>
      </c>
      <c r="AA23" s="390">
        <v>9.39</v>
      </c>
      <c r="AB23" s="390">
        <v>16.059999999999999</v>
      </c>
    </row>
    <row r="24" spans="1:28">
      <c r="A24" s="379" t="s">
        <v>16</v>
      </c>
      <c r="B24" s="379" t="s">
        <v>7</v>
      </c>
      <c r="C24" s="379" t="s">
        <v>761</v>
      </c>
      <c r="D24" s="379" t="s">
        <v>4</v>
      </c>
      <c r="E24" s="379" t="s">
        <v>50</v>
      </c>
      <c r="F24" s="380">
        <v>1050</v>
      </c>
      <c r="G24" s="381">
        <v>1289200</v>
      </c>
      <c r="H24" s="381">
        <v>1228</v>
      </c>
      <c r="I24" s="382">
        <v>136</v>
      </c>
      <c r="J24" s="381">
        <v>166982</v>
      </c>
      <c r="K24" s="383">
        <v>141935</v>
      </c>
      <c r="L24" s="384">
        <v>4574</v>
      </c>
      <c r="M24" s="381">
        <v>822509</v>
      </c>
      <c r="N24" s="381" t="s">
        <v>1129</v>
      </c>
      <c r="O24" s="381" t="s">
        <v>1129</v>
      </c>
      <c r="P24" s="385">
        <v>822509</v>
      </c>
      <c r="Q24" s="386">
        <v>5.99</v>
      </c>
      <c r="R24" s="387">
        <v>32900</v>
      </c>
      <c r="S24" s="387">
        <v>0</v>
      </c>
      <c r="T24" s="387">
        <v>0</v>
      </c>
      <c r="U24" s="383">
        <v>32900</v>
      </c>
      <c r="V24" s="386">
        <v>7.19</v>
      </c>
      <c r="W24" s="388">
        <v>0</v>
      </c>
      <c r="X24" s="388">
        <v>52641</v>
      </c>
      <c r="Y24" s="389">
        <v>43593</v>
      </c>
      <c r="Z24" s="390">
        <v>11.51</v>
      </c>
      <c r="AA24" s="390">
        <v>0</v>
      </c>
      <c r="AB24" s="390">
        <v>9.5299999999999994</v>
      </c>
    </row>
    <row r="25" spans="1:28">
      <c r="A25" s="379" t="s">
        <v>16</v>
      </c>
      <c r="B25" s="379" t="s">
        <v>7</v>
      </c>
      <c r="C25" s="379" t="s">
        <v>761</v>
      </c>
      <c r="D25" s="379" t="s">
        <v>4</v>
      </c>
      <c r="E25" s="379" t="s">
        <v>51</v>
      </c>
      <c r="F25" s="380">
        <v>1050</v>
      </c>
      <c r="G25" s="381">
        <v>1289200</v>
      </c>
      <c r="H25" s="381">
        <v>1228</v>
      </c>
      <c r="I25" s="382">
        <v>136</v>
      </c>
      <c r="J25" s="381">
        <v>166982</v>
      </c>
      <c r="K25" s="383">
        <v>141935</v>
      </c>
      <c r="L25" s="384">
        <v>4574</v>
      </c>
      <c r="M25" s="381">
        <v>822509</v>
      </c>
      <c r="N25" s="381">
        <v>132500</v>
      </c>
      <c r="O25" s="381" t="s">
        <v>1129</v>
      </c>
      <c r="P25" s="385">
        <v>955009</v>
      </c>
      <c r="Q25" s="386">
        <v>6.96</v>
      </c>
      <c r="R25" s="387">
        <v>32900</v>
      </c>
      <c r="S25" s="387">
        <v>9465</v>
      </c>
      <c r="T25" s="387">
        <v>0</v>
      </c>
      <c r="U25" s="383">
        <v>42365</v>
      </c>
      <c r="V25" s="386">
        <v>9.26</v>
      </c>
      <c r="W25" s="388">
        <v>25498</v>
      </c>
      <c r="X25" s="388">
        <v>52641</v>
      </c>
      <c r="Y25" s="389">
        <v>43593</v>
      </c>
      <c r="Z25" s="390">
        <v>11.51</v>
      </c>
      <c r="AA25" s="390">
        <v>5.57</v>
      </c>
      <c r="AB25" s="390">
        <v>9.5299999999999994</v>
      </c>
    </row>
    <row r="26" spans="1:28">
      <c r="A26" s="379" t="s">
        <v>16</v>
      </c>
      <c r="B26" s="379" t="s">
        <v>7</v>
      </c>
      <c r="C26" s="379" t="s">
        <v>761</v>
      </c>
      <c r="D26" s="379" t="s">
        <v>4</v>
      </c>
      <c r="E26" s="379" t="s">
        <v>52</v>
      </c>
      <c r="F26" s="380">
        <v>1050</v>
      </c>
      <c r="G26" s="381">
        <v>1289200</v>
      </c>
      <c r="H26" s="381">
        <v>1228</v>
      </c>
      <c r="I26" s="382">
        <v>136</v>
      </c>
      <c r="J26" s="381">
        <v>166982</v>
      </c>
      <c r="K26" s="383">
        <v>141935</v>
      </c>
      <c r="L26" s="384">
        <v>4574</v>
      </c>
      <c r="M26" s="381">
        <v>822509</v>
      </c>
      <c r="N26" s="381">
        <v>132500</v>
      </c>
      <c r="O26" s="381">
        <v>900000</v>
      </c>
      <c r="P26" s="385">
        <v>1855009</v>
      </c>
      <c r="Q26" s="386">
        <v>13.52</v>
      </c>
      <c r="R26" s="387">
        <v>32900</v>
      </c>
      <c r="S26" s="387">
        <v>9465</v>
      </c>
      <c r="T26" s="387">
        <v>5969</v>
      </c>
      <c r="U26" s="383">
        <v>48334</v>
      </c>
      <c r="V26" s="386">
        <v>10.57</v>
      </c>
      <c r="W26" s="388">
        <v>25498</v>
      </c>
      <c r="X26" s="388">
        <v>52641</v>
      </c>
      <c r="Y26" s="389">
        <v>43593</v>
      </c>
      <c r="Z26" s="390">
        <v>11.51</v>
      </c>
      <c r="AA26" s="390">
        <v>5.57</v>
      </c>
      <c r="AB26" s="390">
        <v>9.5299999999999994</v>
      </c>
    </row>
    <row r="27" spans="1:28">
      <c r="A27" s="379" t="s">
        <v>16</v>
      </c>
      <c r="B27" s="379" t="s">
        <v>8</v>
      </c>
      <c r="C27" s="379" t="s">
        <v>762</v>
      </c>
      <c r="D27" s="379" t="s">
        <v>4</v>
      </c>
      <c r="E27" s="379" t="s">
        <v>50</v>
      </c>
      <c r="F27" s="380">
        <v>320</v>
      </c>
      <c r="G27" s="381">
        <v>966900</v>
      </c>
      <c r="H27" s="381">
        <v>3022</v>
      </c>
      <c r="I27" s="382">
        <v>136</v>
      </c>
      <c r="J27" s="381">
        <v>410933</v>
      </c>
      <c r="K27" s="383">
        <v>349293</v>
      </c>
      <c r="L27" s="384">
        <v>11256</v>
      </c>
      <c r="M27" s="381">
        <v>1495690</v>
      </c>
      <c r="N27" s="381" t="s">
        <v>1129</v>
      </c>
      <c r="O27" s="381" t="s">
        <v>1129</v>
      </c>
      <c r="P27" s="385">
        <v>1495690</v>
      </c>
      <c r="Q27" s="386">
        <v>4.43</v>
      </c>
      <c r="R27" s="387">
        <v>59828</v>
      </c>
      <c r="S27" s="387">
        <v>0</v>
      </c>
      <c r="T27" s="387">
        <v>0</v>
      </c>
      <c r="U27" s="383">
        <v>59828</v>
      </c>
      <c r="V27" s="386">
        <v>5.32</v>
      </c>
      <c r="W27" s="388">
        <v>0</v>
      </c>
      <c r="X27" s="388">
        <v>95724</v>
      </c>
      <c r="Y27" s="389">
        <v>79272</v>
      </c>
      <c r="Z27" s="390">
        <v>8.5</v>
      </c>
      <c r="AA27" s="390">
        <v>0</v>
      </c>
      <c r="AB27" s="390">
        <v>7.04</v>
      </c>
    </row>
    <row r="28" spans="1:28">
      <c r="A28" s="379" t="s">
        <v>16</v>
      </c>
      <c r="B28" s="379" t="s">
        <v>8</v>
      </c>
      <c r="C28" s="379" t="s">
        <v>762</v>
      </c>
      <c r="D28" s="379" t="s">
        <v>4</v>
      </c>
      <c r="E28" s="379" t="s">
        <v>51</v>
      </c>
      <c r="F28" s="380">
        <v>320</v>
      </c>
      <c r="G28" s="381">
        <v>966900</v>
      </c>
      <c r="H28" s="381">
        <v>3022</v>
      </c>
      <c r="I28" s="382">
        <v>136</v>
      </c>
      <c r="J28" s="381">
        <v>410933</v>
      </c>
      <c r="K28" s="383">
        <v>349293</v>
      </c>
      <c r="L28" s="384">
        <v>11256</v>
      </c>
      <c r="M28" s="381">
        <v>1495690</v>
      </c>
      <c r="N28" s="381">
        <v>200000</v>
      </c>
      <c r="O28" s="381" t="s">
        <v>1129</v>
      </c>
      <c r="P28" s="385">
        <v>1695690</v>
      </c>
      <c r="Q28" s="386">
        <v>5.0199999999999996</v>
      </c>
      <c r="R28" s="387">
        <v>59828</v>
      </c>
      <c r="S28" s="387">
        <v>16400</v>
      </c>
      <c r="T28" s="387">
        <v>0</v>
      </c>
      <c r="U28" s="383">
        <v>76228</v>
      </c>
      <c r="V28" s="386">
        <v>6.77</v>
      </c>
      <c r="W28" s="388">
        <v>46366</v>
      </c>
      <c r="X28" s="388">
        <v>95724</v>
      </c>
      <c r="Y28" s="389">
        <v>79272</v>
      </c>
      <c r="Z28" s="390">
        <v>8.5</v>
      </c>
      <c r="AA28" s="390">
        <v>4.12</v>
      </c>
      <c r="AB28" s="390">
        <v>7.04</v>
      </c>
    </row>
    <row r="29" spans="1:28" ht="15" thickBot="1">
      <c r="A29" s="391" t="s">
        <v>16</v>
      </c>
      <c r="B29" s="391" t="s">
        <v>8</v>
      </c>
      <c r="C29" s="391" t="s">
        <v>762</v>
      </c>
      <c r="D29" s="391" t="s">
        <v>4</v>
      </c>
      <c r="E29" s="391" t="s">
        <v>52</v>
      </c>
      <c r="F29" s="392">
        <v>320</v>
      </c>
      <c r="G29" s="393">
        <v>966900</v>
      </c>
      <c r="H29" s="393">
        <v>3022</v>
      </c>
      <c r="I29" s="394">
        <v>136</v>
      </c>
      <c r="J29" s="393">
        <v>410933</v>
      </c>
      <c r="K29" s="402">
        <v>349293</v>
      </c>
      <c r="L29" s="396">
        <v>11256</v>
      </c>
      <c r="M29" s="393">
        <v>1495690</v>
      </c>
      <c r="N29" s="399">
        <v>200000</v>
      </c>
      <c r="O29" s="399">
        <v>900000</v>
      </c>
      <c r="P29" s="402">
        <v>2595690</v>
      </c>
      <c r="Q29" s="398">
        <v>7.69</v>
      </c>
      <c r="R29" s="399">
        <v>59828</v>
      </c>
      <c r="S29" s="399">
        <v>16400</v>
      </c>
      <c r="T29" s="399">
        <v>22627</v>
      </c>
      <c r="U29" s="402">
        <v>98854</v>
      </c>
      <c r="V29" s="398">
        <v>8.7799999999999994</v>
      </c>
      <c r="W29" s="400">
        <v>46366</v>
      </c>
      <c r="X29" s="400">
        <v>95724</v>
      </c>
      <c r="Y29" s="401">
        <v>79272</v>
      </c>
      <c r="Z29" s="390">
        <v>8.5</v>
      </c>
      <c r="AA29" s="390">
        <v>4.12</v>
      </c>
      <c r="AB29" s="390">
        <v>7.04</v>
      </c>
    </row>
    <row r="31" spans="1:28" ht="15" thickBot="1"/>
    <row r="32" spans="1:28" ht="31" thickBot="1">
      <c r="A32" s="420" t="s">
        <v>1130</v>
      </c>
      <c r="B32" s="420" t="s">
        <v>1131</v>
      </c>
      <c r="C32" s="423" t="s">
        <v>1132</v>
      </c>
      <c r="D32" s="422"/>
      <c r="E32" s="424"/>
      <c r="F32" s="416" t="s">
        <v>1133</v>
      </c>
    </row>
    <row r="33" spans="1:6" ht="16" thickBot="1">
      <c r="A33" s="421"/>
      <c r="B33" s="421"/>
      <c r="C33" s="417" t="s">
        <v>16</v>
      </c>
      <c r="D33" s="417" t="s">
        <v>15</v>
      </c>
      <c r="E33" s="417" t="s">
        <v>1134</v>
      </c>
      <c r="F33" s="417"/>
    </row>
    <row r="34" spans="1:6" ht="31" thickBot="1">
      <c r="A34" s="419" t="s">
        <v>6</v>
      </c>
      <c r="B34" s="418" t="s">
        <v>1135</v>
      </c>
      <c r="C34" s="418">
        <v>741</v>
      </c>
      <c r="D34" s="418">
        <v>6195</v>
      </c>
      <c r="E34" s="418">
        <v>547</v>
      </c>
      <c r="F34" s="418" t="s">
        <v>1136</v>
      </c>
    </row>
    <row r="35" spans="1:6" ht="31" thickBot="1">
      <c r="A35" s="419" t="s">
        <v>7</v>
      </c>
      <c r="B35" s="418" t="s">
        <v>1059</v>
      </c>
      <c r="C35" s="418">
        <v>1653</v>
      </c>
      <c r="D35" s="418">
        <v>11988</v>
      </c>
      <c r="E35" s="418">
        <v>1069</v>
      </c>
      <c r="F35" s="418" t="s">
        <v>1136</v>
      </c>
    </row>
    <row r="36" spans="1:6" ht="31" thickBot="1">
      <c r="A36" s="419" t="s">
        <v>8</v>
      </c>
      <c r="B36" s="418" t="s">
        <v>1137</v>
      </c>
      <c r="C36" s="418">
        <v>9822</v>
      </c>
      <c r="D36" s="418">
        <v>44501</v>
      </c>
      <c r="E36" s="418">
        <v>3079</v>
      </c>
      <c r="F36" s="418" t="s">
        <v>1136</v>
      </c>
    </row>
    <row r="38" spans="1:6">
      <c r="C38" t="str">
        <f>C33</f>
        <v>Beef</v>
      </c>
      <c r="D38" t="str">
        <f t="shared" ref="D38:E38" si="0">D33</f>
        <v>Swine</v>
      </c>
      <c r="E38" t="str">
        <f t="shared" si="0"/>
        <v xml:space="preserve">Dairy </v>
      </c>
    </row>
    <row r="39" spans="1:6" ht="15">
      <c r="A39" s="425" t="s">
        <v>14</v>
      </c>
      <c r="B39" t="s">
        <v>1139</v>
      </c>
      <c r="C39" t="s">
        <v>1138</v>
      </c>
    </row>
    <row r="40" spans="1:6">
      <c r="A40" t="str">
        <f>A34</f>
        <v>Small</v>
      </c>
      <c r="B40" t="str">
        <f>B34</f>
        <v>500-999</v>
      </c>
      <c r="C40">
        <f>C34*$I$21</f>
        <v>100776</v>
      </c>
      <c r="D40">
        <f>D34*$I$12</f>
        <v>1530165</v>
      </c>
      <c r="E40">
        <f>E34*$I$3</f>
        <v>377566.75</v>
      </c>
    </row>
    <row r="41" spans="1:6">
      <c r="A41" t="str">
        <f t="shared" ref="A41:B42" si="1">A35</f>
        <v>Medium</v>
      </c>
      <c r="B41" t="str">
        <f t="shared" si="1"/>
        <v>1000-1999</v>
      </c>
      <c r="C41">
        <f t="shared" ref="C41:C42" si="2">C35*$I$21</f>
        <v>224808</v>
      </c>
      <c r="D41">
        <f t="shared" ref="D41:D42" si="3">D35*$I$12</f>
        <v>2961036</v>
      </c>
      <c r="E41">
        <f t="shared" ref="E41:E42" si="4">E35*$I$3</f>
        <v>737877.25</v>
      </c>
    </row>
    <row r="42" spans="1:6">
      <c r="A42" t="str">
        <f t="shared" si="1"/>
        <v>Large</v>
      </c>
      <c r="B42" t="str">
        <f t="shared" si="1"/>
        <v>&gt; 2000</v>
      </c>
      <c r="C42">
        <f t="shared" si="2"/>
        <v>1335792</v>
      </c>
      <c r="D42">
        <f t="shared" si="3"/>
        <v>10991747</v>
      </c>
      <c r="E42">
        <f t="shared" si="4"/>
        <v>2125279.75</v>
      </c>
    </row>
  </sheetData>
  <mergeCells count="3">
    <mergeCell ref="A32:A33"/>
    <mergeCell ref="B32:B33"/>
    <mergeCell ref="C32:E32"/>
  </mergeCells>
  <pageMargins left="0.75" right="0.75" top="1" bottom="1" header="0.5" footer="0.5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 enableFormatConditionsCalculation="0"/>
  <dimension ref="A1:AB89"/>
  <sheetViews>
    <sheetView workbookViewId="0">
      <selection activeCell="I28" sqref="I28"/>
    </sheetView>
  </sheetViews>
  <sheetFormatPr baseColWidth="10" defaultColWidth="8.83203125" defaultRowHeight="14" x14ac:dyDescent="0"/>
  <cols>
    <col min="1" max="1" width="8.83203125" style="32" customWidth="1"/>
    <col min="2" max="2" width="9.1640625" style="32" customWidth="1"/>
    <col min="3" max="3" width="10.83203125" style="32" bestFit="1" customWidth="1"/>
    <col min="4" max="4" width="7.1640625" style="32" bestFit="1" customWidth="1"/>
    <col min="5" max="5" width="10.5" style="32" bestFit="1" customWidth="1"/>
    <col min="6" max="6" width="13.33203125" style="45" customWidth="1"/>
    <col min="7" max="7" width="13.5" style="45" bestFit="1" customWidth="1"/>
    <col min="8" max="8" width="15.83203125" style="45" customWidth="1"/>
    <col min="9" max="9" width="12.6640625" style="45" bestFit="1" customWidth="1"/>
    <col min="10" max="10" width="12.33203125" style="45" bestFit="1" customWidth="1"/>
    <col min="11" max="12" width="11.33203125" style="45" customWidth="1"/>
    <col min="13" max="13" width="13.5" style="45" bestFit="1" customWidth="1"/>
    <col min="14" max="14" width="12.5" style="45" customWidth="1"/>
    <col min="15" max="15" width="10.33203125" style="45" customWidth="1"/>
    <col min="16" max="16" width="9.6640625" style="45" customWidth="1"/>
    <col min="17" max="17" width="11.5" style="45" customWidth="1"/>
    <col min="18" max="18" width="14.1640625" style="45" customWidth="1"/>
    <col min="19" max="19" width="11.1640625" style="45" customWidth="1"/>
    <col min="20" max="20" width="11.83203125" style="45" bestFit="1" customWidth="1"/>
    <col min="21" max="21" width="14.33203125" style="45" bestFit="1" customWidth="1"/>
    <col min="22" max="22" width="14.33203125" style="45" customWidth="1"/>
    <col min="23" max="23" width="11.83203125" style="45" bestFit="1" customWidth="1"/>
    <col min="24" max="24" width="11.6640625" style="45" bestFit="1" customWidth="1"/>
    <col min="25" max="25" width="11.6640625" style="32" bestFit="1" customWidth="1"/>
    <col min="26" max="26" width="11.5" style="32" bestFit="1" customWidth="1"/>
    <col min="27" max="27" width="12.83203125" style="32" customWidth="1"/>
    <col min="28" max="28" width="11.5" style="32" bestFit="1" customWidth="1"/>
    <col min="29" max="16384" width="8.83203125" style="32"/>
  </cols>
  <sheetData>
    <row r="1" spans="1:28" ht="15" thickBot="1">
      <c r="M1" s="405"/>
      <c r="N1" s="405"/>
      <c r="O1" s="405"/>
      <c r="P1" s="405"/>
      <c r="Q1" s="405"/>
      <c r="R1" s="405"/>
      <c r="S1" s="405"/>
      <c r="T1" s="405"/>
      <c r="U1" s="405"/>
      <c r="V1" s="405"/>
      <c r="W1" s="406"/>
      <c r="X1" s="406"/>
    </row>
    <row r="2" spans="1:28" s="4" customFormat="1" ht="64.75" customHeight="1">
      <c r="A2" s="9" t="s">
        <v>12</v>
      </c>
      <c r="B2" s="10" t="s">
        <v>14</v>
      </c>
      <c r="C2" s="10" t="s">
        <v>759</v>
      </c>
      <c r="D2" s="10" t="s">
        <v>11</v>
      </c>
      <c r="E2" s="10" t="s">
        <v>49</v>
      </c>
      <c r="F2" s="24" t="s">
        <v>86</v>
      </c>
      <c r="G2" s="24" t="s">
        <v>87</v>
      </c>
      <c r="H2" s="24" t="s">
        <v>91</v>
      </c>
      <c r="I2" s="21" t="s">
        <v>88</v>
      </c>
      <c r="J2" s="21" t="s">
        <v>0</v>
      </c>
      <c r="K2" s="16" t="s">
        <v>98</v>
      </c>
      <c r="L2" s="68" t="s">
        <v>764</v>
      </c>
      <c r="M2" s="21" t="s">
        <v>90</v>
      </c>
      <c r="N2" s="21" t="s">
        <v>97</v>
      </c>
      <c r="O2" s="21" t="s">
        <v>89</v>
      </c>
      <c r="P2" s="16" t="s">
        <v>61</v>
      </c>
      <c r="Q2" s="16" t="s">
        <v>846</v>
      </c>
      <c r="R2" s="21" t="s">
        <v>45</v>
      </c>
      <c r="S2" s="21" t="s">
        <v>63</v>
      </c>
      <c r="T2" s="21" t="s">
        <v>62</v>
      </c>
      <c r="U2" s="16" t="s">
        <v>64</v>
      </c>
      <c r="V2" s="68" t="s">
        <v>768</v>
      </c>
      <c r="W2" s="15" t="s">
        <v>46</v>
      </c>
      <c r="X2" s="15" t="s">
        <v>47</v>
      </c>
      <c r="Y2" s="15" t="s">
        <v>48</v>
      </c>
      <c r="Z2" s="74" t="s">
        <v>765</v>
      </c>
      <c r="AA2" s="74" t="s">
        <v>766</v>
      </c>
      <c r="AB2" s="74" t="s">
        <v>767</v>
      </c>
    </row>
    <row r="3" spans="1:28" s="4" customFormat="1" ht="28" hidden="1">
      <c r="A3" s="25"/>
      <c r="B3" s="26"/>
      <c r="C3" s="26"/>
      <c r="D3" s="26"/>
      <c r="E3" s="26" t="s">
        <v>92</v>
      </c>
      <c r="F3" s="27" t="s">
        <v>94</v>
      </c>
      <c r="G3" s="27" t="s">
        <v>94</v>
      </c>
      <c r="H3" s="27" t="s">
        <v>93</v>
      </c>
      <c r="I3" s="28" t="s">
        <v>100</v>
      </c>
      <c r="J3" s="28" t="s">
        <v>93</v>
      </c>
      <c r="K3" s="30" t="s">
        <v>96</v>
      </c>
      <c r="L3" s="69" t="s">
        <v>93</v>
      </c>
      <c r="M3" s="27" t="s">
        <v>95</v>
      </c>
      <c r="N3" s="28" t="s">
        <v>763</v>
      </c>
      <c r="O3" s="28" t="s">
        <v>96</v>
      </c>
      <c r="P3" s="30" t="s">
        <v>93</v>
      </c>
      <c r="Q3" s="69" t="s">
        <v>845</v>
      </c>
      <c r="R3" s="31" t="s">
        <v>95</v>
      </c>
      <c r="S3" s="28" t="s">
        <v>763</v>
      </c>
      <c r="T3" s="28" t="s">
        <v>99</v>
      </c>
      <c r="U3" s="30" t="s">
        <v>93</v>
      </c>
      <c r="V3" s="69" t="s">
        <v>93</v>
      </c>
      <c r="W3" s="29" t="s">
        <v>763</v>
      </c>
      <c r="X3" s="29" t="s">
        <v>95</v>
      </c>
      <c r="Y3" s="29" t="s">
        <v>95</v>
      </c>
      <c r="Z3" s="75" t="s">
        <v>93</v>
      </c>
      <c r="AA3" s="75" t="s">
        <v>93</v>
      </c>
      <c r="AB3" s="75" t="s">
        <v>93</v>
      </c>
    </row>
    <row r="4" spans="1:28" s="34" customFormat="1" hidden="1">
      <c r="A4" s="33" t="s">
        <v>13</v>
      </c>
      <c r="B4" s="34" t="s">
        <v>6</v>
      </c>
      <c r="C4" s="34" t="s">
        <v>760</v>
      </c>
      <c r="D4" s="33" t="s">
        <v>2</v>
      </c>
      <c r="E4" s="33" t="s">
        <v>50</v>
      </c>
      <c r="F4" s="46">
        <v>1570</v>
      </c>
      <c r="G4" s="63">
        <v>1094800</v>
      </c>
      <c r="H4" s="63">
        <f>G4/F4</f>
        <v>697.32484076433116</v>
      </c>
      <c r="I4" s="47">
        <v>581.82000000000005</v>
      </c>
      <c r="J4" s="63">
        <f>I4*H4</f>
        <v>405717.53885350318</v>
      </c>
      <c r="K4" s="49">
        <f>J4*0.85</f>
        <v>344859.90802547772</v>
      </c>
      <c r="L4" s="70">
        <f>K4*$B$89</f>
        <v>11113.378837129465</v>
      </c>
      <c r="M4" s="63">
        <v>902081.88199999998</v>
      </c>
      <c r="N4" s="63">
        <v>0</v>
      </c>
      <c r="O4" s="63">
        <v>0</v>
      </c>
      <c r="P4" s="66">
        <f t="shared" ref="P4:P65" si="0">SUM(M4:O4)</f>
        <v>902081.88199999998</v>
      </c>
      <c r="Q4" s="169">
        <f>P4/30/L4</f>
        <v>2.7056934265756976</v>
      </c>
      <c r="R4" s="48">
        <v>36083.275279999994</v>
      </c>
      <c r="S4" s="48">
        <v>0</v>
      </c>
      <c r="T4" s="48">
        <v>0</v>
      </c>
      <c r="U4" s="49">
        <f>SUM(R4:T4)</f>
        <v>36083.275279999994</v>
      </c>
      <c r="V4" s="72">
        <f>U4/L4</f>
        <v>3.246832111890837</v>
      </c>
      <c r="W4" s="50">
        <v>0</v>
      </c>
      <c r="X4" s="50">
        <f>0.064*M4</f>
        <v>57733.240447999997</v>
      </c>
      <c r="Y4" s="35">
        <f xml:space="preserve"> 0.053*M4</f>
        <v>47810.339745999998</v>
      </c>
      <c r="Z4" s="76">
        <f>X4/L4</f>
        <v>5.1949313790253395</v>
      </c>
      <c r="AA4" s="76">
        <f>W4/L4</f>
        <v>0</v>
      </c>
      <c r="AB4" s="76">
        <f>Y4/L4</f>
        <v>4.3020525482553591</v>
      </c>
    </row>
    <row r="5" spans="1:28" s="34" customFormat="1" hidden="1">
      <c r="A5" s="33" t="s">
        <v>13</v>
      </c>
      <c r="B5" s="34" t="s">
        <v>6</v>
      </c>
      <c r="C5" s="34" t="s">
        <v>760</v>
      </c>
      <c r="D5" s="33" t="s">
        <v>2</v>
      </c>
      <c r="E5" s="33" t="s">
        <v>51</v>
      </c>
      <c r="F5" s="46">
        <f>F4</f>
        <v>1570</v>
      </c>
      <c r="G5" s="63">
        <f>G4</f>
        <v>1094800</v>
      </c>
      <c r="H5" s="63">
        <f t="shared" ref="H5:H66" si="1">G5/F5</f>
        <v>697.32484076433116</v>
      </c>
      <c r="I5" s="47">
        <v>581.82000000000005</v>
      </c>
      <c r="J5" s="63">
        <f t="shared" ref="J5:J66" si="2">I5*H5</f>
        <v>405717.53885350318</v>
      </c>
      <c r="K5" s="49">
        <f t="shared" ref="K5:K6" si="3">K4</f>
        <v>344859.90802547772</v>
      </c>
      <c r="L5" s="70">
        <f t="shared" ref="L5:L66" si="4">K5*$B$89</f>
        <v>11113.378837129465</v>
      </c>
      <c r="M5" s="63">
        <f>M4</f>
        <v>902081.88199999998</v>
      </c>
      <c r="N5" s="63">
        <f>$E$71*1</f>
        <v>132500</v>
      </c>
      <c r="O5" s="63">
        <v>0</v>
      </c>
      <c r="P5" s="66">
        <f t="shared" si="0"/>
        <v>1034581.882</v>
      </c>
      <c r="Q5" s="169">
        <f t="shared" ref="Q5:Q66" si="5">P5/30/L5</f>
        <v>3.1031123152318387</v>
      </c>
      <c r="R5" s="48">
        <f>R4</f>
        <v>36083.275279999994</v>
      </c>
      <c r="S5" s="48">
        <f>$F$71</f>
        <v>9465</v>
      </c>
      <c r="T5" s="48">
        <v>0</v>
      </c>
      <c r="U5" s="49">
        <f t="shared" ref="U5:U66" si="6">SUM(R5:T5)</f>
        <v>45548.275279999994</v>
      </c>
      <c r="V5" s="72">
        <f t="shared" ref="V5:V66" si="7">U5/L5</f>
        <v>4.0985082887505442</v>
      </c>
      <c r="W5" s="50">
        <f>M5*0.031*1</f>
        <v>27964.538342</v>
      </c>
      <c r="X5" s="50">
        <f>X4</f>
        <v>57733.240447999997</v>
      </c>
      <c r="Y5" s="35">
        <f>Y4</f>
        <v>47810.339745999998</v>
      </c>
      <c r="Z5" s="76">
        <f t="shared" ref="Z5:Z66" si="8">X5/L5</f>
        <v>5.1949313790253395</v>
      </c>
      <c r="AA5" s="76">
        <f t="shared" ref="AA5:AA66" si="9">W5/L5</f>
        <v>2.5162948867153991</v>
      </c>
      <c r="AB5" s="76">
        <f t="shared" ref="AB5:AB66" si="10">Y5/L5</f>
        <v>4.3020525482553591</v>
      </c>
    </row>
    <row r="6" spans="1:28" s="34" customFormat="1" hidden="1">
      <c r="A6" s="33" t="s">
        <v>13</v>
      </c>
      <c r="B6" s="34" t="s">
        <v>6</v>
      </c>
      <c r="C6" s="34" t="s">
        <v>760</v>
      </c>
      <c r="D6" s="33" t="s">
        <v>2</v>
      </c>
      <c r="E6" s="33" t="s">
        <v>52</v>
      </c>
      <c r="F6" s="46">
        <f>F4</f>
        <v>1570</v>
      </c>
      <c r="G6" s="63">
        <f>G4</f>
        <v>1094800</v>
      </c>
      <c r="H6" s="63">
        <f t="shared" si="1"/>
        <v>697.32484076433116</v>
      </c>
      <c r="I6" s="47">
        <v>581.82000000000005</v>
      </c>
      <c r="J6" s="63">
        <f t="shared" si="2"/>
        <v>405717.53885350318</v>
      </c>
      <c r="K6" s="49">
        <f t="shared" si="3"/>
        <v>344859.90802547772</v>
      </c>
      <c r="L6" s="70">
        <f t="shared" si="4"/>
        <v>11113.378837129465</v>
      </c>
      <c r="M6" s="63">
        <f>M4</f>
        <v>902081.88199999998</v>
      </c>
      <c r="N6" s="63">
        <f>N5</f>
        <v>132500</v>
      </c>
      <c r="O6" s="63">
        <f>$D$83*$B$83</f>
        <v>900000</v>
      </c>
      <c r="P6" s="66">
        <f t="shared" si="0"/>
        <v>1934581.882</v>
      </c>
      <c r="Q6" s="169">
        <f t="shared" si="5"/>
        <v>5.8025613702546819</v>
      </c>
      <c r="R6" s="48">
        <f>R4</f>
        <v>36083.275279999994</v>
      </c>
      <c r="S6" s="48">
        <f>S5</f>
        <v>9465</v>
      </c>
      <c r="T6" s="48">
        <f>K6*A83*B89</f>
        <v>13336.054604555358</v>
      </c>
      <c r="U6" s="49">
        <f t="shared" si="6"/>
        <v>58884.329884555351</v>
      </c>
      <c r="V6" s="72">
        <f t="shared" si="7"/>
        <v>5.2985082887505435</v>
      </c>
      <c r="W6" s="50">
        <f>W5</f>
        <v>27964.538342</v>
      </c>
      <c r="X6" s="50">
        <f>X5</f>
        <v>57733.240447999997</v>
      </c>
      <c r="Y6" s="35">
        <f>Y5</f>
        <v>47810.339745999998</v>
      </c>
      <c r="Z6" s="76">
        <f t="shared" si="8"/>
        <v>5.1949313790253395</v>
      </c>
      <c r="AA6" s="76">
        <f t="shared" si="9"/>
        <v>2.5162948867153991</v>
      </c>
      <c r="AB6" s="76">
        <f t="shared" si="10"/>
        <v>4.3020525482553591</v>
      </c>
    </row>
    <row r="7" spans="1:28" s="34" customFormat="1" hidden="1">
      <c r="A7" s="34" t="s">
        <v>13</v>
      </c>
      <c r="B7" s="34" t="s">
        <v>7</v>
      </c>
      <c r="C7" s="33" t="s">
        <v>761</v>
      </c>
      <c r="D7" s="33" t="s">
        <v>2</v>
      </c>
      <c r="E7" s="33" t="s">
        <v>50</v>
      </c>
      <c r="F7" s="46">
        <v>950</v>
      </c>
      <c r="G7" s="63">
        <v>1288000</v>
      </c>
      <c r="H7" s="63">
        <f t="shared" si="1"/>
        <v>1355.7894736842106</v>
      </c>
      <c r="I7" s="47">
        <v>581.82000000000005</v>
      </c>
      <c r="J7" s="63">
        <f t="shared" si="2"/>
        <v>788825.43157894746</v>
      </c>
      <c r="K7" s="49">
        <f t="shared" ref="K7:K64" si="11">J7*0.85</f>
        <v>670501.61684210529</v>
      </c>
      <c r="L7" s="70">
        <f t="shared" si="4"/>
        <v>21607.436252994747</v>
      </c>
      <c r="M7" s="63">
        <v>1172799.0819999999</v>
      </c>
      <c r="N7" s="63">
        <f>N4</f>
        <v>0</v>
      </c>
      <c r="O7" s="63">
        <v>0</v>
      </c>
      <c r="P7" s="66">
        <f t="shared" si="0"/>
        <v>1172799.0819999999</v>
      </c>
      <c r="Q7" s="169">
        <f t="shared" si="5"/>
        <v>1.8092522535113382</v>
      </c>
      <c r="R7" s="48">
        <v>46911.963279999996</v>
      </c>
      <c r="S7" s="48">
        <v>0</v>
      </c>
      <c r="T7" s="48">
        <v>0</v>
      </c>
      <c r="U7" s="49">
        <f t="shared" si="6"/>
        <v>46911.963279999996</v>
      </c>
      <c r="V7" s="72">
        <f>U7/L7</f>
        <v>2.171102704213606</v>
      </c>
      <c r="W7" s="50">
        <v>0</v>
      </c>
      <c r="X7" s="50">
        <f t="shared" ref="X7:X64" si="12">0.064*M7</f>
        <v>75059.141248</v>
      </c>
      <c r="Y7" s="35">
        <f xml:space="preserve"> 0.053*M7</f>
        <v>62158.351345999996</v>
      </c>
      <c r="Z7" s="76">
        <f t="shared" si="8"/>
        <v>3.4737643267417697</v>
      </c>
      <c r="AA7" s="76">
        <f t="shared" si="9"/>
        <v>0</v>
      </c>
      <c r="AB7" s="76">
        <f t="shared" si="10"/>
        <v>2.8767110830830278</v>
      </c>
    </row>
    <row r="8" spans="1:28" s="34" customFormat="1" hidden="1">
      <c r="A8" s="34" t="s">
        <v>13</v>
      </c>
      <c r="B8" s="34" t="s">
        <v>7</v>
      </c>
      <c r="C8" s="33" t="s">
        <v>761</v>
      </c>
      <c r="D8" s="33" t="s">
        <v>2</v>
      </c>
      <c r="E8" s="33" t="s">
        <v>51</v>
      </c>
      <c r="F8" s="46">
        <f>F7</f>
        <v>950</v>
      </c>
      <c r="G8" s="63">
        <f>G7</f>
        <v>1288000</v>
      </c>
      <c r="H8" s="63">
        <f t="shared" si="1"/>
        <v>1355.7894736842106</v>
      </c>
      <c r="I8" s="47">
        <v>581.82000000000005</v>
      </c>
      <c r="J8" s="63">
        <f t="shared" si="2"/>
        <v>788825.43157894746</v>
      </c>
      <c r="K8" s="49">
        <f t="shared" ref="K8:K9" si="13">K7</f>
        <v>670501.61684210529</v>
      </c>
      <c r="L8" s="70">
        <f t="shared" si="4"/>
        <v>21607.436252994747</v>
      </c>
      <c r="M8" s="63">
        <f>M7</f>
        <v>1172799.0819999999</v>
      </c>
      <c r="N8" s="63">
        <f>$E$74*1</f>
        <v>132500</v>
      </c>
      <c r="O8" s="63">
        <v>0</v>
      </c>
      <c r="P8" s="66">
        <f t="shared" si="0"/>
        <v>1305299.0819999999</v>
      </c>
      <c r="Q8" s="169">
        <f t="shared" si="5"/>
        <v>2.0136571914666463</v>
      </c>
      <c r="R8" s="48">
        <f>R7</f>
        <v>46911.963279999996</v>
      </c>
      <c r="S8" s="48">
        <f>$F$74</f>
        <v>9465</v>
      </c>
      <c r="T8" s="48">
        <v>0</v>
      </c>
      <c r="U8" s="49">
        <f t="shared" si="6"/>
        <v>56376.963279999996</v>
      </c>
      <c r="V8" s="72">
        <f t="shared" si="7"/>
        <v>2.6091463429487738</v>
      </c>
      <c r="W8" s="50">
        <f>M8*0.031*1</f>
        <v>36356.771541999995</v>
      </c>
      <c r="X8" s="50">
        <f>X7</f>
        <v>75059.141248</v>
      </c>
      <c r="Y8" s="35">
        <f>Y7</f>
        <v>62158.351345999996</v>
      </c>
      <c r="Z8" s="76">
        <f t="shared" si="8"/>
        <v>3.4737643267417697</v>
      </c>
      <c r="AA8" s="76">
        <f t="shared" si="9"/>
        <v>1.6826045957655444</v>
      </c>
      <c r="AB8" s="76">
        <f t="shared" si="10"/>
        <v>2.8767110830830278</v>
      </c>
    </row>
    <row r="9" spans="1:28" s="34" customFormat="1" hidden="1">
      <c r="A9" s="34" t="s">
        <v>13</v>
      </c>
      <c r="B9" s="34" t="s">
        <v>7</v>
      </c>
      <c r="C9" s="33" t="s">
        <v>761</v>
      </c>
      <c r="D9" s="33" t="s">
        <v>2</v>
      </c>
      <c r="E9" s="33" t="s">
        <v>52</v>
      </c>
      <c r="F9" s="46">
        <f>F7</f>
        <v>950</v>
      </c>
      <c r="G9" s="63">
        <f>G7</f>
        <v>1288000</v>
      </c>
      <c r="H9" s="63">
        <f t="shared" si="1"/>
        <v>1355.7894736842106</v>
      </c>
      <c r="I9" s="47">
        <v>581.82000000000005</v>
      </c>
      <c r="J9" s="63">
        <f t="shared" si="2"/>
        <v>788825.43157894746</v>
      </c>
      <c r="K9" s="49">
        <f t="shared" si="13"/>
        <v>670501.61684210529</v>
      </c>
      <c r="L9" s="70">
        <f t="shared" si="4"/>
        <v>21607.436252994747</v>
      </c>
      <c r="M9" s="63">
        <f>M7</f>
        <v>1172799.0819999999</v>
      </c>
      <c r="N9" s="63">
        <f>N8</f>
        <v>132500</v>
      </c>
      <c r="O9" s="63">
        <f>$D$83*$B$83</f>
        <v>900000</v>
      </c>
      <c r="P9" s="66">
        <f t="shared" si="0"/>
        <v>2205299.0819999999</v>
      </c>
      <c r="Q9" s="169">
        <f t="shared" si="5"/>
        <v>3.4020680907857206</v>
      </c>
      <c r="R9" s="48">
        <f>R7</f>
        <v>46911.963279999996</v>
      </c>
      <c r="S9" s="48">
        <f>S8</f>
        <v>9465</v>
      </c>
      <c r="T9" s="48">
        <f>J9*$B$89*$A$83</f>
        <v>30504.615886580821</v>
      </c>
      <c r="U9" s="49">
        <f t="shared" si="6"/>
        <v>86881.579166580821</v>
      </c>
      <c r="V9" s="72">
        <f t="shared" si="7"/>
        <v>4.0209110488311266</v>
      </c>
      <c r="W9" s="50">
        <f>W8</f>
        <v>36356.771541999995</v>
      </c>
      <c r="X9" s="50">
        <f>X8</f>
        <v>75059.141248</v>
      </c>
      <c r="Y9" s="35">
        <f>Y8</f>
        <v>62158.351345999996</v>
      </c>
      <c r="Z9" s="76">
        <f t="shared" si="8"/>
        <v>3.4737643267417697</v>
      </c>
      <c r="AA9" s="76">
        <f t="shared" si="9"/>
        <v>1.6826045957655444</v>
      </c>
      <c r="AB9" s="76">
        <f t="shared" si="10"/>
        <v>2.8767110830830278</v>
      </c>
    </row>
    <row r="10" spans="1:28" s="34" customFormat="1" hidden="1">
      <c r="A10" s="34" t="s">
        <v>13</v>
      </c>
      <c r="B10" s="34" t="s">
        <v>8</v>
      </c>
      <c r="C10" s="33" t="s">
        <v>762</v>
      </c>
      <c r="D10" s="33" t="s">
        <v>2</v>
      </c>
      <c r="E10" s="33" t="s">
        <v>50</v>
      </c>
      <c r="F10" s="46">
        <v>780</v>
      </c>
      <c r="G10" s="63">
        <v>2999200</v>
      </c>
      <c r="H10" s="63">
        <f t="shared" si="1"/>
        <v>3845.1282051282051</v>
      </c>
      <c r="I10" s="47">
        <v>581.82000000000005</v>
      </c>
      <c r="J10" s="63">
        <f t="shared" si="2"/>
        <v>2237172.4923076923</v>
      </c>
      <c r="K10" s="49">
        <f t="shared" si="11"/>
        <v>1901596.6184615383</v>
      </c>
      <c r="L10" s="70">
        <f t="shared" si="4"/>
        <v>61280.430472092245</v>
      </c>
      <c r="M10" s="63">
        <v>2195280.2819999997</v>
      </c>
      <c r="N10" s="63">
        <f>N7</f>
        <v>0</v>
      </c>
      <c r="O10" s="63">
        <v>0</v>
      </c>
      <c r="P10" s="66">
        <f t="shared" si="0"/>
        <v>2195280.2819999997</v>
      </c>
      <c r="Q10" s="169">
        <f t="shared" si="5"/>
        <v>1.1941170914803727</v>
      </c>
      <c r="R10" s="48">
        <v>87811.211279999989</v>
      </c>
      <c r="S10" s="48">
        <v>0</v>
      </c>
      <c r="T10" s="48">
        <v>0</v>
      </c>
      <c r="U10" s="49">
        <f t="shared" si="6"/>
        <v>87811.211279999989</v>
      </c>
      <c r="V10" s="72">
        <f t="shared" si="7"/>
        <v>1.4329405097764472</v>
      </c>
      <c r="W10" s="50">
        <v>0</v>
      </c>
      <c r="X10" s="50">
        <f t="shared" si="12"/>
        <v>140497.93804799998</v>
      </c>
      <c r="Y10" s="35">
        <f t="shared" ref="Y10:Y64" si="14" xml:space="preserve"> 0.053*M10</f>
        <v>116349.85494599998</v>
      </c>
      <c r="Z10" s="76">
        <f t="shared" si="8"/>
        <v>2.2927048156423155</v>
      </c>
      <c r="AA10" s="76">
        <f t="shared" si="9"/>
        <v>0</v>
      </c>
      <c r="AB10" s="76">
        <f t="shared" si="10"/>
        <v>1.8986461754537924</v>
      </c>
    </row>
    <row r="11" spans="1:28" s="34" customFormat="1" hidden="1">
      <c r="A11" s="34" t="s">
        <v>13</v>
      </c>
      <c r="B11" s="34" t="s">
        <v>8</v>
      </c>
      <c r="C11" s="34" t="s">
        <v>762</v>
      </c>
      <c r="D11" s="33" t="s">
        <v>2</v>
      </c>
      <c r="E11" s="33" t="s">
        <v>51</v>
      </c>
      <c r="F11" s="46">
        <f>F10</f>
        <v>780</v>
      </c>
      <c r="G11" s="63">
        <f>G10</f>
        <v>2999200</v>
      </c>
      <c r="H11" s="63">
        <f t="shared" si="1"/>
        <v>3845.1282051282051</v>
      </c>
      <c r="I11" s="47">
        <v>581.82000000000005</v>
      </c>
      <c r="J11" s="63">
        <f t="shared" si="2"/>
        <v>2237172.4923076923</v>
      </c>
      <c r="K11" s="49">
        <f t="shared" ref="K11:K12" si="15">K10</f>
        <v>1901596.6184615383</v>
      </c>
      <c r="L11" s="70">
        <f t="shared" si="4"/>
        <v>61280.430472092245</v>
      </c>
      <c r="M11" s="63">
        <f>M10</f>
        <v>2195280.2819999997</v>
      </c>
      <c r="N11" s="63">
        <f>$E$77*1</f>
        <v>200000</v>
      </c>
      <c r="O11" s="63">
        <v>0</v>
      </c>
      <c r="P11" s="66">
        <f t="shared" si="0"/>
        <v>2395280.2819999997</v>
      </c>
      <c r="Q11" s="169">
        <f t="shared" si="5"/>
        <v>1.3029065796629455</v>
      </c>
      <c r="R11" s="48">
        <f>R10</f>
        <v>87811.211279999989</v>
      </c>
      <c r="S11" s="48">
        <f>$F$77</f>
        <v>16400</v>
      </c>
      <c r="T11" s="48">
        <v>0</v>
      </c>
      <c r="U11" s="49">
        <f t="shared" si="6"/>
        <v>104211.21127999999</v>
      </c>
      <c r="V11" s="72">
        <f t="shared" si="7"/>
        <v>1.7005626507055769</v>
      </c>
      <c r="W11" s="50">
        <f>M11*0.031*1</f>
        <v>68053.688741999984</v>
      </c>
      <c r="X11" s="50">
        <f>X10</f>
        <v>140497.93804799998</v>
      </c>
      <c r="Y11" s="35">
        <f>Y10</f>
        <v>116349.85494599998</v>
      </c>
      <c r="Z11" s="76">
        <f t="shared" si="8"/>
        <v>2.2927048156423155</v>
      </c>
      <c r="AA11" s="76">
        <f t="shared" si="9"/>
        <v>1.1105288950767465</v>
      </c>
      <c r="AB11" s="76">
        <f t="shared" si="10"/>
        <v>1.8986461754537924</v>
      </c>
    </row>
    <row r="12" spans="1:28" s="88" customFormat="1" hidden="1">
      <c r="A12" s="77" t="s">
        <v>13</v>
      </c>
      <c r="B12" s="77" t="s">
        <v>8</v>
      </c>
      <c r="C12" s="77" t="s">
        <v>762</v>
      </c>
      <c r="D12" s="77" t="s">
        <v>2</v>
      </c>
      <c r="E12" s="77" t="s">
        <v>52</v>
      </c>
      <c r="F12" s="78">
        <f>F10</f>
        <v>780</v>
      </c>
      <c r="G12" s="79">
        <f>G10</f>
        <v>2999200</v>
      </c>
      <c r="H12" s="79">
        <f t="shared" si="1"/>
        <v>3845.1282051282051</v>
      </c>
      <c r="I12" s="80">
        <v>581.82000000000005</v>
      </c>
      <c r="J12" s="79">
        <f t="shared" si="2"/>
        <v>2237172.4923076923</v>
      </c>
      <c r="K12" s="81">
        <f t="shared" si="15"/>
        <v>1901596.6184615383</v>
      </c>
      <c r="L12" s="82">
        <f t="shared" si="4"/>
        <v>61280.430472092245</v>
      </c>
      <c r="M12" s="79">
        <f>M10</f>
        <v>2195280.2819999997</v>
      </c>
      <c r="N12" s="79">
        <f>N11</f>
        <v>200000</v>
      </c>
      <c r="O12" s="79">
        <f>$D$83*$B$83</f>
        <v>900000</v>
      </c>
      <c r="P12" s="83">
        <f>SUM(M12:O12)</f>
        <v>3295280.2819999997</v>
      </c>
      <c r="Q12" s="170">
        <f t="shared" si="5"/>
        <v>1.7924592764845242</v>
      </c>
      <c r="R12" s="84">
        <f>R10</f>
        <v>87811.211279999989</v>
      </c>
      <c r="S12" s="84">
        <f>S11</f>
        <v>16400</v>
      </c>
      <c r="T12" s="84">
        <f>J12*$B$89*$A$83</f>
        <v>86513.548901777292</v>
      </c>
      <c r="U12" s="81">
        <f>SUM(R12:T12)</f>
        <v>190724.7601817773</v>
      </c>
      <c r="V12" s="85">
        <f t="shared" si="7"/>
        <v>3.1123273565879299</v>
      </c>
      <c r="W12" s="84">
        <f>W11</f>
        <v>68053.688741999984</v>
      </c>
      <c r="X12" s="84">
        <f>X11</f>
        <v>140497.93804799998</v>
      </c>
      <c r="Y12" s="86">
        <f>Y11</f>
        <v>116349.85494599998</v>
      </c>
      <c r="Z12" s="87">
        <f t="shared" si="8"/>
        <v>2.2927048156423155</v>
      </c>
      <c r="AA12" s="87">
        <f t="shared" si="9"/>
        <v>1.1105288950767465</v>
      </c>
      <c r="AB12" s="87">
        <f t="shared" si="10"/>
        <v>1.8986461754537924</v>
      </c>
    </row>
    <row r="13" spans="1:28" s="34" customFormat="1" hidden="1">
      <c r="A13" s="33" t="s">
        <v>15</v>
      </c>
      <c r="B13" s="34" t="s">
        <v>6</v>
      </c>
      <c r="C13" s="34" t="s">
        <v>760</v>
      </c>
      <c r="D13" s="33" t="s">
        <v>2</v>
      </c>
      <c r="E13" s="33" t="s">
        <v>50</v>
      </c>
      <c r="F13" s="46">
        <v>2300</v>
      </c>
      <c r="G13" s="63">
        <v>1713400</v>
      </c>
      <c r="H13" s="63">
        <f t="shared" si="1"/>
        <v>744.95652173913038</v>
      </c>
      <c r="I13" s="47">
        <v>247.29</v>
      </c>
      <c r="J13" s="63">
        <f t="shared" si="2"/>
        <v>184220.29826086955</v>
      </c>
      <c r="K13" s="49">
        <f t="shared" si="11"/>
        <v>156587.2535217391</v>
      </c>
      <c r="L13" s="70">
        <f t="shared" si="4"/>
        <v>5046.1460696212825</v>
      </c>
      <c r="M13" s="63">
        <v>711774.67399999988</v>
      </c>
      <c r="N13" s="63">
        <v>0</v>
      </c>
      <c r="O13" s="63">
        <v>0</v>
      </c>
      <c r="P13" s="66">
        <f t="shared" si="0"/>
        <v>711774.67399999988</v>
      </c>
      <c r="Q13" s="169">
        <f t="shared" si="5"/>
        <v>4.7017708443876467</v>
      </c>
      <c r="R13" s="48">
        <v>28470.986959999995</v>
      </c>
      <c r="S13" s="48">
        <v>0</v>
      </c>
      <c r="T13" s="48">
        <v>0</v>
      </c>
      <c r="U13" s="49">
        <f t="shared" si="6"/>
        <v>28470.986959999995</v>
      </c>
      <c r="V13" s="72">
        <f t="shared" si="7"/>
        <v>5.6421250132651757</v>
      </c>
      <c r="W13" s="50">
        <v>0</v>
      </c>
      <c r="X13" s="50">
        <v>0</v>
      </c>
      <c r="Y13" s="35">
        <f t="shared" si="14"/>
        <v>37724.05772199999</v>
      </c>
      <c r="Z13" s="76">
        <f t="shared" si="8"/>
        <v>0</v>
      </c>
      <c r="AA13" s="76">
        <f t="shared" si="9"/>
        <v>0</v>
      </c>
      <c r="AB13" s="76">
        <f t="shared" si="10"/>
        <v>7.4758156425763573</v>
      </c>
    </row>
    <row r="14" spans="1:28" s="34" customFormat="1" hidden="1">
      <c r="A14" s="33" t="s">
        <v>15</v>
      </c>
      <c r="B14" s="34" t="s">
        <v>6</v>
      </c>
      <c r="C14" s="34" t="s">
        <v>760</v>
      </c>
      <c r="D14" s="33" t="s">
        <v>2</v>
      </c>
      <c r="E14" s="33" t="s">
        <v>51</v>
      </c>
      <c r="F14" s="46">
        <f>F13</f>
        <v>2300</v>
      </c>
      <c r="G14" s="63">
        <f>G13</f>
        <v>1713400</v>
      </c>
      <c r="H14" s="63">
        <f t="shared" si="1"/>
        <v>744.95652173913038</v>
      </c>
      <c r="I14" s="47">
        <v>247.29</v>
      </c>
      <c r="J14" s="63">
        <f t="shared" si="2"/>
        <v>184220.29826086955</v>
      </c>
      <c r="K14" s="49">
        <f t="shared" ref="K14:K15" si="16">K13</f>
        <v>156587.2535217391</v>
      </c>
      <c r="L14" s="70">
        <f t="shared" si="4"/>
        <v>5046.1460696212825</v>
      </c>
      <c r="M14" s="63">
        <f>M13</f>
        <v>711774.67399999988</v>
      </c>
      <c r="N14" s="63">
        <f>$E$71*1</f>
        <v>132500</v>
      </c>
      <c r="O14" s="63">
        <v>0</v>
      </c>
      <c r="P14" s="66">
        <f t="shared" si="0"/>
        <v>844274.67399999988</v>
      </c>
      <c r="Q14" s="169">
        <f t="shared" si="5"/>
        <v>5.5770262582679155</v>
      </c>
      <c r="R14" s="48">
        <f>R13</f>
        <v>28470.986959999995</v>
      </c>
      <c r="S14" s="48">
        <f>$F$71</f>
        <v>9465</v>
      </c>
      <c r="T14" s="48">
        <v>0</v>
      </c>
      <c r="U14" s="49">
        <f t="shared" si="6"/>
        <v>37935.986959999995</v>
      </c>
      <c r="V14" s="72">
        <f t="shared" si="7"/>
        <v>7.5178138794636835</v>
      </c>
      <c r="W14" s="50">
        <f>M14*0.031*1</f>
        <v>22065.014893999996</v>
      </c>
      <c r="X14" s="50">
        <f>X13</f>
        <v>0</v>
      </c>
      <c r="Y14" s="35">
        <f>Y13</f>
        <v>37724.05772199999</v>
      </c>
      <c r="Z14" s="76">
        <f t="shared" si="8"/>
        <v>0</v>
      </c>
      <c r="AA14" s="76">
        <f t="shared" si="9"/>
        <v>4.3726468852805116</v>
      </c>
      <c r="AB14" s="76">
        <f t="shared" si="10"/>
        <v>7.4758156425763573</v>
      </c>
    </row>
    <row r="15" spans="1:28" s="34" customFormat="1" hidden="1">
      <c r="A15" s="33" t="s">
        <v>15</v>
      </c>
      <c r="B15" s="34" t="s">
        <v>6</v>
      </c>
      <c r="C15" s="34" t="s">
        <v>760</v>
      </c>
      <c r="D15" s="33" t="s">
        <v>2</v>
      </c>
      <c r="E15" s="33" t="s">
        <v>52</v>
      </c>
      <c r="F15" s="46">
        <f>F13</f>
        <v>2300</v>
      </c>
      <c r="G15" s="63">
        <f>G13</f>
        <v>1713400</v>
      </c>
      <c r="H15" s="63">
        <f t="shared" si="1"/>
        <v>744.95652173913038</v>
      </c>
      <c r="I15" s="47">
        <v>247.29</v>
      </c>
      <c r="J15" s="63">
        <f t="shared" si="2"/>
        <v>184220.29826086955</v>
      </c>
      <c r="K15" s="49">
        <f t="shared" si="16"/>
        <v>156587.2535217391</v>
      </c>
      <c r="L15" s="70">
        <f t="shared" si="4"/>
        <v>5046.1460696212825</v>
      </c>
      <c r="M15" s="63">
        <f>M13</f>
        <v>711774.67399999988</v>
      </c>
      <c r="N15" s="63">
        <f>N14</f>
        <v>132500</v>
      </c>
      <c r="O15" s="63">
        <f>$D$83*$B$83</f>
        <v>900000</v>
      </c>
      <c r="P15" s="66">
        <f t="shared" si="0"/>
        <v>1744274.6739999999</v>
      </c>
      <c r="Q15" s="169">
        <f t="shared" si="5"/>
        <v>11.52215737141691</v>
      </c>
      <c r="R15" s="48">
        <f>R13</f>
        <v>28470.986959999995</v>
      </c>
      <c r="S15" s="48">
        <f>S14</f>
        <v>9465</v>
      </c>
      <c r="T15" s="48">
        <f>J15*$B$89*$A$83</f>
        <v>7123.9709218182825</v>
      </c>
      <c r="U15" s="49">
        <f t="shared" si="6"/>
        <v>45059.957881818278</v>
      </c>
      <c r="V15" s="72">
        <f t="shared" si="7"/>
        <v>8.9295785853460377</v>
      </c>
      <c r="W15" s="50">
        <f>W14</f>
        <v>22065.014893999996</v>
      </c>
      <c r="X15" s="50">
        <f>X14</f>
        <v>0</v>
      </c>
      <c r="Y15" s="35">
        <f>Y14</f>
        <v>37724.05772199999</v>
      </c>
      <c r="Z15" s="76">
        <f t="shared" si="8"/>
        <v>0</v>
      </c>
      <c r="AA15" s="76">
        <f t="shared" si="9"/>
        <v>4.3726468852805116</v>
      </c>
      <c r="AB15" s="76">
        <f t="shared" si="10"/>
        <v>7.4758156425763573</v>
      </c>
    </row>
    <row r="16" spans="1:28" s="34" customFormat="1" hidden="1">
      <c r="A16" s="34" t="s">
        <v>15</v>
      </c>
      <c r="B16" s="34" t="s">
        <v>7</v>
      </c>
      <c r="C16" s="33" t="s">
        <v>761</v>
      </c>
      <c r="D16" s="33" t="s">
        <v>2</v>
      </c>
      <c r="E16" s="33" t="s">
        <v>50</v>
      </c>
      <c r="F16" s="46">
        <v>3300</v>
      </c>
      <c r="G16" s="63">
        <v>4810700</v>
      </c>
      <c r="H16" s="63">
        <f t="shared" si="1"/>
        <v>1457.7878787878788</v>
      </c>
      <c r="I16" s="47">
        <v>247.29</v>
      </c>
      <c r="J16" s="63">
        <f t="shared" si="2"/>
        <v>360496.3645454545</v>
      </c>
      <c r="K16" s="49">
        <f t="shared" si="11"/>
        <v>306421.90986363631</v>
      </c>
      <c r="L16" s="70">
        <f t="shared" si="4"/>
        <v>9874.6844416015556</v>
      </c>
      <c r="M16" s="63">
        <v>801427.66599999997</v>
      </c>
      <c r="N16" s="63">
        <f>N13</f>
        <v>0</v>
      </c>
      <c r="O16" s="63">
        <v>0</v>
      </c>
      <c r="P16" s="66">
        <f t="shared" si="0"/>
        <v>801427.66599999997</v>
      </c>
      <c r="Q16" s="169">
        <f t="shared" si="5"/>
        <v>2.7053275161672508</v>
      </c>
      <c r="R16" s="48">
        <v>32057.106639999998</v>
      </c>
      <c r="S16" s="48">
        <v>0</v>
      </c>
      <c r="T16" s="48">
        <v>0</v>
      </c>
      <c r="U16" s="49">
        <f t="shared" si="6"/>
        <v>32057.106639999998</v>
      </c>
      <c r="V16" s="72">
        <f t="shared" si="7"/>
        <v>3.2463930194007009</v>
      </c>
      <c r="W16" s="50">
        <v>0</v>
      </c>
      <c r="X16" s="50">
        <v>0</v>
      </c>
      <c r="Y16" s="35">
        <f t="shared" si="14"/>
        <v>42475.666297999996</v>
      </c>
      <c r="Z16" s="76">
        <f t="shared" si="8"/>
        <v>0</v>
      </c>
      <c r="AA16" s="76">
        <f t="shared" si="9"/>
        <v>0</v>
      </c>
      <c r="AB16" s="76">
        <f t="shared" si="10"/>
        <v>4.3014707507059287</v>
      </c>
    </row>
    <row r="17" spans="1:28" s="34" customFormat="1" hidden="1">
      <c r="A17" s="34" t="s">
        <v>15</v>
      </c>
      <c r="B17" s="34" t="s">
        <v>7</v>
      </c>
      <c r="C17" s="33" t="s">
        <v>761</v>
      </c>
      <c r="D17" s="33" t="s">
        <v>2</v>
      </c>
      <c r="E17" s="33" t="s">
        <v>51</v>
      </c>
      <c r="F17" s="46">
        <f>F16</f>
        <v>3300</v>
      </c>
      <c r="G17" s="63">
        <f>G16</f>
        <v>4810700</v>
      </c>
      <c r="H17" s="63">
        <f t="shared" si="1"/>
        <v>1457.7878787878788</v>
      </c>
      <c r="I17" s="47">
        <v>247.29</v>
      </c>
      <c r="J17" s="63">
        <f t="shared" si="2"/>
        <v>360496.3645454545</v>
      </c>
      <c r="K17" s="49">
        <f t="shared" ref="K17:K18" si="17">K16</f>
        <v>306421.90986363631</v>
      </c>
      <c r="L17" s="70">
        <f t="shared" si="4"/>
        <v>9874.6844416015556</v>
      </c>
      <c r="M17" s="63">
        <f>M16</f>
        <v>801427.66599999997</v>
      </c>
      <c r="N17" s="63">
        <f>$E$74*1</f>
        <v>132500</v>
      </c>
      <c r="O17" s="63">
        <v>0</v>
      </c>
      <c r="P17" s="66">
        <f t="shared" si="0"/>
        <v>933927.66599999997</v>
      </c>
      <c r="Q17" s="169">
        <f t="shared" si="5"/>
        <v>3.1525991928255417</v>
      </c>
      <c r="R17" s="48">
        <f>R16</f>
        <v>32057.106639999998</v>
      </c>
      <c r="S17" s="48">
        <f>$F$74</f>
        <v>9465</v>
      </c>
      <c r="T17" s="48">
        <v>0</v>
      </c>
      <c r="U17" s="49">
        <f t="shared" si="6"/>
        <v>41522.106639999998</v>
      </c>
      <c r="V17" s="72">
        <f t="shared" si="7"/>
        <v>4.2049046615676575</v>
      </c>
      <c r="W17" s="50">
        <f>M17*0.031*1</f>
        <v>24844.257645999998</v>
      </c>
      <c r="X17" s="50">
        <f>X16</f>
        <v>0</v>
      </c>
      <c r="Y17" s="35">
        <f>Y16</f>
        <v>42475.666297999996</v>
      </c>
      <c r="Z17" s="76">
        <f t="shared" si="8"/>
        <v>0</v>
      </c>
      <c r="AA17" s="76">
        <f t="shared" si="9"/>
        <v>2.5159545900355433</v>
      </c>
      <c r="AB17" s="76">
        <f t="shared" si="10"/>
        <v>4.3014707507059287</v>
      </c>
    </row>
    <row r="18" spans="1:28" s="34" customFormat="1" hidden="1">
      <c r="A18" s="34" t="s">
        <v>15</v>
      </c>
      <c r="B18" s="34" t="s">
        <v>7</v>
      </c>
      <c r="C18" s="33" t="s">
        <v>761</v>
      </c>
      <c r="D18" s="33" t="s">
        <v>2</v>
      </c>
      <c r="E18" s="33" t="s">
        <v>52</v>
      </c>
      <c r="F18" s="46">
        <f>F16</f>
        <v>3300</v>
      </c>
      <c r="G18" s="63">
        <f>G16</f>
        <v>4810700</v>
      </c>
      <c r="H18" s="63">
        <f t="shared" si="1"/>
        <v>1457.7878787878788</v>
      </c>
      <c r="I18" s="47">
        <v>247.29</v>
      </c>
      <c r="J18" s="63">
        <f t="shared" si="2"/>
        <v>360496.3645454545</v>
      </c>
      <c r="K18" s="49">
        <f t="shared" si="17"/>
        <v>306421.90986363631</v>
      </c>
      <c r="L18" s="70">
        <f t="shared" si="4"/>
        <v>9874.6844416015556</v>
      </c>
      <c r="M18" s="63">
        <f>M16</f>
        <v>801427.66599999997</v>
      </c>
      <c r="N18" s="63">
        <f>N17</f>
        <v>132500</v>
      </c>
      <c r="O18" s="63">
        <f>$D$83*$B$83</f>
        <v>900000</v>
      </c>
      <c r="P18" s="66">
        <f t="shared" si="0"/>
        <v>1833927.666</v>
      </c>
      <c r="Q18" s="169">
        <f t="shared" si="5"/>
        <v>6.1906709588063853</v>
      </c>
      <c r="R18" s="48">
        <f>R16</f>
        <v>32057.106639999998</v>
      </c>
      <c r="S18" s="48">
        <f>S17</f>
        <v>9465</v>
      </c>
      <c r="T18" s="48">
        <v>12886.303265856002</v>
      </c>
      <c r="U18" s="49">
        <f t="shared" si="6"/>
        <v>54408.409905856002</v>
      </c>
      <c r="V18" s="72">
        <f t="shared" si="7"/>
        <v>5.5098884655631188</v>
      </c>
      <c r="W18" s="50">
        <f>W17</f>
        <v>24844.257645999998</v>
      </c>
      <c r="X18" s="50">
        <f>X17</f>
        <v>0</v>
      </c>
      <c r="Y18" s="35">
        <f>Y17</f>
        <v>42475.666297999996</v>
      </c>
      <c r="Z18" s="76">
        <f t="shared" si="8"/>
        <v>0</v>
      </c>
      <c r="AA18" s="76">
        <f t="shared" si="9"/>
        <v>2.5159545900355433</v>
      </c>
      <c r="AB18" s="76">
        <f t="shared" si="10"/>
        <v>4.3014707507059287</v>
      </c>
    </row>
    <row r="19" spans="1:28" s="34" customFormat="1" hidden="1">
      <c r="A19" s="34" t="s">
        <v>15</v>
      </c>
      <c r="B19" s="34" t="s">
        <v>8</v>
      </c>
      <c r="C19" s="33" t="s">
        <v>762</v>
      </c>
      <c r="D19" s="33" t="s">
        <v>2</v>
      </c>
      <c r="E19" s="33" t="s">
        <v>50</v>
      </c>
      <c r="F19" s="46">
        <v>9000</v>
      </c>
      <c r="G19" s="63">
        <v>57596600</v>
      </c>
      <c r="H19" s="63">
        <f t="shared" si="1"/>
        <v>6399.6222222222223</v>
      </c>
      <c r="I19" s="47">
        <v>247.29</v>
      </c>
      <c r="J19" s="63">
        <f t="shared" si="2"/>
        <v>1582562.5793333333</v>
      </c>
      <c r="K19" s="49">
        <f t="shared" si="11"/>
        <v>1345178.1924333333</v>
      </c>
      <c r="L19" s="70">
        <f t="shared" si="4"/>
        <v>43349.413799797883</v>
      </c>
      <c r="M19" s="63">
        <v>1590603.2219999998</v>
      </c>
      <c r="N19" s="63">
        <f>N16</f>
        <v>0</v>
      </c>
      <c r="O19" s="63">
        <v>0</v>
      </c>
      <c r="P19" s="66">
        <f t="shared" si="0"/>
        <v>1590603.2219999998</v>
      </c>
      <c r="Q19" s="169">
        <f t="shared" si="5"/>
        <v>1.2230870674483538</v>
      </c>
      <c r="R19" s="48">
        <v>63624.128879999997</v>
      </c>
      <c r="S19" s="48">
        <v>0</v>
      </c>
      <c r="T19" s="48">
        <v>0</v>
      </c>
      <c r="U19" s="49">
        <f t="shared" si="6"/>
        <v>63624.128879999997</v>
      </c>
      <c r="V19" s="72">
        <f t="shared" si="7"/>
        <v>1.4677044809380246</v>
      </c>
      <c r="W19" s="50">
        <v>0</v>
      </c>
      <c r="X19" s="50">
        <v>0</v>
      </c>
      <c r="Y19" s="35">
        <f t="shared" si="14"/>
        <v>84301.970765999984</v>
      </c>
      <c r="Z19" s="76">
        <f t="shared" si="8"/>
        <v>0</v>
      </c>
      <c r="AA19" s="76">
        <f t="shared" si="9"/>
        <v>0</v>
      </c>
      <c r="AB19" s="76">
        <f t="shared" si="10"/>
        <v>1.9447084372428824</v>
      </c>
    </row>
    <row r="20" spans="1:28" s="34" customFormat="1" hidden="1">
      <c r="A20" s="34" t="s">
        <v>15</v>
      </c>
      <c r="B20" s="34" t="s">
        <v>8</v>
      </c>
      <c r="C20" s="34" t="s">
        <v>762</v>
      </c>
      <c r="D20" s="33" t="s">
        <v>2</v>
      </c>
      <c r="E20" s="33" t="s">
        <v>51</v>
      </c>
      <c r="F20" s="46">
        <f>F19</f>
        <v>9000</v>
      </c>
      <c r="G20" s="63">
        <f>G19</f>
        <v>57596600</v>
      </c>
      <c r="H20" s="63">
        <f t="shared" si="1"/>
        <v>6399.6222222222223</v>
      </c>
      <c r="I20" s="47">
        <v>247.29</v>
      </c>
      <c r="J20" s="63">
        <f t="shared" si="2"/>
        <v>1582562.5793333333</v>
      </c>
      <c r="K20" s="49">
        <f t="shared" ref="K20:K21" si="18">K19</f>
        <v>1345178.1924333333</v>
      </c>
      <c r="L20" s="70">
        <f t="shared" si="4"/>
        <v>43349.413799797883</v>
      </c>
      <c r="M20" s="63">
        <f>M19</f>
        <v>1590603.2219999998</v>
      </c>
      <c r="N20" s="63">
        <f>$E$77*1</f>
        <v>200000</v>
      </c>
      <c r="O20" s="63">
        <v>0</v>
      </c>
      <c r="P20" s="66">
        <f t="shared" si="0"/>
        <v>1790603.2219999998</v>
      </c>
      <c r="Q20" s="169">
        <f t="shared" si="5"/>
        <v>1.3768761520587147</v>
      </c>
      <c r="R20" s="48">
        <f>R19</f>
        <v>63624.128879999997</v>
      </c>
      <c r="S20" s="48">
        <f>$F$77</f>
        <v>16400</v>
      </c>
      <c r="T20" s="48">
        <v>0</v>
      </c>
      <c r="U20" s="49">
        <f t="shared" si="6"/>
        <v>80024.128880000004</v>
      </c>
      <c r="V20" s="72">
        <f t="shared" si="7"/>
        <v>1.846025629079513</v>
      </c>
      <c r="W20" s="50">
        <f>M20*0.031*1</f>
        <v>49308.699881999994</v>
      </c>
      <c r="X20" s="50">
        <f>X19</f>
        <v>0</v>
      </c>
      <c r="Y20" s="35">
        <f>Y19</f>
        <v>84301.970765999984</v>
      </c>
      <c r="Z20" s="76">
        <f t="shared" si="8"/>
        <v>0</v>
      </c>
      <c r="AA20" s="76">
        <f t="shared" si="9"/>
        <v>1.137470972726969</v>
      </c>
      <c r="AB20" s="76">
        <f t="shared" si="10"/>
        <v>1.9447084372428824</v>
      </c>
    </row>
    <row r="21" spans="1:28" s="34" customFormat="1" hidden="1">
      <c r="A21" s="36" t="s">
        <v>15</v>
      </c>
      <c r="B21" s="36" t="s">
        <v>8</v>
      </c>
      <c r="C21" s="36" t="s">
        <v>762</v>
      </c>
      <c r="D21" s="37" t="s">
        <v>2</v>
      </c>
      <c r="E21" s="37" t="s">
        <v>52</v>
      </c>
      <c r="F21" s="51">
        <f>F19</f>
        <v>9000</v>
      </c>
      <c r="G21" s="64">
        <f>G19</f>
        <v>57596600</v>
      </c>
      <c r="H21" s="64">
        <f t="shared" si="1"/>
        <v>6399.6222222222223</v>
      </c>
      <c r="I21" s="62">
        <v>247.29</v>
      </c>
      <c r="J21" s="64">
        <f t="shared" si="2"/>
        <v>1582562.5793333333</v>
      </c>
      <c r="K21" s="53">
        <f t="shared" si="18"/>
        <v>1345178.1924333333</v>
      </c>
      <c r="L21" s="71">
        <f t="shared" si="4"/>
        <v>43349.413799797883</v>
      </c>
      <c r="M21" s="64">
        <f>M19</f>
        <v>1590603.2219999998</v>
      </c>
      <c r="N21" s="64">
        <f>N20</f>
        <v>200000</v>
      </c>
      <c r="O21" s="64">
        <f>$D$83*$B$83</f>
        <v>900000</v>
      </c>
      <c r="P21" s="67">
        <f t="shared" si="0"/>
        <v>2690603.2220000001</v>
      </c>
      <c r="Q21" s="170">
        <f t="shared" si="5"/>
        <v>2.0689270328053393</v>
      </c>
      <c r="R21" s="52">
        <f>R19</f>
        <v>63624.128879999997</v>
      </c>
      <c r="S21" s="52">
        <f>S20</f>
        <v>16400</v>
      </c>
      <c r="T21" s="52">
        <v>67657.511316960008</v>
      </c>
      <c r="U21" s="53">
        <f t="shared" si="6"/>
        <v>147681.64019696001</v>
      </c>
      <c r="V21" s="73">
        <f t="shared" si="7"/>
        <v>3.4067736389470755</v>
      </c>
      <c r="W21" s="54">
        <f>W20</f>
        <v>49308.699881999994</v>
      </c>
      <c r="X21" s="54">
        <f>X20</f>
        <v>0</v>
      </c>
      <c r="Y21" s="38">
        <f>Y20</f>
        <v>84301.970765999984</v>
      </c>
      <c r="Z21" s="76">
        <f t="shared" si="8"/>
        <v>0</v>
      </c>
      <c r="AA21" s="76">
        <f t="shared" si="9"/>
        <v>1.137470972726969</v>
      </c>
      <c r="AB21" s="76">
        <f t="shared" si="10"/>
        <v>1.9447084372428824</v>
      </c>
    </row>
    <row r="22" spans="1:28" s="34" customFormat="1">
      <c r="A22" s="33" t="s">
        <v>13</v>
      </c>
      <c r="B22" s="34" t="s">
        <v>6</v>
      </c>
      <c r="C22" s="34" t="s">
        <v>760</v>
      </c>
      <c r="D22" s="33" t="s">
        <v>3</v>
      </c>
      <c r="E22" s="33" t="s">
        <v>50</v>
      </c>
      <c r="F22" s="46">
        <v>1570</v>
      </c>
      <c r="G22" s="63">
        <v>1094800</v>
      </c>
      <c r="H22" s="63">
        <f t="shared" si="1"/>
        <v>697.32484076433116</v>
      </c>
      <c r="I22" s="47">
        <v>690.25</v>
      </c>
      <c r="J22" s="63">
        <f t="shared" si="2"/>
        <v>481328.4713375796</v>
      </c>
      <c r="K22" s="49">
        <f>J22*0.85</f>
        <v>409129.20063694264</v>
      </c>
      <c r="L22" s="70">
        <f t="shared" si="4"/>
        <v>13184.506793043574</v>
      </c>
      <c r="M22" s="63">
        <v>732533.42499999993</v>
      </c>
      <c r="N22" s="63">
        <v>0</v>
      </c>
      <c r="O22" s="63">
        <v>0</v>
      </c>
      <c r="P22" s="66">
        <f t="shared" si="0"/>
        <v>732533.42499999993</v>
      </c>
      <c r="Q22" s="169">
        <f t="shared" si="5"/>
        <v>1.8520056318084397</v>
      </c>
      <c r="R22" s="48">
        <v>29301.337</v>
      </c>
      <c r="S22" s="48">
        <v>0</v>
      </c>
      <c r="T22" s="48">
        <v>0</v>
      </c>
      <c r="U22" s="49">
        <f t="shared" si="6"/>
        <v>29301.337</v>
      </c>
      <c r="V22" s="72">
        <f t="shared" si="7"/>
        <v>2.2224067581701279</v>
      </c>
      <c r="W22" s="50">
        <v>0</v>
      </c>
      <c r="X22" s="50">
        <f t="shared" si="12"/>
        <v>46882.139199999998</v>
      </c>
      <c r="Y22" s="35">
        <f t="shared" si="14"/>
        <v>38824.271524999996</v>
      </c>
      <c r="Z22" s="76">
        <f t="shared" si="8"/>
        <v>3.5558508130722046</v>
      </c>
      <c r="AA22" s="76">
        <f t="shared" si="9"/>
        <v>0</v>
      </c>
      <c r="AB22" s="76">
        <f t="shared" si="10"/>
        <v>2.9446889545754193</v>
      </c>
    </row>
    <row r="23" spans="1:28" s="34" customFormat="1">
      <c r="A23" s="33" t="s">
        <v>13</v>
      </c>
      <c r="B23" s="34" t="s">
        <v>6</v>
      </c>
      <c r="C23" s="34" t="s">
        <v>760</v>
      </c>
      <c r="D23" s="33" t="s">
        <v>3</v>
      </c>
      <c r="E23" s="33" t="s">
        <v>51</v>
      </c>
      <c r="F23" s="46">
        <f>F22</f>
        <v>1570</v>
      </c>
      <c r="G23" s="63">
        <f>G22</f>
        <v>1094800</v>
      </c>
      <c r="H23" s="63">
        <f t="shared" si="1"/>
        <v>697.32484076433116</v>
      </c>
      <c r="I23" s="47">
        <v>690.25</v>
      </c>
      <c r="J23" s="63">
        <f t="shared" si="2"/>
        <v>481328.4713375796</v>
      </c>
      <c r="K23" s="49">
        <f t="shared" ref="K23:K24" si="19">K22</f>
        <v>409129.20063694264</v>
      </c>
      <c r="L23" s="70">
        <f t="shared" si="4"/>
        <v>13184.506793043574</v>
      </c>
      <c r="M23" s="63">
        <f>M22</f>
        <v>732533.42499999993</v>
      </c>
      <c r="N23" s="63">
        <f>$E$72*1</f>
        <v>132500</v>
      </c>
      <c r="O23" s="63">
        <v>0</v>
      </c>
      <c r="P23" s="66">
        <f t="shared" si="0"/>
        <v>865033.42499999993</v>
      </c>
      <c r="Q23" s="169">
        <f t="shared" si="5"/>
        <v>2.1869947774772784</v>
      </c>
      <c r="R23" s="48">
        <f>R22+F72</f>
        <v>38766.337</v>
      </c>
      <c r="S23" s="48">
        <f>$F$72</f>
        <v>9465</v>
      </c>
      <c r="T23" s="48">
        <v>0</v>
      </c>
      <c r="U23" s="49">
        <f t="shared" si="6"/>
        <v>48231.337</v>
      </c>
      <c r="V23" s="72">
        <f t="shared" si="7"/>
        <v>3.658182877606607</v>
      </c>
      <c r="W23" s="50">
        <f>M23*0.031*1</f>
        <v>22708.536174999997</v>
      </c>
      <c r="X23" s="50">
        <f>X22</f>
        <v>46882.139199999998</v>
      </c>
      <c r="Y23" s="35">
        <f>Y22</f>
        <v>38824.271524999996</v>
      </c>
      <c r="Z23" s="76">
        <f t="shared" si="8"/>
        <v>3.5558508130722046</v>
      </c>
      <c r="AA23" s="76">
        <f t="shared" si="9"/>
        <v>1.722365237581849</v>
      </c>
      <c r="AB23" s="76">
        <f t="shared" si="10"/>
        <v>2.9446889545754193</v>
      </c>
    </row>
    <row r="24" spans="1:28" s="34" customFormat="1">
      <c r="A24" s="33" t="s">
        <v>13</v>
      </c>
      <c r="B24" s="34" t="s">
        <v>6</v>
      </c>
      <c r="C24" s="34" t="s">
        <v>760</v>
      </c>
      <c r="D24" s="33" t="s">
        <v>3</v>
      </c>
      <c r="E24" s="33" t="s">
        <v>52</v>
      </c>
      <c r="F24" s="46">
        <f>F22</f>
        <v>1570</v>
      </c>
      <c r="G24" s="63">
        <f>G22</f>
        <v>1094800</v>
      </c>
      <c r="H24" s="63">
        <f t="shared" si="1"/>
        <v>697.32484076433116</v>
      </c>
      <c r="I24" s="47">
        <v>690.25</v>
      </c>
      <c r="J24" s="63">
        <f t="shared" si="2"/>
        <v>481328.4713375796</v>
      </c>
      <c r="K24" s="49">
        <f>K23</f>
        <v>409129.20063694264</v>
      </c>
      <c r="L24" s="70">
        <f t="shared" si="4"/>
        <v>13184.506793043574</v>
      </c>
      <c r="M24" s="63">
        <f>M22</f>
        <v>732533.42499999993</v>
      </c>
      <c r="N24" s="63">
        <f>N23</f>
        <v>132500</v>
      </c>
      <c r="O24" s="63">
        <f>$D$83*$B$83</f>
        <v>900000</v>
      </c>
      <c r="P24" s="66">
        <f t="shared" si="0"/>
        <v>1765033.4249999998</v>
      </c>
      <c r="Q24" s="169">
        <f t="shared" si="5"/>
        <v>4.4623927480580692</v>
      </c>
      <c r="R24" s="48">
        <f>R22+J24*$B$89*$A$83</f>
        <v>47914.758354885045</v>
      </c>
      <c r="S24" s="48">
        <f>S23</f>
        <v>9465</v>
      </c>
      <c r="T24" s="48">
        <v>17195.0507784</v>
      </c>
      <c r="U24" s="49">
        <f t="shared" si="6"/>
        <v>74574.809133285045</v>
      </c>
      <c r="V24" s="72">
        <f t="shared" si="7"/>
        <v>5.6562456452775542</v>
      </c>
      <c r="W24" s="50">
        <f>W23</f>
        <v>22708.536174999997</v>
      </c>
      <c r="X24" s="50">
        <f>X23</f>
        <v>46882.139199999998</v>
      </c>
      <c r="Y24" s="35">
        <f>Y23</f>
        <v>38824.271524999996</v>
      </c>
      <c r="Z24" s="76">
        <f t="shared" si="8"/>
        <v>3.5558508130722046</v>
      </c>
      <c r="AA24" s="76">
        <f t="shared" si="9"/>
        <v>1.722365237581849</v>
      </c>
      <c r="AB24" s="76">
        <f t="shared" si="10"/>
        <v>2.9446889545754193</v>
      </c>
    </row>
    <row r="25" spans="1:28">
      <c r="A25" s="34" t="s">
        <v>13</v>
      </c>
      <c r="B25" s="34" t="s">
        <v>7</v>
      </c>
      <c r="C25" s="33" t="s">
        <v>761</v>
      </c>
      <c r="D25" s="33" t="s">
        <v>3</v>
      </c>
      <c r="E25" s="33" t="s">
        <v>50</v>
      </c>
      <c r="F25" s="46">
        <v>950</v>
      </c>
      <c r="G25" s="63">
        <v>1288000</v>
      </c>
      <c r="H25" s="63">
        <f t="shared" si="1"/>
        <v>1355.7894736842106</v>
      </c>
      <c r="I25" s="47">
        <v>690.25</v>
      </c>
      <c r="J25" s="65">
        <f t="shared" si="2"/>
        <v>935833.68421052641</v>
      </c>
      <c r="K25" s="49">
        <f t="shared" si="11"/>
        <v>795458.63157894742</v>
      </c>
      <c r="L25" s="70">
        <f t="shared" si="4"/>
        <v>25634.273269446952</v>
      </c>
      <c r="M25" s="65">
        <v>1113567.8839999998</v>
      </c>
      <c r="N25" s="65">
        <v>0</v>
      </c>
      <c r="O25" s="63">
        <v>0</v>
      </c>
      <c r="P25" s="66">
        <f t="shared" si="0"/>
        <v>1113567.8839999998</v>
      </c>
      <c r="Q25" s="169">
        <f t="shared" si="5"/>
        <v>1.4480195742825319</v>
      </c>
      <c r="R25" s="55">
        <v>44542.715359999995</v>
      </c>
      <c r="S25" s="48">
        <v>0</v>
      </c>
      <c r="T25" s="48">
        <v>0</v>
      </c>
      <c r="U25" s="49">
        <f t="shared" si="6"/>
        <v>44542.715359999995</v>
      </c>
      <c r="V25" s="72">
        <f t="shared" si="7"/>
        <v>1.7376234891390383</v>
      </c>
      <c r="W25" s="56">
        <v>0</v>
      </c>
      <c r="X25" s="50">
        <f t="shared" si="12"/>
        <v>71268.344575999989</v>
      </c>
      <c r="Y25" s="35">
        <f t="shared" si="14"/>
        <v>59019.097851999992</v>
      </c>
      <c r="Z25" s="76">
        <f t="shared" si="8"/>
        <v>2.7801975826224612</v>
      </c>
      <c r="AA25" s="76">
        <f t="shared" si="9"/>
        <v>0</v>
      </c>
      <c r="AB25" s="76">
        <f t="shared" si="10"/>
        <v>2.3023511231092257</v>
      </c>
    </row>
    <row r="26" spans="1:28">
      <c r="A26" s="34" t="s">
        <v>13</v>
      </c>
      <c r="B26" s="34" t="s">
        <v>7</v>
      </c>
      <c r="C26" s="33" t="s">
        <v>761</v>
      </c>
      <c r="D26" s="33" t="s">
        <v>3</v>
      </c>
      <c r="E26" s="33" t="s">
        <v>51</v>
      </c>
      <c r="F26" s="46">
        <f>F25</f>
        <v>950</v>
      </c>
      <c r="G26" s="63">
        <f>G25</f>
        <v>1288000</v>
      </c>
      <c r="H26" s="63">
        <f t="shared" si="1"/>
        <v>1355.7894736842106</v>
      </c>
      <c r="I26" s="47">
        <v>690.25</v>
      </c>
      <c r="J26" s="65">
        <f t="shared" si="2"/>
        <v>935833.68421052641</v>
      </c>
      <c r="K26" s="49">
        <f t="shared" ref="K26:K27" si="20">K25</f>
        <v>795458.63157894742</v>
      </c>
      <c r="L26" s="70">
        <f t="shared" si="4"/>
        <v>25634.273269446952</v>
      </c>
      <c r="M26" s="63">
        <f>M25</f>
        <v>1113567.8839999998</v>
      </c>
      <c r="N26" s="63">
        <f>$E$75*1</f>
        <v>132500</v>
      </c>
      <c r="O26" s="63">
        <v>0</v>
      </c>
      <c r="P26" s="66">
        <f t="shared" si="0"/>
        <v>1246067.8839999998</v>
      </c>
      <c r="Q26" s="169">
        <f t="shared" si="5"/>
        <v>1.6203149469752625</v>
      </c>
      <c r="R26" s="48">
        <f>R25+F75</f>
        <v>54007.715359999995</v>
      </c>
      <c r="S26" s="48">
        <f>$F$75</f>
        <v>9465</v>
      </c>
      <c r="T26" s="48">
        <v>0</v>
      </c>
      <c r="U26" s="49">
        <f t="shared" si="6"/>
        <v>63472.715359999995</v>
      </c>
      <c r="V26" s="72">
        <f t="shared" si="7"/>
        <v>2.476087958212259</v>
      </c>
      <c r="W26" s="50">
        <f>M26*0.031*1</f>
        <v>34520.604403999998</v>
      </c>
      <c r="X26" s="50">
        <f>X25</f>
        <v>71268.344575999989</v>
      </c>
      <c r="Y26" s="35">
        <f>Y25</f>
        <v>59019.097851999992</v>
      </c>
      <c r="Z26" s="76">
        <f t="shared" si="8"/>
        <v>2.7801975826224612</v>
      </c>
      <c r="AA26" s="76">
        <f t="shared" si="9"/>
        <v>1.3466582040827546</v>
      </c>
      <c r="AB26" s="76">
        <f t="shared" si="10"/>
        <v>2.3023511231092257</v>
      </c>
    </row>
    <row r="27" spans="1:28">
      <c r="A27" s="34" t="s">
        <v>13</v>
      </c>
      <c r="B27" s="34" t="s">
        <v>7</v>
      </c>
      <c r="C27" s="33" t="s">
        <v>761</v>
      </c>
      <c r="D27" s="33" t="s">
        <v>3</v>
      </c>
      <c r="E27" s="33" t="s">
        <v>52</v>
      </c>
      <c r="F27" s="46">
        <f>F25</f>
        <v>950</v>
      </c>
      <c r="G27" s="63">
        <f>G25</f>
        <v>1288000</v>
      </c>
      <c r="H27" s="63">
        <f t="shared" si="1"/>
        <v>1355.7894736842106</v>
      </c>
      <c r="I27" s="47">
        <v>690.25</v>
      </c>
      <c r="J27" s="65">
        <f t="shared" si="2"/>
        <v>935833.68421052641</v>
      </c>
      <c r="K27" s="49">
        <f t="shared" si="20"/>
        <v>795458.63157894742</v>
      </c>
      <c r="L27" s="70">
        <f t="shared" si="4"/>
        <v>25634.273269446952</v>
      </c>
      <c r="M27" s="63">
        <f>M25</f>
        <v>1113567.8839999998</v>
      </c>
      <c r="N27" s="63">
        <f>N26</f>
        <v>132500</v>
      </c>
      <c r="O27" s="63">
        <f>$D$83*$B$83</f>
        <v>900000</v>
      </c>
      <c r="P27" s="66">
        <f t="shared" si="0"/>
        <v>2146067.8839999996</v>
      </c>
      <c r="Q27" s="169">
        <f t="shared" si="5"/>
        <v>2.7906231388504144</v>
      </c>
      <c r="R27" s="48">
        <f>R25+J27*$B$89*$A$83</f>
        <v>80732.277622748632</v>
      </c>
      <c r="S27" s="48">
        <f>S26</f>
        <v>9465</v>
      </c>
      <c r="T27" s="48">
        <v>33452.638243199995</v>
      </c>
      <c r="U27" s="49">
        <f t="shared" si="6"/>
        <v>123649.91586594863</v>
      </c>
      <c r="V27" s="72">
        <f t="shared" si="7"/>
        <v>4.823616982086433</v>
      </c>
      <c r="W27" s="50">
        <f>W26</f>
        <v>34520.604403999998</v>
      </c>
      <c r="X27" s="50">
        <f>X26</f>
        <v>71268.344575999989</v>
      </c>
      <c r="Y27" s="35">
        <f>Y26</f>
        <v>59019.097851999992</v>
      </c>
      <c r="Z27" s="76">
        <f t="shared" si="8"/>
        <v>2.7801975826224612</v>
      </c>
      <c r="AA27" s="76">
        <f t="shared" si="9"/>
        <v>1.3466582040827546</v>
      </c>
      <c r="AB27" s="76">
        <f t="shared" si="10"/>
        <v>2.3023511231092257</v>
      </c>
    </row>
    <row r="28" spans="1:28">
      <c r="A28" s="34" t="s">
        <v>13</v>
      </c>
      <c r="B28" s="34" t="s">
        <v>8</v>
      </c>
      <c r="C28" s="33" t="s">
        <v>762</v>
      </c>
      <c r="D28" s="33" t="s">
        <v>3</v>
      </c>
      <c r="E28" s="33" t="s">
        <v>50</v>
      </c>
      <c r="F28" s="46">
        <v>780</v>
      </c>
      <c r="G28" s="63">
        <v>2999200</v>
      </c>
      <c r="H28" s="63">
        <f t="shared" si="1"/>
        <v>3845.1282051282051</v>
      </c>
      <c r="I28" s="47">
        <v>690.25</v>
      </c>
      <c r="J28" s="63">
        <f t="shared" si="2"/>
        <v>2654099.7435897435</v>
      </c>
      <c r="K28" s="49">
        <f t="shared" si="11"/>
        <v>2255984.782051282</v>
      </c>
      <c r="L28" s="70">
        <f t="shared" si="4"/>
        <v>72700.864757763004</v>
      </c>
      <c r="M28" s="63">
        <v>2552710.173</v>
      </c>
      <c r="N28" s="63">
        <v>0</v>
      </c>
      <c r="O28" s="63">
        <v>0</v>
      </c>
      <c r="P28" s="66">
        <f t="shared" si="0"/>
        <v>2552710.173</v>
      </c>
      <c r="Q28" s="169">
        <f t="shared" si="5"/>
        <v>1.1704171523064868</v>
      </c>
      <c r="R28" s="48">
        <v>102108.40691999999</v>
      </c>
      <c r="S28" s="48">
        <v>0</v>
      </c>
      <c r="T28" s="48">
        <v>0</v>
      </c>
      <c r="U28" s="49">
        <f t="shared" si="6"/>
        <v>102108.40691999999</v>
      </c>
      <c r="V28" s="72">
        <f t="shared" si="7"/>
        <v>1.4045005827677841</v>
      </c>
      <c r="W28" s="50">
        <v>0</v>
      </c>
      <c r="X28" s="50">
        <f t="shared" si="12"/>
        <v>163373.451072</v>
      </c>
      <c r="Y28" s="35">
        <f t="shared" si="14"/>
        <v>135293.639169</v>
      </c>
      <c r="Z28" s="76">
        <f t="shared" si="8"/>
        <v>2.2472009324284548</v>
      </c>
      <c r="AA28" s="76">
        <f t="shared" si="9"/>
        <v>0</v>
      </c>
      <c r="AB28" s="76">
        <f t="shared" si="10"/>
        <v>1.8609632721673139</v>
      </c>
    </row>
    <row r="29" spans="1:28">
      <c r="A29" s="34" t="s">
        <v>13</v>
      </c>
      <c r="B29" s="34" t="s">
        <v>8</v>
      </c>
      <c r="C29" s="34" t="s">
        <v>762</v>
      </c>
      <c r="D29" s="33" t="s">
        <v>3</v>
      </c>
      <c r="E29" s="33" t="s">
        <v>51</v>
      </c>
      <c r="F29" s="46">
        <f>F28</f>
        <v>780</v>
      </c>
      <c r="G29" s="63">
        <f>G28</f>
        <v>2999200</v>
      </c>
      <c r="H29" s="63">
        <f t="shared" si="1"/>
        <v>3845.1282051282051</v>
      </c>
      <c r="I29" s="47">
        <v>690.25</v>
      </c>
      <c r="J29" s="63">
        <f t="shared" si="2"/>
        <v>2654099.7435897435</v>
      </c>
      <c r="K29" s="49">
        <f t="shared" ref="K29:K30" si="21">K28</f>
        <v>2255984.782051282</v>
      </c>
      <c r="L29" s="70">
        <f t="shared" si="4"/>
        <v>72700.864757763004</v>
      </c>
      <c r="M29" s="63">
        <f>M28</f>
        <v>2552710.173</v>
      </c>
      <c r="N29" s="63">
        <f>$E$78*1</f>
        <v>200000</v>
      </c>
      <c r="O29" s="63">
        <v>0</v>
      </c>
      <c r="P29" s="66">
        <f t="shared" si="0"/>
        <v>2752710.173</v>
      </c>
      <c r="Q29" s="169">
        <f t="shared" si="5"/>
        <v>1.2621171161085654</v>
      </c>
      <c r="R29" s="48">
        <f>R28+F78</f>
        <v>118508.40691999999</v>
      </c>
      <c r="S29" s="48">
        <f>$F$78</f>
        <v>16400</v>
      </c>
      <c r="T29" s="48">
        <v>0</v>
      </c>
      <c r="U29" s="49">
        <f t="shared" si="6"/>
        <v>134908.40691999998</v>
      </c>
      <c r="V29" s="72">
        <f t="shared" si="7"/>
        <v>1.8556644046740098</v>
      </c>
      <c r="W29" s="50">
        <f>M29*0.031*1</f>
        <v>79134.015362999999</v>
      </c>
      <c r="X29" s="50">
        <f>X28</f>
        <v>163373.451072</v>
      </c>
      <c r="Y29" s="35">
        <f>Y28</f>
        <v>135293.639169</v>
      </c>
      <c r="Z29" s="76">
        <f t="shared" si="8"/>
        <v>2.2472009324284548</v>
      </c>
      <c r="AA29" s="76">
        <f t="shared" si="9"/>
        <v>1.0884879516450328</v>
      </c>
      <c r="AB29" s="76">
        <f t="shared" si="10"/>
        <v>1.8609632721673139</v>
      </c>
    </row>
    <row r="30" spans="1:28">
      <c r="A30" s="36" t="s">
        <v>13</v>
      </c>
      <c r="B30" s="36" t="s">
        <v>8</v>
      </c>
      <c r="C30" s="36" t="s">
        <v>762</v>
      </c>
      <c r="D30" s="37" t="s">
        <v>3</v>
      </c>
      <c r="E30" s="37" t="s">
        <v>52</v>
      </c>
      <c r="F30" s="51">
        <f>F28</f>
        <v>780</v>
      </c>
      <c r="G30" s="64">
        <f>G28</f>
        <v>2999200</v>
      </c>
      <c r="H30" s="64">
        <f t="shared" si="1"/>
        <v>3845.1282051282051</v>
      </c>
      <c r="I30" s="62">
        <v>690.25</v>
      </c>
      <c r="J30" s="64">
        <f t="shared" si="2"/>
        <v>2654099.7435897435</v>
      </c>
      <c r="K30" s="53">
        <f t="shared" si="21"/>
        <v>2255984.782051282</v>
      </c>
      <c r="L30" s="71">
        <f t="shared" si="4"/>
        <v>72700.864757763004</v>
      </c>
      <c r="M30" s="64">
        <f>M28</f>
        <v>2552710.173</v>
      </c>
      <c r="N30" s="64">
        <f>N29</f>
        <v>200000</v>
      </c>
      <c r="O30" s="64">
        <f>$D$83*$B$83</f>
        <v>900000</v>
      </c>
      <c r="P30" s="67">
        <f t="shared" si="0"/>
        <v>3652710.173</v>
      </c>
      <c r="Q30" s="170">
        <f t="shared" si="5"/>
        <v>1.6747669532179181</v>
      </c>
      <c r="R30" s="52">
        <f>R28+J30*$B$89*$A$83</f>
        <v>204744.92187213601</v>
      </c>
      <c r="S30" s="52">
        <f>S29</f>
        <v>16400</v>
      </c>
      <c r="T30" s="52">
        <v>94856.485284000009</v>
      </c>
      <c r="U30" s="53">
        <f t="shared" si="6"/>
        <v>316001.407156136</v>
      </c>
      <c r="V30" s="73">
        <f t="shared" si="7"/>
        <v>4.3465976396435275</v>
      </c>
      <c r="W30" s="54">
        <f>W29</f>
        <v>79134.015362999999</v>
      </c>
      <c r="X30" s="54">
        <f>X29</f>
        <v>163373.451072</v>
      </c>
      <c r="Y30" s="38">
        <f>Y29</f>
        <v>135293.639169</v>
      </c>
      <c r="Z30" s="76">
        <f t="shared" si="8"/>
        <v>2.2472009324284548</v>
      </c>
      <c r="AA30" s="76">
        <f t="shared" si="9"/>
        <v>1.0884879516450328</v>
      </c>
      <c r="AB30" s="76">
        <f t="shared" si="10"/>
        <v>1.8609632721673139</v>
      </c>
    </row>
    <row r="31" spans="1:28">
      <c r="A31" s="33" t="s">
        <v>15</v>
      </c>
      <c r="B31" s="34" t="s">
        <v>6</v>
      </c>
      <c r="C31" s="34" t="s">
        <v>760</v>
      </c>
      <c r="D31" s="33" t="s">
        <v>3</v>
      </c>
      <c r="E31" s="33" t="s">
        <v>50</v>
      </c>
      <c r="F31" s="46">
        <v>2300</v>
      </c>
      <c r="G31" s="63">
        <v>1713400</v>
      </c>
      <c r="H31" s="63">
        <f t="shared" si="1"/>
        <v>744.95652173913038</v>
      </c>
      <c r="I31" s="47">
        <v>247.29</v>
      </c>
      <c r="J31" s="65">
        <f t="shared" si="2"/>
        <v>184220.29826086955</v>
      </c>
      <c r="K31" s="49">
        <f t="shared" si="11"/>
        <v>156587.2535217391</v>
      </c>
      <c r="L31" s="70">
        <f t="shared" si="4"/>
        <v>5046.1460696212825</v>
      </c>
      <c r="M31" s="65">
        <v>464676.02973999997</v>
      </c>
      <c r="N31" s="63">
        <v>0</v>
      </c>
      <c r="O31" s="63">
        <v>0</v>
      </c>
      <c r="P31" s="66">
        <f t="shared" si="0"/>
        <v>464676.02973999997</v>
      </c>
      <c r="Q31" s="169">
        <f t="shared" si="5"/>
        <v>3.0695110243798016</v>
      </c>
      <c r="R31" s="55">
        <v>18587.041189600001</v>
      </c>
      <c r="S31" s="48">
        <v>0</v>
      </c>
      <c r="T31" s="48">
        <v>0</v>
      </c>
      <c r="U31" s="49">
        <f t="shared" si="6"/>
        <v>18587.041189600001</v>
      </c>
      <c r="V31" s="72">
        <f t="shared" si="7"/>
        <v>3.6834132292557622</v>
      </c>
      <c r="W31" s="56">
        <v>0</v>
      </c>
      <c r="X31" s="50">
        <v>0</v>
      </c>
      <c r="Y31" s="35">
        <f t="shared" si="14"/>
        <v>24627.829576219996</v>
      </c>
      <c r="Z31" s="76">
        <f t="shared" si="8"/>
        <v>0</v>
      </c>
      <c r="AA31" s="76">
        <f t="shared" si="9"/>
        <v>0</v>
      </c>
      <c r="AB31" s="76">
        <f t="shared" si="10"/>
        <v>4.8805225287638843</v>
      </c>
    </row>
    <row r="32" spans="1:28">
      <c r="A32" s="33" t="s">
        <v>15</v>
      </c>
      <c r="B32" s="34" t="s">
        <v>6</v>
      </c>
      <c r="C32" s="34" t="s">
        <v>760</v>
      </c>
      <c r="D32" s="33" t="s">
        <v>3</v>
      </c>
      <c r="E32" s="33" t="s">
        <v>51</v>
      </c>
      <c r="F32" s="46">
        <f>F31</f>
        <v>2300</v>
      </c>
      <c r="G32" s="63">
        <f>G31</f>
        <v>1713400</v>
      </c>
      <c r="H32" s="63">
        <f t="shared" si="1"/>
        <v>744.95652173913038</v>
      </c>
      <c r="I32" s="47">
        <v>247.29</v>
      </c>
      <c r="J32" s="65">
        <f t="shared" si="2"/>
        <v>184220.29826086955</v>
      </c>
      <c r="K32" s="49">
        <f t="shared" ref="K32:K33" si="22">K31</f>
        <v>156587.2535217391</v>
      </c>
      <c r="L32" s="70">
        <f t="shared" si="4"/>
        <v>5046.1460696212825</v>
      </c>
      <c r="M32" s="63">
        <f>M31</f>
        <v>464676.02973999997</v>
      </c>
      <c r="N32" s="63">
        <f>$E$72*1</f>
        <v>132500</v>
      </c>
      <c r="O32" s="63">
        <v>0</v>
      </c>
      <c r="P32" s="66">
        <f t="shared" si="0"/>
        <v>597176.02973999991</v>
      </c>
      <c r="Q32" s="169">
        <f t="shared" si="5"/>
        <v>3.9447664382600696</v>
      </c>
      <c r="R32" s="48">
        <f>R31</f>
        <v>18587.041189600001</v>
      </c>
      <c r="S32" s="48">
        <f>$F$72</f>
        <v>9465</v>
      </c>
      <c r="T32" s="48">
        <v>0</v>
      </c>
      <c r="U32" s="49">
        <f t="shared" si="6"/>
        <v>28052.041189600001</v>
      </c>
      <c r="V32" s="72">
        <f t="shared" si="7"/>
        <v>5.5591020954542696</v>
      </c>
      <c r="W32" s="50">
        <f>M32*0.031*1</f>
        <v>14404.956921939998</v>
      </c>
      <c r="X32" s="50">
        <f>X31</f>
        <v>0</v>
      </c>
      <c r="Y32" s="35">
        <f>Y31</f>
        <v>24627.829576219996</v>
      </c>
      <c r="Z32" s="76">
        <f t="shared" si="8"/>
        <v>0</v>
      </c>
      <c r="AA32" s="76">
        <f t="shared" si="9"/>
        <v>2.8546452526732153</v>
      </c>
      <c r="AB32" s="76">
        <f t="shared" si="10"/>
        <v>4.8805225287638843</v>
      </c>
    </row>
    <row r="33" spans="1:28">
      <c r="A33" s="33" t="s">
        <v>15</v>
      </c>
      <c r="B33" s="34" t="s">
        <v>6</v>
      </c>
      <c r="C33" s="34" t="s">
        <v>760</v>
      </c>
      <c r="D33" s="33" t="s">
        <v>3</v>
      </c>
      <c r="E33" s="33" t="s">
        <v>52</v>
      </c>
      <c r="F33" s="46">
        <f>F31</f>
        <v>2300</v>
      </c>
      <c r="G33" s="63">
        <f>G31</f>
        <v>1713400</v>
      </c>
      <c r="H33" s="63">
        <f t="shared" si="1"/>
        <v>744.95652173913038</v>
      </c>
      <c r="I33" s="47">
        <v>247.29</v>
      </c>
      <c r="J33" s="65">
        <f t="shared" si="2"/>
        <v>184220.29826086955</v>
      </c>
      <c r="K33" s="49">
        <f t="shared" si="22"/>
        <v>156587.2535217391</v>
      </c>
      <c r="L33" s="70">
        <f t="shared" si="4"/>
        <v>5046.1460696212825</v>
      </c>
      <c r="M33" s="63">
        <f>M31</f>
        <v>464676.02973999997</v>
      </c>
      <c r="N33" s="63">
        <f>N32</f>
        <v>132500</v>
      </c>
      <c r="O33" s="63">
        <f>$D$83*$B$83</f>
        <v>900000</v>
      </c>
      <c r="P33" s="66">
        <f t="shared" si="0"/>
        <v>1497176.0297399999</v>
      </c>
      <c r="Q33" s="169">
        <f t="shared" si="5"/>
        <v>9.8898975514090637</v>
      </c>
      <c r="R33" s="48">
        <f>R31</f>
        <v>18587.041189600001</v>
      </c>
      <c r="S33" s="48">
        <f>S32</f>
        <v>9465</v>
      </c>
      <c r="T33" s="48">
        <v>6664.110193728</v>
      </c>
      <c r="U33" s="49">
        <f t="shared" si="6"/>
        <v>34716.151383328004</v>
      </c>
      <c r="V33" s="72">
        <f t="shared" si="7"/>
        <v>6.8797357239271273</v>
      </c>
      <c r="W33" s="50">
        <f>W32</f>
        <v>14404.956921939998</v>
      </c>
      <c r="X33" s="50">
        <f>X32</f>
        <v>0</v>
      </c>
      <c r="Y33" s="35">
        <f>Y32</f>
        <v>24627.829576219996</v>
      </c>
      <c r="Z33" s="76">
        <f t="shared" si="8"/>
        <v>0</v>
      </c>
      <c r="AA33" s="76">
        <f t="shared" si="9"/>
        <v>2.8546452526732153</v>
      </c>
      <c r="AB33" s="76">
        <f t="shared" si="10"/>
        <v>4.8805225287638843</v>
      </c>
    </row>
    <row r="34" spans="1:28">
      <c r="A34" s="34" t="s">
        <v>15</v>
      </c>
      <c r="B34" s="34" t="s">
        <v>7</v>
      </c>
      <c r="C34" s="33" t="s">
        <v>761</v>
      </c>
      <c r="D34" s="33" t="s">
        <v>3</v>
      </c>
      <c r="E34" s="33" t="s">
        <v>50</v>
      </c>
      <c r="F34" s="46">
        <v>3300</v>
      </c>
      <c r="G34" s="63">
        <v>4810700</v>
      </c>
      <c r="H34" s="63">
        <f t="shared" si="1"/>
        <v>1457.7878787878788</v>
      </c>
      <c r="I34" s="47">
        <v>247.29</v>
      </c>
      <c r="J34" s="65">
        <f t="shared" si="2"/>
        <v>360496.3645454545</v>
      </c>
      <c r="K34" s="49">
        <f t="shared" si="11"/>
        <v>306421.90986363631</v>
      </c>
      <c r="L34" s="70">
        <f t="shared" si="4"/>
        <v>9874.6844416015556</v>
      </c>
      <c r="M34" s="65">
        <v>590862.61597999989</v>
      </c>
      <c r="N34" s="65">
        <v>0</v>
      </c>
      <c r="O34" s="63">
        <v>0</v>
      </c>
      <c r="P34" s="66">
        <f t="shared" si="0"/>
        <v>590862.61597999989</v>
      </c>
      <c r="Q34" s="169">
        <f t="shared" si="5"/>
        <v>1.9945367013137993</v>
      </c>
      <c r="R34" s="55">
        <v>23634.504639199997</v>
      </c>
      <c r="S34" s="48">
        <v>0</v>
      </c>
      <c r="T34" s="48">
        <v>0</v>
      </c>
      <c r="U34" s="49">
        <f t="shared" si="6"/>
        <v>23634.504639199997</v>
      </c>
      <c r="V34" s="72">
        <f t="shared" si="7"/>
        <v>2.3934440415765592</v>
      </c>
      <c r="W34" s="56">
        <v>0</v>
      </c>
      <c r="X34" s="50">
        <v>0</v>
      </c>
      <c r="Y34" s="35">
        <f t="shared" si="14"/>
        <v>31315.718646939993</v>
      </c>
      <c r="Z34" s="76">
        <f t="shared" si="8"/>
        <v>0</v>
      </c>
      <c r="AA34" s="76">
        <f t="shared" si="9"/>
        <v>0</v>
      </c>
      <c r="AB34" s="76">
        <f t="shared" si="10"/>
        <v>3.171313355088941</v>
      </c>
    </row>
    <row r="35" spans="1:28">
      <c r="A35" s="34" t="s">
        <v>15</v>
      </c>
      <c r="B35" s="34" t="s">
        <v>7</v>
      </c>
      <c r="C35" s="33" t="s">
        <v>761</v>
      </c>
      <c r="D35" s="33" t="s">
        <v>3</v>
      </c>
      <c r="E35" s="33" t="s">
        <v>51</v>
      </c>
      <c r="F35" s="46">
        <f>F34</f>
        <v>3300</v>
      </c>
      <c r="G35" s="63">
        <f>G34</f>
        <v>4810700</v>
      </c>
      <c r="H35" s="63">
        <f t="shared" si="1"/>
        <v>1457.7878787878788</v>
      </c>
      <c r="I35" s="47">
        <v>247.29</v>
      </c>
      <c r="J35" s="65">
        <f t="shared" si="2"/>
        <v>360496.3645454545</v>
      </c>
      <c r="K35" s="49">
        <f t="shared" ref="K35:K36" si="23">K34</f>
        <v>306421.90986363631</v>
      </c>
      <c r="L35" s="70">
        <f t="shared" si="4"/>
        <v>9874.6844416015556</v>
      </c>
      <c r="M35" s="63">
        <f>M34</f>
        <v>590862.61597999989</v>
      </c>
      <c r="N35" s="63">
        <f>$E$75*1</f>
        <v>132500</v>
      </c>
      <c r="O35" s="63">
        <v>0</v>
      </c>
      <c r="P35" s="66">
        <f t="shared" si="0"/>
        <v>723362.61597999989</v>
      </c>
      <c r="Q35" s="169">
        <f t="shared" si="5"/>
        <v>2.4418083779720905</v>
      </c>
      <c r="R35" s="48">
        <f>R34</f>
        <v>23634.504639199997</v>
      </c>
      <c r="S35" s="48">
        <f>$F$75</f>
        <v>9465</v>
      </c>
      <c r="T35" s="48">
        <v>0</v>
      </c>
      <c r="U35" s="49">
        <f t="shared" si="6"/>
        <v>33099.504639199993</v>
      </c>
      <c r="V35" s="72">
        <f t="shared" si="7"/>
        <v>3.3519556837435149</v>
      </c>
      <c r="W35" s="50">
        <f>M35*0.031*1</f>
        <v>18316.741095379995</v>
      </c>
      <c r="X35" s="50">
        <f>X34</f>
        <v>0</v>
      </c>
      <c r="Y35" s="35">
        <f>Y34</f>
        <v>31315.718646939993</v>
      </c>
      <c r="Z35" s="76">
        <f t="shared" si="8"/>
        <v>0</v>
      </c>
      <c r="AA35" s="76">
        <f t="shared" si="9"/>
        <v>1.8549191322218332</v>
      </c>
      <c r="AB35" s="76">
        <f t="shared" si="10"/>
        <v>3.171313355088941</v>
      </c>
    </row>
    <row r="36" spans="1:28">
      <c r="A36" s="34" t="s">
        <v>15</v>
      </c>
      <c r="B36" s="34" t="s">
        <v>7</v>
      </c>
      <c r="C36" s="33" t="s">
        <v>761</v>
      </c>
      <c r="D36" s="33" t="s">
        <v>3</v>
      </c>
      <c r="E36" s="33" t="s">
        <v>52</v>
      </c>
      <c r="F36" s="46">
        <f>F34</f>
        <v>3300</v>
      </c>
      <c r="G36" s="63">
        <f>G34</f>
        <v>4810700</v>
      </c>
      <c r="H36" s="63">
        <f t="shared" si="1"/>
        <v>1457.7878787878788</v>
      </c>
      <c r="I36" s="47">
        <v>247.29</v>
      </c>
      <c r="J36" s="65">
        <f t="shared" si="2"/>
        <v>360496.3645454545</v>
      </c>
      <c r="K36" s="49">
        <f t="shared" si="23"/>
        <v>306421.90986363631</v>
      </c>
      <c r="L36" s="70">
        <f t="shared" si="4"/>
        <v>9874.6844416015556</v>
      </c>
      <c r="M36" s="63">
        <f>M34</f>
        <v>590862.61597999989</v>
      </c>
      <c r="N36" s="63">
        <f>N35</f>
        <v>132500</v>
      </c>
      <c r="O36" s="63">
        <f>$D$83*$B$83</f>
        <v>900000</v>
      </c>
      <c r="P36" s="66">
        <f t="shared" si="0"/>
        <v>1623362.6159799998</v>
      </c>
      <c r="Q36" s="169">
        <f t="shared" si="5"/>
        <v>5.4798801439529337</v>
      </c>
      <c r="R36" s="48">
        <f>R34</f>
        <v>23634.504639199997</v>
      </c>
      <c r="S36" s="48">
        <f>S35</f>
        <v>9465</v>
      </c>
      <c r="T36" s="48">
        <v>12886.303265856002</v>
      </c>
      <c r="U36" s="49">
        <f t="shared" si="6"/>
        <v>45985.807905055997</v>
      </c>
      <c r="V36" s="72">
        <f t="shared" si="7"/>
        <v>4.6569394877389776</v>
      </c>
      <c r="W36" s="50">
        <f>W35</f>
        <v>18316.741095379995</v>
      </c>
      <c r="X36" s="50">
        <f>X35</f>
        <v>0</v>
      </c>
      <c r="Y36" s="35">
        <f>Y35</f>
        <v>31315.718646939993</v>
      </c>
      <c r="Z36" s="76">
        <f t="shared" si="8"/>
        <v>0</v>
      </c>
      <c r="AA36" s="76">
        <f t="shared" si="9"/>
        <v>1.8549191322218332</v>
      </c>
      <c r="AB36" s="76">
        <f t="shared" si="10"/>
        <v>3.171313355088941</v>
      </c>
    </row>
    <row r="37" spans="1:28">
      <c r="A37" s="34" t="s">
        <v>15</v>
      </c>
      <c r="B37" s="34" t="s">
        <v>8</v>
      </c>
      <c r="C37" s="33" t="s">
        <v>762</v>
      </c>
      <c r="D37" s="33" t="s">
        <v>3</v>
      </c>
      <c r="E37" s="33" t="s">
        <v>50</v>
      </c>
      <c r="F37" s="46">
        <v>9000</v>
      </c>
      <c r="G37" s="63">
        <v>57596600</v>
      </c>
      <c r="H37" s="63">
        <f t="shared" si="1"/>
        <v>6399.6222222222223</v>
      </c>
      <c r="I37" s="47">
        <v>247.29</v>
      </c>
      <c r="J37" s="63">
        <f t="shared" si="2"/>
        <v>1582562.5793333333</v>
      </c>
      <c r="K37" s="49">
        <f t="shared" si="11"/>
        <v>1345178.1924333333</v>
      </c>
      <c r="L37" s="70">
        <f t="shared" si="4"/>
        <v>43349.413799797883</v>
      </c>
      <c r="M37" s="63">
        <v>1701627.2110499998</v>
      </c>
      <c r="N37" s="63">
        <v>0</v>
      </c>
      <c r="O37" s="63">
        <v>0</v>
      </c>
      <c r="P37" s="66">
        <f t="shared" si="0"/>
        <v>1701627.2110499998</v>
      </c>
      <c r="Q37" s="169">
        <f t="shared" si="5"/>
        <v>1.3084584556773051</v>
      </c>
      <c r="R37" s="48">
        <v>68065.088441999993</v>
      </c>
      <c r="S37" s="48">
        <v>0</v>
      </c>
      <c r="T37" s="48">
        <v>0</v>
      </c>
      <c r="U37" s="49">
        <f t="shared" si="6"/>
        <v>68065.088441999993</v>
      </c>
      <c r="V37" s="72">
        <f t="shared" si="7"/>
        <v>1.5701501468127661</v>
      </c>
      <c r="W37" s="50">
        <v>0</v>
      </c>
      <c r="X37" s="50">
        <v>0</v>
      </c>
      <c r="Y37" s="35">
        <f t="shared" si="14"/>
        <v>90186.242185649986</v>
      </c>
      <c r="Z37" s="76">
        <f t="shared" si="8"/>
        <v>0</v>
      </c>
      <c r="AA37" s="76">
        <f t="shared" si="9"/>
        <v>0</v>
      </c>
      <c r="AB37" s="76">
        <f t="shared" si="10"/>
        <v>2.080448944526915</v>
      </c>
    </row>
    <row r="38" spans="1:28">
      <c r="A38" s="34" t="s">
        <v>15</v>
      </c>
      <c r="B38" s="34" t="s">
        <v>8</v>
      </c>
      <c r="C38" s="34" t="s">
        <v>762</v>
      </c>
      <c r="D38" s="33" t="s">
        <v>3</v>
      </c>
      <c r="E38" s="33" t="s">
        <v>51</v>
      </c>
      <c r="F38" s="46">
        <f>F37</f>
        <v>9000</v>
      </c>
      <c r="G38" s="63">
        <f>G37</f>
        <v>57596600</v>
      </c>
      <c r="H38" s="63">
        <f t="shared" si="1"/>
        <v>6399.6222222222223</v>
      </c>
      <c r="I38" s="47">
        <v>247.29</v>
      </c>
      <c r="J38" s="63">
        <f t="shared" si="2"/>
        <v>1582562.5793333333</v>
      </c>
      <c r="K38" s="49">
        <f t="shared" ref="K38:K39" si="24">K37</f>
        <v>1345178.1924333333</v>
      </c>
      <c r="L38" s="70">
        <f t="shared" si="4"/>
        <v>43349.413799797883</v>
      </c>
      <c r="M38" s="63">
        <f>M37</f>
        <v>1701627.2110499998</v>
      </c>
      <c r="N38" s="63">
        <f>$E$78*1</f>
        <v>200000</v>
      </c>
      <c r="O38" s="63">
        <v>0</v>
      </c>
      <c r="P38" s="66">
        <f t="shared" si="0"/>
        <v>1901627.2110499998</v>
      </c>
      <c r="Q38" s="169">
        <f t="shared" si="5"/>
        <v>1.462247540287666</v>
      </c>
      <c r="R38" s="48">
        <f>R37</f>
        <v>68065.088441999993</v>
      </c>
      <c r="S38" s="48">
        <f>$F$78</f>
        <v>16400</v>
      </c>
      <c r="T38" s="48">
        <v>0</v>
      </c>
      <c r="U38" s="49">
        <f t="shared" si="6"/>
        <v>84465.088441999993</v>
      </c>
      <c r="V38" s="72">
        <f t="shared" si="7"/>
        <v>1.948471294954254</v>
      </c>
      <c r="W38" s="50">
        <f>M38*0.031*1</f>
        <v>52750.443542549991</v>
      </c>
      <c r="X38" s="50">
        <f>X37</f>
        <v>0</v>
      </c>
      <c r="Y38" s="35">
        <f>Y37</f>
        <v>90186.242185649986</v>
      </c>
      <c r="Z38" s="76">
        <f t="shared" si="8"/>
        <v>0</v>
      </c>
      <c r="AA38" s="76">
        <f t="shared" si="9"/>
        <v>1.2168663637798935</v>
      </c>
      <c r="AB38" s="76">
        <f t="shared" si="10"/>
        <v>2.080448944526915</v>
      </c>
    </row>
    <row r="39" spans="1:28">
      <c r="A39" s="36" t="s">
        <v>15</v>
      </c>
      <c r="B39" s="36" t="s">
        <v>8</v>
      </c>
      <c r="C39" s="36" t="s">
        <v>762</v>
      </c>
      <c r="D39" s="37" t="s">
        <v>3</v>
      </c>
      <c r="E39" s="37" t="s">
        <v>52</v>
      </c>
      <c r="F39" s="51">
        <f>F37</f>
        <v>9000</v>
      </c>
      <c r="G39" s="64">
        <f>G37</f>
        <v>57596600</v>
      </c>
      <c r="H39" s="64">
        <f t="shared" si="1"/>
        <v>6399.6222222222223</v>
      </c>
      <c r="I39" s="62">
        <v>247.29</v>
      </c>
      <c r="J39" s="64">
        <f t="shared" si="2"/>
        <v>1582562.5793333333</v>
      </c>
      <c r="K39" s="53">
        <f t="shared" si="24"/>
        <v>1345178.1924333333</v>
      </c>
      <c r="L39" s="71">
        <f t="shared" si="4"/>
        <v>43349.413799797883</v>
      </c>
      <c r="M39" s="64">
        <f>M37</f>
        <v>1701627.2110499998</v>
      </c>
      <c r="N39" s="64">
        <f>N38</f>
        <v>200000</v>
      </c>
      <c r="O39" s="64">
        <f>$D$83*$B$83</f>
        <v>900000</v>
      </c>
      <c r="P39" s="67">
        <f t="shared" si="0"/>
        <v>2801627.21105</v>
      </c>
      <c r="Q39" s="170">
        <f t="shared" si="5"/>
        <v>2.1542984210342908</v>
      </c>
      <c r="R39" s="52">
        <f>R37</f>
        <v>68065.088441999993</v>
      </c>
      <c r="S39" s="52">
        <f>S38</f>
        <v>16400</v>
      </c>
      <c r="T39" s="52">
        <v>67657.511316960008</v>
      </c>
      <c r="U39" s="53">
        <f t="shared" si="6"/>
        <v>152122.59975896002</v>
      </c>
      <c r="V39" s="73">
        <f t="shared" si="7"/>
        <v>3.509219304821817</v>
      </c>
      <c r="W39" s="54">
        <f>W38</f>
        <v>52750.443542549991</v>
      </c>
      <c r="X39" s="54">
        <f>X38</f>
        <v>0</v>
      </c>
      <c r="Y39" s="38">
        <f>Y38</f>
        <v>90186.242185649986</v>
      </c>
      <c r="Z39" s="76">
        <f t="shared" si="8"/>
        <v>0</v>
      </c>
      <c r="AA39" s="76">
        <f t="shared" si="9"/>
        <v>1.2168663637798935</v>
      </c>
      <c r="AB39" s="76">
        <f t="shared" si="10"/>
        <v>2.080448944526915</v>
      </c>
    </row>
    <row r="40" spans="1:28" hidden="1">
      <c r="A40" s="33" t="s">
        <v>13</v>
      </c>
      <c r="B40" s="34" t="s">
        <v>6</v>
      </c>
      <c r="C40" s="34" t="s">
        <v>760</v>
      </c>
      <c r="D40" s="33" t="s">
        <v>4</v>
      </c>
      <c r="E40" s="33" t="s">
        <v>50</v>
      </c>
      <c r="F40" s="46">
        <v>1570</v>
      </c>
      <c r="G40" s="63">
        <v>1094800</v>
      </c>
      <c r="H40" s="63">
        <f t="shared" si="1"/>
        <v>697.32484076433116</v>
      </c>
      <c r="I40" s="47">
        <v>690.25</v>
      </c>
      <c r="J40" s="65">
        <f t="shared" si="2"/>
        <v>481328.4713375796</v>
      </c>
      <c r="K40" s="49">
        <f t="shared" si="11"/>
        <v>409129.20063694264</v>
      </c>
      <c r="L40" s="70">
        <f t="shared" si="4"/>
        <v>13184.506793043574</v>
      </c>
      <c r="M40" s="65">
        <v>1022948.4849999999</v>
      </c>
      <c r="N40" s="65">
        <f>N4</f>
        <v>0</v>
      </c>
      <c r="O40" s="63">
        <v>0</v>
      </c>
      <c r="P40" s="66">
        <f t="shared" si="0"/>
        <v>1022948.4849999999</v>
      </c>
      <c r="Q40" s="169">
        <f t="shared" si="5"/>
        <v>2.5862387853085491</v>
      </c>
      <c r="R40" s="55">
        <v>40917.939399999996</v>
      </c>
      <c r="S40" s="48">
        <v>0</v>
      </c>
      <c r="T40" s="48">
        <v>0</v>
      </c>
      <c r="U40" s="49">
        <f t="shared" si="6"/>
        <v>40917.939399999996</v>
      </c>
      <c r="V40" s="72">
        <f t="shared" si="7"/>
        <v>3.1034865423702591</v>
      </c>
      <c r="W40" s="56">
        <v>0</v>
      </c>
      <c r="X40" s="50">
        <f t="shared" si="12"/>
        <v>65468.703039999993</v>
      </c>
      <c r="Y40" s="35">
        <f t="shared" si="14"/>
        <v>54216.269704999992</v>
      </c>
      <c r="Z40" s="76">
        <f t="shared" si="8"/>
        <v>4.9655784677924144</v>
      </c>
      <c r="AA40" s="76">
        <f t="shared" si="9"/>
        <v>0</v>
      </c>
      <c r="AB40" s="76">
        <f t="shared" si="10"/>
        <v>4.1121196686405934</v>
      </c>
    </row>
    <row r="41" spans="1:28" hidden="1">
      <c r="A41" s="33" t="s">
        <v>13</v>
      </c>
      <c r="B41" s="34" t="s">
        <v>6</v>
      </c>
      <c r="C41" s="34" t="s">
        <v>760</v>
      </c>
      <c r="D41" s="33" t="s">
        <v>4</v>
      </c>
      <c r="E41" s="33" t="s">
        <v>51</v>
      </c>
      <c r="F41" s="46">
        <f>F40</f>
        <v>1570</v>
      </c>
      <c r="G41" s="63">
        <f>G40</f>
        <v>1094800</v>
      </c>
      <c r="H41" s="63">
        <f t="shared" si="1"/>
        <v>697.32484076433116</v>
      </c>
      <c r="I41" s="47">
        <v>690.25</v>
      </c>
      <c r="J41" s="65">
        <f t="shared" si="2"/>
        <v>481328.4713375796</v>
      </c>
      <c r="K41" s="49">
        <f t="shared" ref="K41:K42" si="25">K40</f>
        <v>409129.20063694264</v>
      </c>
      <c r="L41" s="70">
        <f t="shared" si="4"/>
        <v>13184.506793043574</v>
      </c>
      <c r="M41" s="63">
        <f>M40</f>
        <v>1022948.4849999999</v>
      </c>
      <c r="N41" s="63">
        <f>$E$73*1</f>
        <v>132500</v>
      </c>
      <c r="O41" s="63">
        <v>0</v>
      </c>
      <c r="P41" s="66">
        <f t="shared" si="0"/>
        <v>1155448.4849999999</v>
      </c>
      <c r="Q41" s="169">
        <f t="shared" si="5"/>
        <v>2.9212279309773876</v>
      </c>
      <c r="R41" s="48">
        <f>R40</f>
        <v>40917.939399999996</v>
      </c>
      <c r="S41" s="48">
        <f>$F$73</f>
        <v>9465</v>
      </c>
      <c r="T41" s="48">
        <v>0</v>
      </c>
      <c r="U41" s="49">
        <f t="shared" si="6"/>
        <v>50382.939399999996</v>
      </c>
      <c r="V41" s="72">
        <f t="shared" si="7"/>
        <v>3.8213746020884987</v>
      </c>
      <c r="W41" s="50">
        <f>M41*0.031*1</f>
        <v>31711.403034999996</v>
      </c>
      <c r="X41" s="50">
        <f>X40</f>
        <v>65468.703039999993</v>
      </c>
      <c r="Y41" s="35">
        <f>Y40</f>
        <v>54216.269704999992</v>
      </c>
      <c r="Z41" s="76">
        <f t="shared" si="8"/>
        <v>4.9655784677924144</v>
      </c>
      <c r="AA41" s="76">
        <f t="shared" si="9"/>
        <v>2.4052020703369505</v>
      </c>
      <c r="AB41" s="76">
        <f t="shared" si="10"/>
        <v>4.1121196686405934</v>
      </c>
    </row>
    <row r="42" spans="1:28" hidden="1">
      <c r="A42" s="33" t="s">
        <v>13</v>
      </c>
      <c r="B42" s="34" t="s">
        <v>6</v>
      </c>
      <c r="C42" s="34" t="s">
        <v>760</v>
      </c>
      <c r="D42" s="33" t="s">
        <v>4</v>
      </c>
      <c r="E42" s="33" t="s">
        <v>52</v>
      </c>
      <c r="F42" s="46">
        <f>F40</f>
        <v>1570</v>
      </c>
      <c r="G42" s="63">
        <f>G40</f>
        <v>1094800</v>
      </c>
      <c r="H42" s="63">
        <f t="shared" si="1"/>
        <v>697.32484076433116</v>
      </c>
      <c r="I42" s="47">
        <v>690.25</v>
      </c>
      <c r="J42" s="65">
        <f t="shared" si="2"/>
        <v>481328.4713375796</v>
      </c>
      <c r="K42" s="49">
        <f t="shared" si="25"/>
        <v>409129.20063694264</v>
      </c>
      <c r="L42" s="70">
        <f t="shared" si="4"/>
        <v>13184.506793043574</v>
      </c>
      <c r="M42" s="63">
        <f>M40</f>
        <v>1022948.4849999999</v>
      </c>
      <c r="N42" s="63">
        <f>N41</f>
        <v>132500</v>
      </c>
      <c r="O42" s="63">
        <f>$D$83*$B$83</f>
        <v>900000</v>
      </c>
      <c r="P42" s="66">
        <f t="shared" si="0"/>
        <v>2055448.4849999999</v>
      </c>
      <c r="Q42" s="169">
        <f t="shared" si="5"/>
        <v>5.1966259015581793</v>
      </c>
      <c r="R42" s="48">
        <f>R40</f>
        <v>40917.939399999996</v>
      </c>
      <c r="S42" s="48">
        <f>S41</f>
        <v>9465</v>
      </c>
      <c r="T42" s="48">
        <v>17195.0507784</v>
      </c>
      <c r="U42" s="49">
        <f t="shared" si="6"/>
        <v>67577.990178399996</v>
      </c>
      <c r="V42" s="72">
        <f t="shared" si="7"/>
        <v>5.1255607235953322</v>
      </c>
      <c r="W42" s="50">
        <f>W41</f>
        <v>31711.403034999996</v>
      </c>
      <c r="X42" s="50">
        <f>X41</f>
        <v>65468.703039999993</v>
      </c>
      <c r="Y42" s="35">
        <f>Y41</f>
        <v>54216.269704999992</v>
      </c>
      <c r="Z42" s="76">
        <f t="shared" si="8"/>
        <v>4.9655784677924144</v>
      </c>
      <c r="AA42" s="76">
        <f t="shared" si="9"/>
        <v>2.4052020703369505</v>
      </c>
      <c r="AB42" s="76">
        <f t="shared" si="10"/>
        <v>4.1121196686405934</v>
      </c>
    </row>
    <row r="43" spans="1:28" hidden="1">
      <c r="A43" s="34" t="s">
        <v>13</v>
      </c>
      <c r="B43" s="34" t="s">
        <v>7</v>
      </c>
      <c r="C43" s="33" t="s">
        <v>761</v>
      </c>
      <c r="D43" s="33" t="s">
        <v>4</v>
      </c>
      <c r="E43" s="33" t="s">
        <v>50</v>
      </c>
      <c r="F43" s="46">
        <v>950</v>
      </c>
      <c r="G43" s="63">
        <v>1288000</v>
      </c>
      <c r="H43" s="63">
        <f t="shared" si="1"/>
        <v>1355.7894736842106</v>
      </c>
      <c r="I43" s="47">
        <v>690.25</v>
      </c>
      <c r="J43" s="65">
        <f t="shared" si="2"/>
        <v>935833.68421052641</v>
      </c>
      <c r="K43" s="49">
        <f t="shared" si="11"/>
        <v>795458.63157894742</v>
      </c>
      <c r="L43" s="70">
        <f t="shared" si="4"/>
        <v>25634.273269446952</v>
      </c>
      <c r="M43" s="65">
        <v>1440529.7659999998</v>
      </c>
      <c r="N43" s="65">
        <f t="shared" ref="N43:N46" si="26">N7</f>
        <v>0</v>
      </c>
      <c r="O43" s="63">
        <v>0</v>
      </c>
      <c r="P43" s="66">
        <f t="shared" si="0"/>
        <v>1440529.7659999998</v>
      </c>
      <c r="Q43" s="169">
        <f t="shared" si="5"/>
        <v>1.8731819842108837</v>
      </c>
      <c r="R43" s="55">
        <v>57621.190639999993</v>
      </c>
      <c r="S43" s="48">
        <v>0</v>
      </c>
      <c r="T43" s="48">
        <v>0</v>
      </c>
      <c r="U43" s="49">
        <f t="shared" si="6"/>
        <v>57621.190639999993</v>
      </c>
      <c r="V43" s="72">
        <f t="shared" si="7"/>
        <v>2.2478183810530608</v>
      </c>
      <c r="W43" s="56">
        <v>0</v>
      </c>
      <c r="X43" s="50">
        <f t="shared" si="12"/>
        <v>92193.905023999992</v>
      </c>
      <c r="Y43" s="35">
        <f t="shared" si="14"/>
        <v>76348.077597999989</v>
      </c>
      <c r="Z43" s="76">
        <f t="shared" si="8"/>
        <v>3.5965094096848969</v>
      </c>
      <c r="AA43" s="76">
        <f t="shared" si="9"/>
        <v>0</v>
      </c>
      <c r="AB43" s="76">
        <f t="shared" si="10"/>
        <v>2.9783593548953049</v>
      </c>
    </row>
    <row r="44" spans="1:28" hidden="1">
      <c r="A44" s="34" t="s">
        <v>13</v>
      </c>
      <c r="B44" s="34" t="s">
        <v>7</v>
      </c>
      <c r="C44" s="33" t="s">
        <v>761</v>
      </c>
      <c r="D44" s="33" t="s">
        <v>4</v>
      </c>
      <c r="E44" s="33" t="s">
        <v>51</v>
      </c>
      <c r="F44" s="46">
        <f>F43</f>
        <v>950</v>
      </c>
      <c r="G44" s="63">
        <f>G43</f>
        <v>1288000</v>
      </c>
      <c r="H44" s="63">
        <f t="shared" si="1"/>
        <v>1355.7894736842106</v>
      </c>
      <c r="I44" s="47">
        <v>690.25</v>
      </c>
      <c r="J44" s="65">
        <f t="shared" si="2"/>
        <v>935833.68421052641</v>
      </c>
      <c r="K44" s="49">
        <f t="shared" ref="K44:K45" si="27">K43</f>
        <v>795458.63157894742</v>
      </c>
      <c r="L44" s="70">
        <f t="shared" si="4"/>
        <v>25634.273269446952</v>
      </c>
      <c r="M44" s="63">
        <f>M43</f>
        <v>1440529.7659999998</v>
      </c>
      <c r="N44" s="63">
        <f>$E$76*1</f>
        <v>132500</v>
      </c>
      <c r="O44" s="63">
        <v>0</v>
      </c>
      <c r="P44" s="66">
        <f t="shared" si="0"/>
        <v>1573029.7659999998</v>
      </c>
      <c r="Q44" s="169">
        <f t="shared" si="5"/>
        <v>2.0454773569036147</v>
      </c>
      <c r="R44" s="48">
        <f>R43</f>
        <v>57621.190639999993</v>
      </c>
      <c r="S44" s="48">
        <f>$F$76</f>
        <v>9465</v>
      </c>
      <c r="T44" s="48">
        <v>0</v>
      </c>
      <c r="U44" s="49">
        <f t="shared" si="6"/>
        <v>67086.190639999986</v>
      </c>
      <c r="V44" s="72">
        <f t="shared" si="7"/>
        <v>2.6170506155896707</v>
      </c>
      <c r="W44" s="50">
        <f>M44*0.031*1</f>
        <v>44656.422745999997</v>
      </c>
      <c r="X44" s="50">
        <f>X43</f>
        <v>92193.905023999992</v>
      </c>
      <c r="Y44" s="35">
        <f>Y43</f>
        <v>76348.077597999989</v>
      </c>
      <c r="Z44" s="76">
        <f t="shared" si="8"/>
        <v>3.5965094096848969</v>
      </c>
      <c r="AA44" s="76">
        <f t="shared" si="9"/>
        <v>1.7420592453161219</v>
      </c>
      <c r="AB44" s="76">
        <f t="shared" si="10"/>
        <v>2.9783593548953049</v>
      </c>
    </row>
    <row r="45" spans="1:28" hidden="1">
      <c r="A45" s="34" t="s">
        <v>13</v>
      </c>
      <c r="B45" s="34" t="s">
        <v>7</v>
      </c>
      <c r="C45" s="33" t="s">
        <v>761</v>
      </c>
      <c r="D45" s="33" t="s">
        <v>4</v>
      </c>
      <c r="E45" s="33" t="s">
        <v>52</v>
      </c>
      <c r="F45" s="46">
        <f>F43</f>
        <v>950</v>
      </c>
      <c r="G45" s="63">
        <f>G43</f>
        <v>1288000</v>
      </c>
      <c r="H45" s="63">
        <f t="shared" si="1"/>
        <v>1355.7894736842106</v>
      </c>
      <c r="I45" s="47">
        <v>690.25</v>
      </c>
      <c r="J45" s="65">
        <f t="shared" si="2"/>
        <v>935833.68421052641</v>
      </c>
      <c r="K45" s="49">
        <f t="shared" si="27"/>
        <v>795458.63157894742</v>
      </c>
      <c r="L45" s="70">
        <f t="shared" si="4"/>
        <v>25634.273269446952</v>
      </c>
      <c r="M45" s="63">
        <f>M43</f>
        <v>1440529.7659999998</v>
      </c>
      <c r="N45" s="63">
        <f>N44</f>
        <v>132500</v>
      </c>
      <c r="O45" s="63">
        <f>$D$83*$B$83</f>
        <v>900000</v>
      </c>
      <c r="P45" s="66">
        <f t="shared" si="0"/>
        <v>2473029.7659999998</v>
      </c>
      <c r="Q45" s="169">
        <f t="shared" si="5"/>
        <v>3.2157855487787659</v>
      </c>
      <c r="R45" s="48">
        <f>R43</f>
        <v>57621.190639999993</v>
      </c>
      <c r="S45" s="48">
        <f>S44</f>
        <v>9465</v>
      </c>
      <c r="T45" s="48">
        <v>33452.638243199995</v>
      </c>
      <c r="U45" s="49">
        <f t="shared" si="6"/>
        <v>100538.82888319998</v>
      </c>
      <c r="V45" s="72">
        <f t="shared" si="7"/>
        <v>3.9220471681181022</v>
      </c>
      <c r="W45" s="50">
        <f>W44</f>
        <v>44656.422745999997</v>
      </c>
      <c r="X45" s="50">
        <f>X44</f>
        <v>92193.905023999992</v>
      </c>
      <c r="Y45" s="35">
        <f>Y44</f>
        <v>76348.077597999989</v>
      </c>
      <c r="Z45" s="76">
        <f t="shared" si="8"/>
        <v>3.5965094096848969</v>
      </c>
      <c r="AA45" s="76">
        <f t="shared" si="9"/>
        <v>1.7420592453161219</v>
      </c>
      <c r="AB45" s="76">
        <f t="shared" si="10"/>
        <v>2.9783593548953049</v>
      </c>
    </row>
    <row r="46" spans="1:28" hidden="1">
      <c r="A46" s="34" t="s">
        <v>13</v>
      </c>
      <c r="B46" s="34" t="s">
        <v>8</v>
      </c>
      <c r="C46" s="33" t="s">
        <v>762</v>
      </c>
      <c r="D46" s="33" t="s">
        <v>4</v>
      </c>
      <c r="E46" s="33" t="s">
        <v>50</v>
      </c>
      <c r="F46" s="46">
        <v>780</v>
      </c>
      <c r="G46" s="63">
        <v>2999200</v>
      </c>
      <c r="H46" s="63">
        <f t="shared" si="1"/>
        <v>3845.1282051282051</v>
      </c>
      <c r="I46" s="47">
        <v>690.25</v>
      </c>
      <c r="J46" s="63">
        <f t="shared" si="2"/>
        <v>2654099.7435897435</v>
      </c>
      <c r="K46" s="49">
        <f t="shared" si="11"/>
        <v>2255984.782051282</v>
      </c>
      <c r="L46" s="70">
        <f t="shared" si="4"/>
        <v>72700.864757763004</v>
      </c>
      <c r="M46" s="63">
        <v>3017707.0169999995</v>
      </c>
      <c r="N46" s="63">
        <f t="shared" si="26"/>
        <v>0</v>
      </c>
      <c r="O46" s="63">
        <v>0</v>
      </c>
      <c r="P46" s="66">
        <f t="shared" si="0"/>
        <v>3017707.0169999995</v>
      </c>
      <c r="Q46" s="169">
        <f t="shared" si="5"/>
        <v>1.38361812112089</v>
      </c>
      <c r="R46" s="48">
        <v>120708.28067999998</v>
      </c>
      <c r="S46" s="48">
        <v>0</v>
      </c>
      <c r="T46" s="48">
        <v>0</v>
      </c>
      <c r="U46" s="49">
        <f t="shared" si="6"/>
        <v>120708.28067999998</v>
      </c>
      <c r="V46" s="72">
        <f t="shared" si="7"/>
        <v>1.6603417453450682</v>
      </c>
      <c r="W46" s="50">
        <v>0</v>
      </c>
      <c r="X46" s="50">
        <f t="shared" si="12"/>
        <v>193133.24908799998</v>
      </c>
      <c r="Y46" s="35">
        <f t="shared" si="14"/>
        <v>159938.47190099998</v>
      </c>
      <c r="Z46" s="76">
        <f t="shared" si="8"/>
        <v>2.6565467925521093</v>
      </c>
      <c r="AA46" s="76">
        <f t="shared" si="9"/>
        <v>0</v>
      </c>
      <c r="AB46" s="76">
        <f t="shared" si="10"/>
        <v>2.1999528125822154</v>
      </c>
    </row>
    <row r="47" spans="1:28" hidden="1">
      <c r="A47" s="34" t="s">
        <v>13</v>
      </c>
      <c r="B47" s="34" t="s">
        <v>8</v>
      </c>
      <c r="C47" s="34" t="s">
        <v>762</v>
      </c>
      <c r="D47" s="33" t="s">
        <v>4</v>
      </c>
      <c r="E47" s="33" t="s">
        <v>51</v>
      </c>
      <c r="F47" s="46">
        <f>F46</f>
        <v>780</v>
      </c>
      <c r="G47" s="63">
        <f>G46</f>
        <v>2999200</v>
      </c>
      <c r="H47" s="63">
        <f t="shared" si="1"/>
        <v>3845.1282051282051</v>
      </c>
      <c r="I47" s="47">
        <v>690.25</v>
      </c>
      <c r="J47" s="63">
        <f t="shared" si="2"/>
        <v>2654099.7435897435</v>
      </c>
      <c r="K47" s="49">
        <f t="shared" ref="K47:K48" si="28">K46</f>
        <v>2255984.782051282</v>
      </c>
      <c r="L47" s="70">
        <f t="shared" si="4"/>
        <v>72700.864757763004</v>
      </c>
      <c r="M47" s="63">
        <f>M46</f>
        <v>3017707.0169999995</v>
      </c>
      <c r="N47" s="63">
        <f>$E$79*1</f>
        <v>200000</v>
      </c>
      <c r="O47" s="63">
        <v>0</v>
      </c>
      <c r="P47" s="66">
        <f t="shared" si="0"/>
        <v>3217707.0169999995</v>
      </c>
      <c r="Q47" s="169">
        <f t="shared" si="5"/>
        <v>1.4753180849229686</v>
      </c>
      <c r="R47" s="48">
        <f>R46</f>
        <v>120708.28067999998</v>
      </c>
      <c r="S47" s="48">
        <f>$F$79</f>
        <v>16400</v>
      </c>
      <c r="T47" s="48">
        <v>0</v>
      </c>
      <c r="U47" s="49">
        <f t="shared" si="6"/>
        <v>137108.28067999997</v>
      </c>
      <c r="V47" s="72">
        <f t="shared" si="7"/>
        <v>1.8859236562981809</v>
      </c>
      <c r="W47" s="50">
        <f>M47*0.031*1</f>
        <v>93548.917526999983</v>
      </c>
      <c r="X47" s="50">
        <f>X46</f>
        <v>193133.24908799998</v>
      </c>
      <c r="Y47" s="35">
        <f>Y46</f>
        <v>159938.47190099998</v>
      </c>
      <c r="Z47" s="76">
        <f t="shared" si="8"/>
        <v>2.6565467925521093</v>
      </c>
      <c r="AA47" s="76">
        <f t="shared" si="9"/>
        <v>1.2867648526424278</v>
      </c>
      <c r="AB47" s="76">
        <f t="shared" si="10"/>
        <v>2.1999528125822154</v>
      </c>
    </row>
    <row r="48" spans="1:28" hidden="1">
      <c r="A48" s="36" t="s">
        <v>13</v>
      </c>
      <c r="B48" s="36" t="s">
        <v>8</v>
      </c>
      <c r="C48" s="36" t="s">
        <v>762</v>
      </c>
      <c r="D48" s="37" t="s">
        <v>4</v>
      </c>
      <c r="E48" s="37" t="s">
        <v>52</v>
      </c>
      <c r="F48" s="51">
        <f>F46</f>
        <v>780</v>
      </c>
      <c r="G48" s="64">
        <f>G46</f>
        <v>2999200</v>
      </c>
      <c r="H48" s="64">
        <f t="shared" si="1"/>
        <v>3845.1282051282051</v>
      </c>
      <c r="I48" s="62">
        <v>690.25</v>
      </c>
      <c r="J48" s="64">
        <f t="shared" si="2"/>
        <v>2654099.7435897435</v>
      </c>
      <c r="K48" s="53">
        <f t="shared" si="28"/>
        <v>2255984.782051282</v>
      </c>
      <c r="L48" s="71">
        <f t="shared" si="4"/>
        <v>72700.864757763004</v>
      </c>
      <c r="M48" s="64">
        <f>M46+$B$83*$D$83</f>
        <v>3917707.0169999995</v>
      </c>
      <c r="N48" s="64">
        <f>N47</f>
        <v>200000</v>
      </c>
      <c r="O48" s="64">
        <f>$D$83*$B$83</f>
        <v>900000</v>
      </c>
      <c r="P48" s="67">
        <f t="shared" si="0"/>
        <v>5017707.0169999991</v>
      </c>
      <c r="Q48" s="170">
        <f t="shared" si="5"/>
        <v>2.3006177591416743</v>
      </c>
      <c r="R48" s="52">
        <f>R46</f>
        <v>120708.28067999998</v>
      </c>
      <c r="S48" s="52">
        <f>S47</f>
        <v>16400</v>
      </c>
      <c r="T48" s="52">
        <v>94856.485284000009</v>
      </c>
      <c r="U48" s="53">
        <f t="shared" si="6"/>
        <v>231964.76596399996</v>
      </c>
      <c r="V48" s="73">
        <f t="shared" si="7"/>
        <v>3.1906740963384586</v>
      </c>
      <c r="W48" s="54">
        <f>W47</f>
        <v>93548.917526999983</v>
      </c>
      <c r="X48" s="54">
        <f>X47</f>
        <v>193133.24908799998</v>
      </c>
      <c r="Y48" s="38">
        <f>Y47</f>
        <v>159938.47190099998</v>
      </c>
      <c r="Z48" s="76">
        <f t="shared" si="8"/>
        <v>2.6565467925521093</v>
      </c>
      <c r="AA48" s="76">
        <f t="shared" si="9"/>
        <v>1.2867648526424278</v>
      </c>
      <c r="AB48" s="76">
        <f t="shared" si="10"/>
        <v>2.1999528125822154</v>
      </c>
    </row>
    <row r="49" spans="1:28" hidden="1">
      <c r="A49" s="33" t="s">
        <v>15</v>
      </c>
      <c r="B49" s="34" t="s">
        <v>6</v>
      </c>
      <c r="C49" s="34" t="s">
        <v>760</v>
      </c>
      <c r="D49" s="33" t="s">
        <v>4</v>
      </c>
      <c r="E49" s="33" t="s">
        <v>50</v>
      </c>
      <c r="F49" s="46">
        <v>2300</v>
      </c>
      <c r="G49" s="63">
        <v>1713400</v>
      </c>
      <c r="H49" s="63">
        <f t="shared" si="1"/>
        <v>744.95652173913038</v>
      </c>
      <c r="I49" s="47">
        <v>247.29</v>
      </c>
      <c r="J49" s="65">
        <f t="shared" si="2"/>
        <v>184220.29826086955</v>
      </c>
      <c r="K49" s="49">
        <f t="shared" si="11"/>
        <v>156587.2535217391</v>
      </c>
      <c r="L49" s="70">
        <f t="shared" si="4"/>
        <v>5046.1460696212825</v>
      </c>
      <c r="M49" s="65">
        <v>729399.61665999994</v>
      </c>
      <c r="N49" s="65">
        <f>N13</f>
        <v>0</v>
      </c>
      <c r="O49" s="63">
        <v>0</v>
      </c>
      <c r="P49" s="66">
        <f t="shared" si="0"/>
        <v>729399.61665999994</v>
      </c>
      <c r="Q49" s="169">
        <f t="shared" si="5"/>
        <v>4.8181959499159062</v>
      </c>
      <c r="R49" s="55">
        <v>29175.9846664</v>
      </c>
      <c r="S49" s="48">
        <v>0</v>
      </c>
      <c r="T49" s="48">
        <v>0</v>
      </c>
      <c r="U49" s="49">
        <f t="shared" si="6"/>
        <v>29175.9846664</v>
      </c>
      <c r="V49" s="72">
        <f t="shared" si="7"/>
        <v>5.7818351398990879</v>
      </c>
      <c r="W49" s="56">
        <v>0</v>
      </c>
      <c r="X49" s="50">
        <v>0</v>
      </c>
      <c r="Y49" s="35">
        <f t="shared" si="14"/>
        <v>38658.179682979993</v>
      </c>
      <c r="Z49" s="76">
        <f t="shared" si="8"/>
        <v>0</v>
      </c>
      <c r="AA49" s="76">
        <f t="shared" si="9"/>
        <v>0</v>
      </c>
      <c r="AB49" s="76">
        <f t="shared" si="10"/>
        <v>7.66093156036629</v>
      </c>
    </row>
    <row r="50" spans="1:28" hidden="1">
      <c r="A50" s="33" t="s">
        <v>15</v>
      </c>
      <c r="B50" s="34" t="s">
        <v>6</v>
      </c>
      <c r="C50" s="34" t="s">
        <v>760</v>
      </c>
      <c r="D50" s="33" t="s">
        <v>4</v>
      </c>
      <c r="E50" s="33" t="s">
        <v>51</v>
      </c>
      <c r="F50" s="46">
        <f>F49</f>
        <v>2300</v>
      </c>
      <c r="G50" s="63">
        <f>G49</f>
        <v>1713400</v>
      </c>
      <c r="H50" s="63">
        <f t="shared" si="1"/>
        <v>744.95652173913038</v>
      </c>
      <c r="I50" s="47">
        <v>247.29</v>
      </c>
      <c r="J50" s="65">
        <f t="shared" si="2"/>
        <v>184220.29826086955</v>
      </c>
      <c r="K50" s="49">
        <f t="shared" ref="K50:K51" si="29">K49</f>
        <v>156587.2535217391</v>
      </c>
      <c r="L50" s="70">
        <f t="shared" si="4"/>
        <v>5046.1460696212825</v>
      </c>
      <c r="M50" s="63">
        <f>M49</f>
        <v>729399.61665999994</v>
      </c>
      <c r="N50" s="63">
        <f>$E$73*1</f>
        <v>132500</v>
      </c>
      <c r="O50" s="63">
        <v>0</v>
      </c>
      <c r="P50" s="66">
        <f t="shared" si="0"/>
        <v>861899.61665999994</v>
      </c>
      <c r="Q50" s="169">
        <f t="shared" si="5"/>
        <v>5.693451363796175</v>
      </c>
      <c r="R50" s="48">
        <f>R49</f>
        <v>29175.9846664</v>
      </c>
      <c r="S50" s="48">
        <f>$F$73</f>
        <v>9465</v>
      </c>
      <c r="T50" s="48">
        <v>0</v>
      </c>
      <c r="U50" s="49">
        <f t="shared" si="6"/>
        <v>38640.9846664</v>
      </c>
      <c r="V50" s="72">
        <f t="shared" si="7"/>
        <v>7.6575240060975958</v>
      </c>
      <c r="W50" s="50">
        <f>M50*0.031*1</f>
        <v>22611.388116459999</v>
      </c>
      <c r="X50" s="50">
        <f>X49</f>
        <v>0</v>
      </c>
      <c r="Y50" s="35">
        <f>Y49</f>
        <v>38658.179682979993</v>
      </c>
      <c r="Z50" s="76">
        <f t="shared" si="8"/>
        <v>0</v>
      </c>
      <c r="AA50" s="76">
        <f t="shared" si="9"/>
        <v>4.4809222334217926</v>
      </c>
      <c r="AB50" s="76">
        <f t="shared" si="10"/>
        <v>7.66093156036629</v>
      </c>
    </row>
    <row r="51" spans="1:28" hidden="1">
      <c r="A51" s="33" t="s">
        <v>15</v>
      </c>
      <c r="B51" s="34" t="s">
        <v>6</v>
      </c>
      <c r="C51" s="34" t="s">
        <v>760</v>
      </c>
      <c r="D51" s="33" t="s">
        <v>4</v>
      </c>
      <c r="E51" s="33" t="s">
        <v>52</v>
      </c>
      <c r="F51" s="46">
        <f>F49</f>
        <v>2300</v>
      </c>
      <c r="G51" s="63">
        <f>G49</f>
        <v>1713400</v>
      </c>
      <c r="H51" s="63">
        <f t="shared" si="1"/>
        <v>744.95652173913038</v>
      </c>
      <c r="I51" s="47">
        <v>247.29</v>
      </c>
      <c r="J51" s="65">
        <f t="shared" si="2"/>
        <v>184220.29826086955</v>
      </c>
      <c r="K51" s="49">
        <f t="shared" si="29"/>
        <v>156587.2535217391</v>
      </c>
      <c r="L51" s="70">
        <f t="shared" si="4"/>
        <v>5046.1460696212825</v>
      </c>
      <c r="M51" s="63">
        <f>M49</f>
        <v>729399.61665999994</v>
      </c>
      <c r="N51" s="63">
        <f>N50</f>
        <v>132500</v>
      </c>
      <c r="O51" s="63">
        <f>$D$83*$B$83</f>
        <v>900000</v>
      </c>
      <c r="P51" s="66">
        <f t="shared" si="0"/>
        <v>1761899.6166599998</v>
      </c>
      <c r="Q51" s="169">
        <f t="shared" si="5"/>
        <v>11.638582476945169</v>
      </c>
      <c r="R51" s="52">
        <f>R49</f>
        <v>29175.9846664</v>
      </c>
      <c r="S51" s="48">
        <f>S50</f>
        <v>9465</v>
      </c>
      <c r="T51" s="48">
        <v>6664.110193728</v>
      </c>
      <c r="U51" s="49">
        <f t="shared" si="6"/>
        <v>45305.094860127996</v>
      </c>
      <c r="V51" s="72">
        <f t="shared" si="7"/>
        <v>8.9781576345704526</v>
      </c>
      <c r="W51" s="50">
        <f>W50</f>
        <v>22611.388116459999</v>
      </c>
      <c r="X51" s="50">
        <f>X50</f>
        <v>0</v>
      </c>
      <c r="Y51" s="35">
        <f>Y50</f>
        <v>38658.179682979993</v>
      </c>
      <c r="Z51" s="76">
        <f t="shared" si="8"/>
        <v>0</v>
      </c>
      <c r="AA51" s="76">
        <f t="shared" si="9"/>
        <v>4.4809222334217926</v>
      </c>
      <c r="AB51" s="76">
        <f t="shared" si="10"/>
        <v>7.66093156036629</v>
      </c>
    </row>
    <row r="52" spans="1:28" hidden="1">
      <c r="A52" s="34" t="s">
        <v>15</v>
      </c>
      <c r="B52" s="34" t="s">
        <v>7</v>
      </c>
      <c r="C52" s="33" t="s">
        <v>761</v>
      </c>
      <c r="D52" s="33" t="s">
        <v>4</v>
      </c>
      <c r="E52" s="33" t="s">
        <v>50</v>
      </c>
      <c r="F52" s="46">
        <v>3300</v>
      </c>
      <c r="G52" s="63">
        <v>4810700</v>
      </c>
      <c r="H52" s="63">
        <f t="shared" si="1"/>
        <v>1457.7878787878788</v>
      </c>
      <c r="I52" s="47">
        <v>247.29</v>
      </c>
      <c r="J52" s="65">
        <f t="shared" si="2"/>
        <v>360496.3645454545</v>
      </c>
      <c r="K52" s="49">
        <f t="shared" si="11"/>
        <v>306421.90986363631</v>
      </c>
      <c r="L52" s="70">
        <f t="shared" si="4"/>
        <v>9874.6844416015556</v>
      </c>
      <c r="M52" s="65">
        <v>867689.35681999987</v>
      </c>
      <c r="N52" s="65">
        <f t="shared" ref="N52:N55" si="30">N16</f>
        <v>0</v>
      </c>
      <c r="O52" s="63">
        <v>0</v>
      </c>
      <c r="P52" s="66">
        <f t="shared" si="0"/>
        <v>867689.35681999987</v>
      </c>
      <c r="Q52" s="169">
        <f t="shared" si="5"/>
        <v>2.9290028184410217</v>
      </c>
      <c r="R52" s="55">
        <v>34707.574272799997</v>
      </c>
      <c r="S52" s="48">
        <v>0</v>
      </c>
      <c r="T52" s="48">
        <v>0</v>
      </c>
      <c r="U52" s="49">
        <f t="shared" si="6"/>
        <v>34707.574272799997</v>
      </c>
      <c r="V52" s="72">
        <f t="shared" si="7"/>
        <v>3.5148033821292262</v>
      </c>
      <c r="W52" s="56">
        <v>0</v>
      </c>
      <c r="X52" s="50">
        <v>0</v>
      </c>
      <c r="Y52" s="35">
        <f t="shared" si="14"/>
        <v>45987.535911459992</v>
      </c>
      <c r="Z52" s="76">
        <f t="shared" si="8"/>
        <v>0</v>
      </c>
      <c r="AA52" s="76">
        <f t="shared" si="9"/>
        <v>0</v>
      </c>
      <c r="AB52" s="76">
        <f t="shared" si="10"/>
        <v>4.6571144813212246</v>
      </c>
    </row>
    <row r="53" spans="1:28" hidden="1">
      <c r="A53" s="34" t="s">
        <v>15</v>
      </c>
      <c r="B53" s="34" t="s">
        <v>7</v>
      </c>
      <c r="C53" s="33" t="s">
        <v>761</v>
      </c>
      <c r="D53" s="33" t="s">
        <v>4</v>
      </c>
      <c r="E53" s="33" t="s">
        <v>51</v>
      </c>
      <c r="F53" s="46">
        <f>F52</f>
        <v>3300</v>
      </c>
      <c r="G53" s="63">
        <f>G52</f>
        <v>4810700</v>
      </c>
      <c r="H53" s="63">
        <f t="shared" si="1"/>
        <v>1457.7878787878788</v>
      </c>
      <c r="I53" s="47">
        <v>247.29</v>
      </c>
      <c r="J53" s="65">
        <f t="shared" si="2"/>
        <v>360496.3645454545</v>
      </c>
      <c r="K53" s="49">
        <f t="shared" ref="K53:K54" si="31">K52</f>
        <v>306421.90986363631</v>
      </c>
      <c r="L53" s="70">
        <f t="shared" si="4"/>
        <v>9874.6844416015556</v>
      </c>
      <c r="M53" s="63">
        <f>M52</f>
        <v>867689.35681999987</v>
      </c>
      <c r="N53" s="63">
        <f>$E$76*1</f>
        <v>132500</v>
      </c>
      <c r="O53" s="63">
        <v>0</v>
      </c>
      <c r="P53" s="66">
        <f t="shared" si="0"/>
        <v>1000189.3568199999</v>
      </c>
      <c r="Q53" s="169">
        <f t="shared" si="5"/>
        <v>3.3762744950993122</v>
      </c>
      <c r="R53" s="48">
        <f>R52</f>
        <v>34707.574272799997</v>
      </c>
      <c r="S53" s="48">
        <f>$F$76</f>
        <v>9465</v>
      </c>
      <c r="T53" s="48">
        <v>0</v>
      </c>
      <c r="U53" s="49">
        <f t="shared" si="6"/>
        <v>44172.574272799997</v>
      </c>
      <c r="V53" s="72">
        <f t="shared" si="7"/>
        <v>4.4733150242961823</v>
      </c>
      <c r="W53" s="50">
        <f>M53*0.031*1</f>
        <v>26898.370061419995</v>
      </c>
      <c r="X53" s="50">
        <f>X52</f>
        <v>0</v>
      </c>
      <c r="Y53" s="35">
        <f>Y52</f>
        <v>45987.535911459992</v>
      </c>
      <c r="Z53" s="76">
        <f t="shared" si="8"/>
        <v>0</v>
      </c>
      <c r="AA53" s="76">
        <f t="shared" si="9"/>
        <v>2.7239726211501503</v>
      </c>
      <c r="AB53" s="76">
        <f t="shared" si="10"/>
        <v>4.6571144813212246</v>
      </c>
    </row>
    <row r="54" spans="1:28" hidden="1">
      <c r="A54" s="34" t="s">
        <v>15</v>
      </c>
      <c r="B54" s="34" t="s">
        <v>7</v>
      </c>
      <c r="C54" s="33" t="s">
        <v>761</v>
      </c>
      <c r="D54" s="33" t="s">
        <v>4</v>
      </c>
      <c r="E54" s="33" t="s">
        <v>52</v>
      </c>
      <c r="F54" s="46">
        <f>F52</f>
        <v>3300</v>
      </c>
      <c r="G54" s="63">
        <f>G52</f>
        <v>4810700</v>
      </c>
      <c r="H54" s="63">
        <f t="shared" si="1"/>
        <v>1457.7878787878788</v>
      </c>
      <c r="I54" s="47">
        <v>247.29</v>
      </c>
      <c r="J54" s="65">
        <f t="shared" si="2"/>
        <v>360496.3645454545</v>
      </c>
      <c r="K54" s="49">
        <f t="shared" si="31"/>
        <v>306421.90986363631</v>
      </c>
      <c r="L54" s="70">
        <f t="shared" si="4"/>
        <v>9874.6844416015556</v>
      </c>
      <c r="M54" s="63">
        <f>M52</f>
        <v>867689.35681999987</v>
      </c>
      <c r="N54" s="63">
        <f>N53</f>
        <v>132500</v>
      </c>
      <c r="O54" s="63">
        <f>$D$83*$B$83</f>
        <v>900000</v>
      </c>
      <c r="P54" s="66">
        <f t="shared" si="0"/>
        <v>1900189.3568199999</v>
      </c>
      <c r="Q54" s="169">
        <f t="shared" si="5"/>
        <v>6.4143462610801558</v>
      </c>
      <c r="R54" s="48">
        <f>R52</f>
        <v>34707.574272799997</v>
      </c>
      <c r="S54" s="48">
        <f>S53</f>
        <v>9465</v>
      </c>
      <c r="T54" s="48">
        <v>12886.303265856001</v>
      </c>
      <c r="U54" s="49">
        <f t="shared" si="6"/>
        <v>57058.877538656001</v>
      </c>
      <c r="V54" s="72">
        <f t="shared" si="7"/>
        <v>5.7782988282916445</v>
      </c>
      <c r="W54" s="50">
        <f>W53</f>
        <v>26898.370061419995</v>
      </c>
      <c r="X54" s="50">
        <f>X53</f>
        <v>0</v>
      </c>
      <c r="Y54" s="35">
        <f>Y53</f>
        <v>45987.535911459992</v>
      </c>
      <c r="Z54" s="76">
        <f t="shared" si="8"/>
        <v>0</v>
      </c>
      <c r="AA54" s="76">
        <f t="shared" si="9"/>
        <v>2.7239726211501503</v>
      </c>
      <c r="AB54" s="76">
        <f t="shared" si="10"/>
        <v>4.6571144813212246</v>
      </c>
    </row>
    <row r="55" spans="1:28" hidden="1">
      <c r="A55" s="34" t="s">
        <v>15</v>
      </c>
      <c r="B55" s="34" t="s">
        <v>8</v>
      </c>
      <c r="C55" s="33" t="s">
        <v>762</v>
      </c>
      <c r="D55" s="33" t="s">
        <v>4</v>
      </c>
      <c r="E55" s="33" t="s">
        <v>50</v>
      </c>
      <c r="F55" s="46">
        <v>9000</v>
      </c>
      <c r="G55" s="63">
        <v>57596600</v>
      </c>
      <c r="H55" s="63">
        <f t="shared" si="1"/>
        <v>6399.6222222222223</v>
      </c>
      <c r="I55" s="47">
        <v>247.29</v>
      </c>
      <c r="J55" s="63">
        <f t="shared" si="2"/>
        <v>1582562.5793333333</v>
      </c>
      <c r="K55" s="49">
        <f t="shared" si="11"/>
        <v>1345178.1924333333</v>
      </c>
      <c r="L55" s="70">
        <f t="shared" si="4"/>
        <v>43349.413799797883</v>
      </c>
      <c r="M55" s="63">
        <v>2084992.6519499999</v>
      </c>
      <c r="N55" s="63">
        <f t="shared" si="30"/>
        <v>0</v>
      </c>
      <c r="O55" s="63">
        <v>0</v>
      </c>
      <c r="P55" s="66">
        <f t="shared" si="0"/>
        <v>2084992.6519499999</v>
      </c>
      <c r="Q55" s="169">
        <f t="shared" si="5"/>
        <v>1.6032455568135973</v>
      </c>
      <c r="R55" s="48">
        <v>83399.706078000003</v>
      </c>
      <c r="S55" s="48">
        <v>0</v>
      </c>
      <c r="T55" s="48">
        <v>0</v>
      </c>
      <c r="U55" s="49">
        <f t="shared" si="6"/>
        <v>83399.706078000003</v>
      </c>
      <c r="V55" s="72">
        <f t="shared" si="7"/>
        <v>1.9238946681763169</v>
      </c>
      <c r="W55" s="50">
        <v>0</v>
      </c>
      <c r="X55" s="50">
        <v>0</v>
      </c>
      <c r="Y55" s="35">
        <f t="shared" si="14"/>
        <v>110504.61055334999</v>
      </c>
      <c r="Z55" s="76">
        <f t="shared" si="8"/>
        <v>0</v>
      </c>
      <c r="AA55" s="76">
        <f t="shared" si="9"/>
        <v>0</v>
      </c>
      <c r="AB55" s="76">
        <f t="shared" si="10"/>
        <v>2.5491604353336199</v>
      </c>
    </row>
    <row r="56" spans="1:28" hidden="1">
      <c r="A56" s="34" t="s">
        <v>15</v>
      </c>
      <c r="B56" s="34" t="s">
        <v>8</v>
      </c>
      <c r="C56" s="34" t="s">
        <v>762</v>
      </c>
      <c r="D56" s="33" t="s">
        <v>4</v>
      </c>
      <c r="E56" s="33" t="s">
        <v>51</v>
      </c>
      <c r="F56" s="46">
        <f>F55</f>
        <v>9000</v>
      </c>
      <c r="G56" s="63">
        <f>G55</f>
        <v>57596600</v>
      </c>
      <c r="H56" s="63">
        <f t="shared" si="1"/>
        <v>6399.6222222222223</v>
      </c>
      <c r="I56" s="47">
        <v>247.29</v>
      </c>
      <c r="J56" s="63">
        <f t="shared" si="2"/>
        <v>1582562.5793333333</v>
      </c>
      <c r="K56" s="49">
        <f t="shared" ref="K56:K57" si="32">K55</f>
        <v>1345178.1924333333</v>
      </c>
      <c r="L56" s="70">
        <f t="shared" si="4"/>
        <v>43349.413799797883</v>
      </c>
      <c r="M56" s="63">
        <f>M55</f>
        <v>2084992.6519499999</v>
      </c>
      <c r="N56" s="63">
        <f>$E$79*1</f>
        <v>200000</v>
      </c>
      <c r="O56" s="63">
        <v>0</v>
      </c>
      <c r="P56" s="66">
        <f t="shared" si="0"/>
        <v>2284992.6519499999</v>
      </c>
      <c r="Q56" s="169">
        <f t="shared" si="5"/>
        <v>1.7570346414239582</v>
      </c>
      <c r="R56" s="48">
        <f>R55</f>
        <v>83399.706078000003</v>
      </c>
      <c r="S56" s="48">
        <f>$F$79</f>
        <v>16400</v>
      </c>
      <c r="T56" s="48">
        <v>0</v>
      </c>
      <c r="U56" s="49">
        <f t="shared" si="6"/>
        <v>99799.706078000003</v>
      </c>
      <c r="V56" s="72">
        <f t="shared" si="7"/>
        <v>2.3022158163178048</v>
      </c>
      <c r="W56" s="50">
        <f>M56*0.031*1</f>
        <v>64634.772210449992</v>
      </c>
      <c r="X56" s="50">
        <f>X55</f>
        <v>0</v>
      </c>
      <c r="Y56" s="35">
        <f>Y55</f>
        <v>110504.61055334999</v>
      </c>
      <c r="Z56" s="76">
        <f t="shared" si="8"/>
        <v>0</v>
      </c>
      <c r="AA56" s="76">
        <f t="shared" si="9"/>
        <v>1.4910183678366453</v>
      </c>
      <c r="AB56" s="76">
        <f t="shared" si="10"/>
        <v>2.5491604353336199</v>
      </c>
    </row>
    <row r="57" spans="1:28" hidden="1">
      <c r="A57" s="36" t="s">
        <v>15</v>
      </c>
      <c r="B57" s="36" t="s">
        <v>8</v>
      </c>
      <c r="C57" s="36" t="s">
        <v>762</v>
      </c>
      <c r="D57" s="37" t="s">
        <v>4</v>
      </c>
      <c r="E57" s="37" t="s">
        <v>52</v>
      </c>
      <c r="F57" s="51">
        <f>F55</f>
        <v>9000</v>
      </c>
      <c r="G57" s="64">
        <f>G55</f>
        <v>57596600</v>
      </c>
      <c r="H57" s="64">
        <f t="shared" si="1"/>
        <v>6399.6222222222223</v>
      </c>
      <c r="I57" s="62">
        <v>247.29</v>
      </c>
      <c r="J57" s="64">
        <f t="shared" si="2"/>
        <v>1582562.5793333333</v>
      </c>
      <c r="K57" s="53">
        <f t="shared" si="32"/>
        <v>1345178.1924333333</v>
      </c>
      <c r="L57" s="71">
        <f t="shared" si="4"/>
        <v>43349.413799797883</v>
      </c>
      <c r="M57" s="64">
        <f>M55</f>
        <v>2084992.6519499999</v>
      </c>
      <c r="N57" s="64">
        <f>N56</f>
        <v>200000</v>
      </c>
      <c r="O57" s="64">
        <f>$D$83*$B$83</f>
        <v>900000</v>
      </c>
      <c r="P57" s="67">
        <f t="shared" si="0"/>
        <v>3184992.6519499999</v>
      </c>
      <c r="Q57" s="170">
        <f t="shared" si="5"/>
        <v>2.4490855221705825</v>
      </c>
      <c r="R57" s="52">
        <f>R55</f>
        <v>83399.706078000003</v>
      </c>
      <c r="S57" s="52">
        <f>S56</f>
        <v>16400</v>
      </c>
      <c r="T57" s="52">
        <v>67657.511316960008</v>
      </c>
      <c r="U57" s="53">
        <f t="shared" si="6"/>
        <v>167457.21739496</v>
      </c>
      <c r="V57" s="73">
        <f t="shared" si="7"/>
        <v>3.8629638261853674</v>
      </c>
      <c r="W57" s="54">
        <f>W56</f>
        <v>64634.772210449992</v>
      </c>
      <c r="X57" s="54">
        <f>X56</f>
        <v>0</v>
      </c>
      <c r="Y57" s="38">
        <f>Y56</f>
        <v>110504.61055334999</v>
      </c>
      <c r="Z57" s="76">
        <f t="shared" si="8"/>
        <v>0</v>
      </c>
      <c r="AA57" s="76">
        <f t="shared" si="9"/>
        <v>1.4910183678366453</v>
      </c>
      <c r="AB57" s="76">
        <f t="shared" si="10"/>
        <v>2.5491604353336199</v>
      </c>
    </row>
    <row r="58" spans="1:28" hidden="1">
      <c r="A58" s="33" t="s">
        <v>16</v>
      </c>
      <c r="B58" s="34" t="s">
        <v>6</v>
      </c>
      <c r="C58" s="34" t="s">
        <v>760</v>
      </c>
      <c r="D58" s="33" t="s">
        <v>4</v>
      </c>
      <c r="E58" s="33" t="s">
        <v>50</v>
      </c>
      <c r="F58" s="46">
        <v>4230</v>
      </c>
      <c r="G58" s="63">
        <v>2637000</v>
      </c>
      <c r="H58" s="63">
        <f t="shared" si="1"/>
        <v>623.40425531914889</v>
      </c>
      <c r="I58" s="47">
        <v>136</v>
      </c>
      <c r="J58" s="65">
        <f t="shared" si="2"/>
        <v>84782.978723404245</v>
      </c>
      <c r="K58" s="49">
        <f t="shared" si="11"/>
        <v>72065.531914893611</v>
      </c>
      <c r="L58" s="70">
        <f t="shared" si="4"/>
        <v>2322.3678329412764</v>
      </c>
      <c r="M58" s="65">
        <v>703666.72466999991</v>
      </c>
      <c r="N58" s="65">
        <f>N22</f>
        <v>0</v>
      </c>
      <c r="O58" s="63">
        <v>0</v>
      </c>
      <c r="P58" s="66">
        <f t="shared" si="0"/>
        <v>703666.72466999991</v>
      </c>
      <c r="Q58" s="169">
        <f t="shared" si="5"/>
        <v>10.099846009016391</v>
      </c>
      <c r="R58" s="55">
        <v>28146.668986799996</v>
      </c>
      <c r="S58" s="48">
        <v>0</v>
      </c>
      <c r="T58" s="48">
        <v>0</v>
      </c>
      <c r="U58" s="49">
        <f t="shared" si="6"/>
        <v>28146.668986799996</v>
      </c>
      <c r="V58" s="72">
        <f t="shared" si="7"/>
        <v>12.11981521081967</v>
      </c>
      <c r="W58" s="56">
        <v>0</v>
      </c>
      <c r="X58" s="50">
        <f t="shared" si="12"/>
        <v>45034.670378879993</v>
      </c>
      <c r="Y58" s="35">
        <f t="shared" si="14"/>
        <v>37294.336407509996</v>
      </c>
      <c r="Z58" s="76">
        <f t="shared" si="8"/>
        <v>19.39170433731147</v>
      </c>
      <c r="AA58" s="76">
        <f t="shared" si="9"/>
        <v>0</v>
      </c>
      <c r="AB58" s="76">
        <f t="shared" si="10"/>
        <v>16.058755154336062</v>
      </c>
    </row>
    <row r="59" spans="1:28" hidden="1">
      <c r="A59" s="33" t="s">
        <v>16</v>
      </c>
      <c r="B59" s="34" t="s">
        <v>6</v>
      </c>
      <c r="C59" s="34" t="s">
        <v>760</v>
      </c>
      <c r="D59" s="33" t="s">
        <v>4</v>
      </c>
      <c r="E59" s="33" t="s">
        <v>51</v>
      </c>
      <c r="F59" s="46">
        <f>F58</f>
        <v>4230</v>
      </c>
      <c r="G59" s="63">
        <f>G58</f>
        <v>2637000</v>
      </c>
      <c r="H59" s="63">
        <f t="shared" si="1"/>
        <v>623.40425531914889</v>
      </c>
      <c r="I59" s="47">
        <v>136</v>
      </c>
      <c r="J59" s="65">
        <f t="shared" si="2"/>
        <v>84782.978723404245</v>
      </c>
      <c r="K59" s="49">
        <f t="shared" ref="K59:K60" si="33">K58</f>
        <v>72065.531914893611</v>
      </c>
      <c r="L59" s="70">
        <f t="shared" si="4"/>
        <v>2322.3678329412764</v>
      </c>
      <c r="M59" s="63">
        <f>M58</f>
        <v>703666.72466999991</v>
      </c>
      <c r="N59" s="63">
        <f>$E$73*1</f>
        <v>132500</v>
      </c>
      <c r="O59" s="63">
        <v>0</v>
      </c>
      <c r="P59" s="66">
        <f t="shared" si="0"/>
        <v>836166.72466999991</v>
      </c>
      <c r="Q59" s="169">
        <f t="shared" si="5"/>
        <v>12.001640636042792</v>
      </c>
      <c r="R59" s="48">
        <f>R58</f>
        <v>28146.668986799996</v>
      </c>
      <c r="S59" s="48">
        <f>$F$73</f>
        <v>9465</v>
      </c>
      <c r="T59" s="48">
        <v>0</v>
      </c>
      <c r="U59" s="49">
        <f t="shared" si="6"/>
        <v>37611.668986799996</v>
      </c>
      <c r="V59" s="72">
        <f t="shared" si="7"/>
        <v>16.195396979454738</v>
      </c>
      <c r="W59" s="50">
        <f>M59*0.031*1</f>
        <v>21813.668464769999</v>
      </c>
      <c r="X59" s="50">
        <f>X58</f>
        <v>45034.670378879993</v>
      </c>
      <c r="Y59" s="35">
        <f>Y58</f>
        <v>37294.336407509996</v>
      </c>
      <c r="Z59" s="76">
        <f t="shared" si="8"/>
        <v>19.39170433731147</v>
      </c>
      <c r="AA59" s="76">
        <f t="shared" si="9"/>
        <v>9.3928567883852452</v>
      </c>
      <c r="AB59" s="76">
        <f t="shared" si="10"/>
        <v>16.058755154336062</v>
      </c>
    </row>
    <row r="60" spans="1:28" hidden="1">
      <c r="A60" s="33" t="s">
        <v>16</v>
      </c>
      <c r="B60" s="34" t="s">
        <v>6</v>
      </c>
      <c r="C60" s="34" t="s">
        <v>760</v>
      </c>
      <c r="D60" s="33" t="s">
        <v>4</v>
      </c>
      <c r="E60" s="33" t="s">
        <v>52</v>
      </c>
      <c r="F60" s="46">
        <f>F58</f>
        <v>4230</v>
      </c>
      <c r="G60" s="63">
        <f>G58</f>
        <v>2637000</v>
      </c>
      <c r="H60" s="63">
        <f t="shared" si="1"/>
        <v>623.40425531914889</v>
      </c>
      <c r="I60" s="47">
        <v>136</v>
      </c>
      <c r="J60" s="65">
        <f t="shared" si="2"/>
        <v>84782.978723404245</v>
      </c>
      <c r="K60" s="49">
        <f t="shared" si="33"/>
        <v>72065.531914893611</v>
      </c>
      <c r="L60" s="70">
        <f t="shared" si="4"/>
        <v>2322.3678329412764</v>
      </c>
      <c r="M60" s="63">
        <f>M58</f>
        <v>703666.72466999991</v>
      </c>
      <c r="N60" s="63">
        <f>N59</f>
        <v>132500</v>
      </c>
      <c r="O60" s="63">
        <f>$D$83*$B$83</f>
        <v>900000</v>
      </c>
      <c r="P60" s="66">
        <f t="shared" si="0"/>
        <v>1736166.7246699999</v>
      </c>
      <c r="Q60" s="169">
        <f t="shared" si="5"/>
        <v>24.919490932825894</v>
      </c>
      <c r="R60" s="48">
        <f>R58</f>
        <v>28146.668986799996</v>
      </c>
      <c r="S60" s="48">
        <f>S59</f>
        <v>9465</v>
      </c>
      <c r="T60" s="48">
        <v>3028.2465024000003</v>
      </c>
      <c r="U60" s="49">
        <f t="shared" si="6"/>
        <v>40639.915489199993</v>
      </c>
      <c r="V60" s="72">
        <f t="shared" si="7"/>
        <v>17.499344812113414</v>
      </c>
      <c r="W60" s="50">
        <f>W59</f>
        <v>21813.668464769999</v>
      </c>
      <c r="X60" s="50">
        <f>X59</f>
        <v>45034.670378879993</v>
      </c>
      <c r="Y60" s="35">
        <f>Y59</f>
        <v>37294.336407509996</v>
      </c>
      <c r="Z60" s="76">
        <f t="shared" si="8"/>
        <v>19.39170433731147</v>
      </c>
      <c r="AA60" s="76">
        <f t="shared" si="9"/>
        <v>9.3928567883852452</v>
      </c>
      <c r="AB60" s="76">
        <f t="shared" si="10"/>
        <v>16.058755154336062</v>
      </c>
    </row>
    <row r="61" spans="1:28" hidden="1">
      <c r="A61" s="32" t="s">
        <v>16</v>
      </c>
      <c r="B61" s="34" t="s">
        <v>7</v>
      </c>
      <c r="C61" s="33" t="s">
        <v>761</v>
      </c>
      <c r="D61" s="33" t="s">
        <v>4</v>
      </c>
      <c r="E61" s="33" t="s">
        <v>50</v>
      </c>
      <c r="F61" s="46">
        <v>1050</v>
      </c>
      <c r="G61" s="63">
        <v>1289200</v>
      </c>
      <c r="H61" s="63">
        <f t="shared" si="1"/>
        <v>1227.8095238095239</v>
      </c>
      <c r="I61" s="47">
        <v>136</v>
      </c>
      <c r="J61" s="65">
        <f t="shared" si="2"/>
        <v>166982.09523809524</v>
      </c>
      <c r="K61" s="49">
        <f t="shared" si="11"/>
        <v>141934.78095238094</v>
      </c>
      <c r="L61" s="70">
        <f t="shared" si="4"/>
        <v>4573.9587414500575</v>
      </c>
      <c r="M61" s="65">
        <v>822509.47011999995</v>
      </c>
      <c r="N61" s="65">
        <f t="shared" ref="N61:N64" si="34">N25</f>
        <v>0</v>
      </c>
      <c r="O61" s="63">
        <v>0</v>
      </c>
      <c r="P61" s="66">
        <f t="shared" si="0"/>
        <v>822509.47011999995</v>
      </c>
      <c r="Q61" s="169">
        <f t="shared" si="5"/>
        <v>5.9941472774722655</v>
      </c>
      <c r="R61" s="55">
        <v>32900.378804799999</v>
      </c>
      <c r="S61" s="48">
        <v>0</v>
      </c>
      <c r="T61" s="48">
        <v>0</v>
      </c>
      <c r="U61" s="49">
        <f t="shared" si="6"/>
        <v>32900.378804799999</v>
      </c>
      <c r="V61" s="72">
        <f t="shared" si="7"/>
        <v>7.1929767329667191</v>
      </c>
      <c r="W61" s="56">
        <v>0</v>
      </c>
      <c r="X61" s="50">
        <f t="shared" si="12"/>
        <v>52640.606087679997</v>
      </c>
      <c r="Y61" s="35">
        <f t="shared" si="14"/>
        <v>43593.001916359994</v>
      </c>
      <c r="Z61" s="76">
        <f t="shared" si="8"/>
        <v>11.508762772746749</v>
      </c>
      <c r="AA61" s="76">
        <f t="shared" si="9"/>
        <v>0</v>
      </c>
      <c r="AB61" s="76">
        <f t="shared" si="10"/>
        <v>9.530694171180901</v>
      </c>
    </row>
    <row r="62" spans="1:28" hidden="1">
      <c r="A62" s="32" t="s">
        <v>16</v>
      </c>
      <c r="B62" s="34" t="s">
        <v>7</v>
      </c>
      <c r="C62" s="33" t="s">
        <v>761</v>
      </c>
      <c r="D62" s="33" t="s">
        <v>4</v>
      </c>
      <c r="E62" s="33" t="s">
        <v>51</v>
      </c>
      <c r="F62" s="46">
        <f>F61</f>
        <v>1050</v>
      </c>
      <c r="G62" s="63">
        <f>G61</f>
        <v>1289200</v>
      </c>
      <c r="H62" s="63">
        <f t="shared" si="1"/>
        <v>1227.8095238095239</v>
      </c>
      <c r="I62" s="47">
        <v>136</v>
      </c>
      <c r="J62" s="65">
        <f t="shared" si="2"/>
        <v>166982.09523809524</v>
      </c>
      <c r="K62" s="49">
        <f t="shared" ref="K62:K63" si="35">K61</f>
        <v>141934.78095238094</v>
      </c>
      <c r="L62" s="70">
        <f t="shared" si="4"/>
        <v>4573.9587414500575</v>
      </c>
      <c r="M62" s="63">
        <f>M61</f>
        <v>822509.47011999995</v>
      </c>
      <c r="N62" s="63">
        <f>$E$76*1</f>
        <v>132500</v>
      </c>
      <c r="O62" s="63">
        <v>0</v>
      </c>
      <c r="P62" s="66">
        <f t="shared" si="0"/>
        <v>955009.47011999995</v>
      </c>
      <c r="Q62" s="169">
        <f t="shared" si="5"/>
        <v>6.9597586693377016</v>
      </c>
      <c r="R62" s="48">
        <f>R61</f>
        <v>32900.378804799999</v>
      </c>
      <c r="S62" s="48">
        <f>$F$76</f>
        <v>9465</v>
      </c>
      <c r="T62" s="48">
        <v>0</v>
      </c>
      <c r="U62" s="49">
        <f t="shared" si="6"/>
        <v>42365.378804799999</v>
      </c>
      <c r="V62" s="72">
        <f t="shared" si="7"/>
        <v>9.2623001648172121</v>
      </c>
      <c r="W62" s="50">
        <f>M62*0.031*1</f>
        <v>25497.793573719999</v>
      </c>
      <c r="X62" s="50">
        <f>X61</f>
        <v>52640.606087679997</v>
      </c>
      <c r="Y62" s="35">
        <f>Y61</f>
        <v>43593.001916359994</v>
      </c>
      <c r="Z62" s="76">
        <f t="shared" si="8"/>
        <v>11.508762772746749</v>
      </c>
      <c r="AA62" s="76">
        <f t="shared" si="9"/>
        <v>5.5745569680492073</v>
      </c>
      <c r="AB62" s="76">
        <f t="shared" si="10"/>
        <v>9.530694171180901</v>
      </c>
    </row>
    <row r="63" spans="1:28" hidden="1">
      <c r="A63" s="32" t="s">
        <v>16</v>
      </c>
      <c r="B63" s="34" t="s">
        <v>7</v>
      </c>
      <c r="C63" s="33" t="s">
        <v>761</v>
      </c>
      <c r="D63" s="33" t="s">
        <v>4</v>
      </c>
      <c r="E63" s="33" t="s">
        <v>52</v>
      </c>
      <c r="F63" s="46">
        <f>F61</f>
        <v>1050</v>
      </c>
      <c r="G63" s="63">
        <f>G61</f>
        <v>1289200</v>
      </c>
      <c r="H63" s="63">
        <f t="shared" si="1"/>
        <v>1227.8095238095239</v>
      </c>
      <c r="I63" s="47">
        <v>136</v>
      </c>
      <c r="J63" s="65">
        <f t="shared" si="2"/>
        <v>166982.09523809524</v>
      </c>
      <c r="K63" s="49">
        <f t="shared" si="35"/>
        <v>141934.78095238094</v>
      </c>
      <c r="L63" s="70">
        <f t="shared" si="4"/>
        <v>4573.9587414500575</v>
      </c>
      <c r="M63" s="63">
        <f>M61</f>
        <v>822509.47011999995</v>
      </c>
      <c r="N63" s="63">
        <f>N62</f>
        <v>132500</v>
      </c>
      <c r="O63" s="63">
        <f>$D$83*$B$83</f>
        <v>900000</v>
      </c>
      <c r="P63" s="66">
        <f t="shared" si="0"/>
        <v>1855009.47012</v>
      </c>
      <c r="Q63" s="169">
        <f t="shared" si="5"/>
        <v>13.51862850087651</v>
      </c>
      <c r="R63" s="48">
        <f>R61</f>
        <v>32900.378804799999</v>
      </c>
      <c r="S63" s="48">
        <f>S62</f>
        <v>9465</v>
      </c>
      <c r="T63" s="48">
        <v>5968.9995264000017</v>
      </c>
      <c r="U63" s="49">
        <f t="shared" si="6"/>
        <v>48334.378331200001</v>
      </c>
      <c r="V63" s="72">
        <f t="shared" si="7"/>
        <v>10.56729652875636</v>
      </c>
      <c r="W63" s="50">
        <f>W62</f>
        <v>25497.793573719999</v>
      </c>
      <c r="X63" s="50">
        <f>X62</f>
        <v>52640.606087679997</v>
      </c>
      <c r="Y63" s="35">
        <f>Y62</f>
        <v>43593.001916359994</v>
      </c>
      <c r="Z63" s="76">
        <f t="shared" si="8"/>
        <v>11.508762772746749</v>
      </c>
      <c r="AA63" s="76">
        <f t="shared" si="9"/>
        <v>5.5745569680492073</v>
      </c>
      <c r="AB63" s="76">
        <f t="shared" si="10"/>
        <v>9.530694171180901</v>
      </c>
    </row>
    <row r="64" spans="1:28" s="34" customFormat="1" hidden="1">
      <c r="A64" s="34" t="s">
        <v>16</v>
      </c>
      <c r="B64" s="34" t="s">
        <v>8</v>
      </c>
      <c r="C64" s="33" t="s">
        <v>762</v>
      </c>
      <c r="D64" s="33" t="s">
        <v>4</v>
      </c>
      <c r="E64" s="33" t="s">
        <v>50</v>
      </c>
      <c r="F64" s="46">
        <v>320</v>
      </c>
      <c r="G64" s="63">
        <v>966900</v>
      </c>
      <c r="H64" s="63">
        <f t="shared" si="1"/>
        <v>3021.5625</v>
      </c>
      <c r="I64" s="47">
        <v>136</v>
      </c>
      <c r="J64" s="63">
        <f t="shared" si="2"/>
        <v>410932.5</v>
      </c>
      <c r="K64" s="49">
        <f t="shared" si="11"/>
        <v>349292.625</v>
      </c>
      <c r="L64" s="70">
        <f t="shared" si="4"/>
        <v>11256.226590287251</v>
      </c>
      <c r="M64" s="63">
        <v>1495689.78195</v>
      </c>
      <c r="N64" s="63">
        <f t="shared" si="34"/>
        <v>0</v>
      </c>
      <c r="O64" s="63">
        <v>0</v>
      </c>
      <c r="P64" s="66">
        <f t="shared" si="0"/>
        <v>1495689.78195</v>
      </c>
      <c r="Q64" s="169">
        <f t="shared" si="5"/>
        <v>4.4292219657358283</v>
      </c>
      <c r="R64" s="48">
        <v>59827.591278</v>
      </c>
      <c r="S64" s="48">
        <v>0</v>
      </c>
      <c r="T64" s="48">
        <v>0</v>
      </c>
      <c r="U64" s="49">
        <f t="shared" si="6"/>
        <v>59827.591278</v>
      </c>
      <c r="V64" s="72">
        <f t="shared" si="7"/>
        <v>5.3150663588829943</v>
      </c>
      <c r="W64" s="50">
        <v>0</v>
      </c>
      <c r="X64" s="50">
        <f t="shared" si="12"/>
        <v>95724.1460448</v>
      </c>
      <c r="Y64" s="35">
        <f t="shared" si="14"/>
        <v>79271.55844334999</v>
      </c>
      <c r="Z64" s="76">
        <f t="shared" si="8"/>
        <v>8.5041061742127901</v>
      </c>
      <c r="AA64" s="76">
        <f t="shared" si="9"/>
        <v>0</v>
      </c>
      <c r="AB64" s="76">
        <f t="shared" si="10"/>
        <v>7.042462925519966</v>
      </c>
    </row>
    <row r="65" spans="1:28" s="34" customFormat="1" hidden="1">
      <c r="A65" s="34" t="s">
        <v>16</v>
      </c>
      <c r="B65" s="34" t="s">
        <v>8</v>
      </c>
      <c r="C65" s="34" t="s">
        <v>762</v>
      </c>
      <c r="D65" s="33" t="s">
        <v>4</v>
      </c>
      <c r="E65" s="33" t="s">
        <v>51</v>
      </c>
      <c r="F65" s="46">
        <f>F64</f>
        <v>320</v>
      </c>
      <c r="G65" s="63">
        <f>G64</f>
        <v>966900</v>
      </c>
      <c r="H65" s="63">
        <f t="shared" si="1"/>
        <v>3021.5625</v>
      </c>
      <c r="I65" s="47">
        <v>136</v>
      </c>
      <c r="J65" s="63">
        <f t="shared" si="2"/>
        <v>410932.5</v>
      </c>
      <c r="K65" s="49">
        <f t="shared" ref="K65:K66" si="36">K64</f>
        <v>349292.625</v>
      </c>
      <c r="L65" s="70">
        <f t="shared" si="4"/>
        <v>11256.226590287251</v>
      </c>
      <c r="M65" s="63">
        <f>M64</f>
        <v>1495689.78195</v>
      </c>
      <c r="N65" s="63">
        <f>$E$79*1</f>
        <v>200000</v>
      </c>
      <c r="O65" s="63">
        <v>0</v>
      </c>
      <c r="P65" s="66">
        <f t="shared" si="0"/>
        <v>1695689.78195</v>
      </c>
      <c r="Q65" s="169">
        <f t="shared" si="5"/>
        <v>5.0214867547566167</v>
      </c>
      <c r="R65" s="48">
        <f>R64</f>
        <v>59827.591278</v>
      </c>
      <c r="S65" s="48">
        <f>$F$79</f>
        <v>16400</v>
      </c>
      <c r="T65" s="48">
        <v>0</v>
      </c>
      <c r="U65" s="49">
        <f t="shared" si="6"/>
        <v>76227.591278000007</v>
      </c>
      <c r="V65" s="72">
        <f t="shared" si="7"/>
        <v>6.7720377398741336</v>
      </c>
      <c r="W65" s="50">
        <f>M65*0.031*1</f>
        <v>46366.383240449999</v>
      </c>
      <c r="X65" s="50">
        <f>X64</f>
        <v>95724.1460448</v>
      </c>
      <c r="Y65" s="35">
        <f>Y64</f>
        <v>79271.55844334999</v>
      </c>
      <c r="Z65" s="76">
        <f t="shared" si="8"/>
        <v>8.5041061742127901</v>
      </c>
      <c r="AA65" s="76">
        <f t="shared" si="9"/>
        <v>4.1191764281343204</v>
      </c>
      <c r="AB65" s="76">
        <f t="shared" si="10"/>
        <v>7.042462925519966</v>
      </c>
    </row>
    <row r="66" spans="1:28" s="34" customFormat="1" ht="15" hidden="1" thickBot="1">
      <c r="A66" s="36" t="s">
        <v>16</v>
      </c>
      <c r="B66" s="36" t="s">
        <v>8</v>
      </c>
      <c r="C66" s="36" t="s">
        <v>762</v>
      </c>
      <c r="D66" s="37" t="s">
        <v>4</v>
      </c>
      <c r="E66" s="37" t="s">
        <v>52</v>
      </c>
      <c r="F66" s="51">
        <f>F64</f>
        <v>320</v>
      </c>
      <c r="G66" s="64">
        <f>G64</f>
        <v>966900</v>
      </c>
      <c r="H66" s="64">
        <f t="shared" si="1"/>
        <v>3021.5625</v>
      </c>
      <c r="I66" s="62">
        <v>136</v>
      </c>
      <c r="J66" s="64">
        <f t="shared" si="2"/>
        <v>410932.5</v>
      </c>
      <c r="K66" s="57">
        <f t="shared" si="36"/>
        <v>349292.625</v>
      </c>
      <c r="L66" s="71">
        <f t="shared" si="4"/>
        <v>11256.226590287251</v>
      </c>
      <c r="M66" s="64">
        <f>M64</f>
        <v>1495689.78195</v>
      </c>
      <c r="N66" s="52">
        <f>N65</f>
        <v>200000</v>
      </c>
      <c r="O66" s="52">
        <f>$D$83*$B$83</f>
        <v>900000</v>
      </c>
      <c r="P66" s="57">
        <f>SUM(M66:O66)</f>
        <v>2595689.7819499997</v>
      </c>
      <c r="Q66" s="170">
        <f t="shared" si="5"/>
        <v>7.6866783053501635</v>
      </c>
      <c r="R66" s="52">
        <f>R64</f>
        <v>59827.591278</v>
      </c>
      <c r="S66" s="52">
        <f>S65</f>
        <v>16400</v>
      </c>
      <c r="T66" s="52">
        <v>22626.785664000003</v>
      </c>
      <c r="U66" s="57">
        <f t="shared" si="6"/>
        <v>98854.376942000003</v>
      </c>
      <c r="V66" s="73">
        <f t="shared" si="7"/>
        <v>8.7821950055002667</v>
      </c>
      <c r="W66" s="54">
        <f>W65</f>
        <v>46366.383240449999</v>
      </c>
      <c r="X66" s="54">
        <f>X65</f>
        <v>95724.1460448</v>
      </c>
      <c r="Y66" s="38">
        <f>Y65</f>
        <v>79271.55844334999</v>
      </c>
      <c r="Z66" s="76">
        <f t="shared" si="8"/>
        <v>8.5041061742127901</v>
      </c>
      <c r="AA66" s="76">
        <f t="shared" si="9"/>
        <v>4.1191764281343204</v>
      </c>
      <c r="AB66" s="76">
        <f t="shared" si="10"/>
        <v>7.042462925519966</v>
      </c>
    </row>
    <row r="67" spans="1:28">
      <c r="E67" s="39"/>
    </row>
    <row r="69" spans="1:28">
      <c r="B69" s="404" t="s">
        <v>19</v>
      </c>
      <c r="C69" s="404"/>
      <c r="D69" s="404"/>
      <c r="E69" s="404"/>
      <c r="F69" s="404"/>
    </row>
    <row r="70" spans="1:28" ht="42">
      <c r="A70" s="6" t="s">
        <v>17</v>
      </c>
      <c r="B70" s="6" t="s">
        <v>5</v>
      </c>
      <c r="C70" s="6"/>
      <c r="D70" s="6" t="s">
        <v>1</v>
      </c>
      <c r="E70" s="6" t="s">
        <v>9</v>
      </c>
      <c r="F70" s="58" t="s">
        <v>10</v>
      </c>
    </row>
    <row r="71" spans="1:28">
      <c r="A71" s="32" t="s">
        <v>18</v>
      </c>
      <c r="B71" s="32" t="s">
        <v>6</v>
      </c>
      <c r="D71" s="32" t="s">
        <v>2</v>
      </c>
      <c r="E71" s="40">
        <f>34715/0.262</f>
        <v>132500</v>
      </c>
      <c r="F71" s="59">
        <v>9465</v>
      </c>
    </row>
    <row r="72" spans="1:28">
      <c r="A72" s="32" t="s">
        <v>18</v>
      </c>
      <c r="D72" s="32" t="s">
        <v>3</v>
      </c>
      <c r="E72" s="40">
        <v>132500</v>
      </c>
      <c r="F72" s="59">
        <v>9465</v>
      </c>
    </row>
    <row r="73" spans="1:28">
      <c r="A73" s="32" t="s">
        <v>18</v>
      </c>
      <c r="B73" s="36"/>
      <c r="C73" s="36"/>
      <c r="D73" s="36" t="s">
        <v>4</v>
      </c>
      <c r="E73" s="41">
        <v>132500</v>
      </c>
      <c r="F73" s="60">
        <v>9465</v>
      </c>
    </row>
    <row r="74" spans="1:28">
      <c r="A74" s="32" t="s">
        <v>18</v>
      </c>
      <c r="B74" s="32" t="s">
        <v>7</v>
      </c>
      <c r="D74" s="32" t="s">
        <v>2</v>
      </c>
      <c r="E74" s="40">
        <v>132500</v>
      </c>
      <c r="F74" s="59">
        <v>9465</v>
      </c>
    </row>
    <row r="75" spans="1:28">
      <c r="A75" s="32" t="s">
        <v>18</v>
      </c>
      <c r="D75" s="32" t="s">
        <v>3</v>
      </c>
      <c r="E75" s="40">
        <v>132500</v>
      </c>
      <c r="F75" s="59">
        <v>9465</v>
      </c>
    </row>
    <row r="76" spans="1:28">
      <c r="A76" s="32" t="s">
        <v>18</v>
      </c>
      <c r="B76" s="36"/>
      <c r="C76" s="36"/>
      <c r="D76" s="36" t="s">
        <v>4</v>
      </c>
      <c r="E76" s="41">
        <v>132500</v>
      </c>
      <c r="F76" s="60">
        <v>9465</v>
      </c>
    </row>
    <row r="77" spans="1:28">
      <c r="A77" s="32" t="s">
        <v>18</v>
      </c>
      <c r="B77" s="32" t="s">
        <v>8</v>
      </c>
      <c r="D77" s="32" t="s">
        <v>2</v>
      </c>
      <c r="E77" s="40">
        <v>200000</v>
      </c>
      <c r="F77" s="59">
        <v>16400</v>
      </c>
    </row>
    <row r="78" spans="1:28">
      <c r="A78" s="32" t="s">
        <v>18</v>
      </c>
      <c r="D78" s="32" t="s">
        <v>3</v>
      </c>
      <c r="E78" s="40">
        <v>200000</v>
      </c>
      <c r="F78" s="59">
        <v>16400</v>
      </c>
    </row>
    <row r="79" spans="1:28">
      <c r="A79" s="36" t="s">
        <v>18</v>
      </c>
      <c r="B79" s="36"/>
      <c r="C79" s="36"/>
      <c r="D79" s="36" t="s">
        <v>4</v>
      </c>
      <c r="E79" s="41">
        <v>200000</v>
      </c>
      <c r="F79" s="60">
        <v>16400</v>
      </c>
    </row>
    <row r="80" spans="1:28">
      <c r="A80" s="34"/>
      <c r="B80" s="34"/>
      <c r="C80" s="34"/>
      <c r="D80" s="34"/>
      <c r="E80" s="34"/>
      <c r="F80" s="61"/>
    </row>
    <row r="81" spans="1:4">
      <c r="A81" s="403" t="s">
        <v>22</v>
      </c>
      <c r="B81" s="403"/>
      <c r="C81" s="42"/>
    </row>
    <row r="82" spans="1:4" ht="56">
      <c r="A82" s="7" t="s">
        <v>20</v>
      </c>
      <c r="B82" s="7" t="s">
        <v>21</v>
      </c>
      <c r="C82" s="7"/>
      <c r="D82" s="7" t="s">
        <v>57</v>
      </c>
    </row>
    <row r="83" spans="1:4">
      <c r="A83" s="32">
        <v>1.2</v>
      </c>
      <c r="B83" s="40">
        <v>180000</v>
      </c>
      <c r="C83" s="40"/>
      <c r="D83" s="43">
        <v>5</v>
      </c>
    </row>
    <row r="84" spans="1:4" ht="28">
      <c r="D84" s="32" t="s">
        <v>58</v>
      </c>
    </row>
    <row r="86" spans="1:4" ht="28">
      <c r="B86" s="44" t="s">
        <v>56</v>
      </c>
      <c r="C86" s="44"/>
    </row>
    <row r="87" spans="1:4">
      <c r="B87" s="32">
        <v>3.4000000000000002E-2</v>
      </c>
      <c r="D87" s="32" t="s">
        <v>53</v>
      </c>
    </row>
    <row r="88" spans="1:4" ht="28">
      <c r="B88" s="32">
        <v>0.94781700000000002</v>
      </c>
      <c r="D88" s="32" t="s">
        <v>55</v>
      </c>
    </row>
    <row r="89" spans="1:4" ht="28">
      <c r="B89" s="32">
        <f>B88*B87</f>
        <v>3.2225778000000004E-2</v>
      </c>
      <c r="D89" s="32" t="s">
        <v>54</v>
      </c>
    </row>
  </sheetData>
  <autoFilter ref="A2:AB66">
    <filterColumn colId="3">
      <filters>
        <filter val="CM"/>
      </filters>
    </filterColumn>
  </autoFilter>
  <mergeCells count="3">
    <mergeCell ref="A81:B81"/>
    <mergeCell ref="B69:F69"/>
    <mergeCell ref="M1:X1"/>
  </mergeCells>
  <pageMargins left="0.7" right="0.7" top="0.75" bottom="0.75" header="0.3" footer="0.3"/>
  <pageSetup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289"/>
  <sheetViews>
    <sheetView workbookViewId="0">
      <pane xSplit="7" ySplit="2" topLeftCell="T262" activePane="bottomRight" state="frozenSplit"/>
      <selection pane="topRight" activeCell="J1" sqref="J1"/>
      <selection pane="bottomLeft" activeCell="A13" sqref="A13"/>
      <selection pane="bottomRight" activeCell="E16" sqref="E16"/>
    </sheetView>
  </sheetViews>
  <sheetFormatPr baseColWidth="10" defaultColWidth="8.83203125" defaultRowHeight="14" x14ac:dyDescent="0"/>
  <cols>
    <col min="1" max="1" width="7.1640625" customWidth="1"/>
    <col min="2" max="3" width="9.5" customWidth="1"/>
    <col min="4" max="4" width="7.6640625" bestFit="1" customWidth="1"/>
    <col min="5" max="5" width="11.83203125" customWidth="1"/>
    <col min="6" max="6" width="14.5" customWidth="1"/>
    <col min="7" max="7" width="13.1640625" customWidth="1"/>
    <col min="8" max="11" width="16.83203125" style="12" customWidth="1"/>
    <col min="12" max="12" width="15.83203125" bestFit="1" customWidth="1"/>
    <col min="13" max="13" width="14.6640625" bestFit="1" customWidth="1"/>
    <col min="14" max="14" width="13" customWidth="1"/>
    <col min="15" max="16" width="22.5" customWidth="1"/>
    <col min="17" max="17" width="13.83203125" bestFit="1" customWidth="1"/>
    <col min="18" max="18" width="13.83203125" customWidth="1"/>
    <col min="19" max="19" width="10.6640625" bestFit="1" customWidth="1"/>
    <col min="20" max="20" width="15.83203125" customWidth="1"/>
    <col min="21" max="21" width="15.6640625" bestFit="1" customWidth="1"/>
    <col min="22" max="22" width="15.6640625" style="376" customWidth="1"/>
    <col min="23" max="23" width="13.5" customWidth="1"/>
    <col min="24" max="24" width="13.5" style="376" customWidth="1"/>
    <col min="25" max="25" width="16.83203125" customWidth="1"/>
    <col min="26" max="26" width="13" customWidth="1"/>
    <col min="27" max="27" width="15.83203125" customWidth="1"/>
    <col min="28" max="28" width="12.6640625" customWidth="1"/>
    <col min="29" max="30" width="15.5" customWidth="1"/>
    <col min="31" max="32" width="13.33203125" customWidth="1"/>
  </cols>
  <sheetData>
    <row r="1" spans="1:32" s="4" customFormat="1" ht="43.25" customHeight="1">
      <c r="A1" s="268" t="s">
        <v>1030</v>
      </c>
      <c r="B1" s="4" t="s">
        <v>751</v>
      </c>
      <c r="C1" s="268" t="s">
        <v>14</v>
      </c>
      <c r="D1" s="268" t="s">
        <v>1031</v>
      </c>
      <c r="E1" s="268" t="s">
        <v>759</v>
      </c>
      <c r="F1" s="268" t="s">
        <v>1032</v>
      </c>
      <c r="G1" s="268" t="s">
        <v>1033</v>
      </c>
      <c r="H1" s="269" t="s">
        <v>1034</v>
      </c>
      <c r="I1" s="409" t="s">
        <v>1035</v>
      </c>
      <c r="J1" s="410"/>
      <c r="K1" s="269" t="s">
        <v>1036</v>
      </c>
      <c r="L1" s="411" t="s">
        <v>1128</v>
      </c>
      <c r="M1" s="412"/>
      <c r="N1" s="270" t="s">
        <v>1126</v>
      </c>
      <c r="O1" s="270" t="s">
        <v>1127</v>
      </c>
      <c r="P1" s="368" t="s">
        <v>1043</v>
      </c>
      <c r="Q1" s="407" t="s">
        <v>1037</v>
      </c>
      <c r="R1" s="407"/>
      <c r="S1" s="407" t="s">
        <v>1038</v>
      </c>
      <c r="T1" s="407"/>
      <c r="U1" s="407" t="s">
        <v>1039</v>
      </c>
      <c r="V1" s="407"/>
      <c r="W1" s="407" t="s">
        <v>1041</v>
      </c>
      <c r="X1" s="408"/>
      <c r="Y1" s="334" t="s">
        <v>1042</v>
      </c>
      <c r="Z1" s="271" t="s">
        <v>1037</v>
      </c>
      <c r="AA1" s="270" t="s">
        <v>1038</v>
      </c>
      <c r="AB1" s="270" t="s">
        <v>1044</v>
      </c>
      <c r="AC1" s="270" t="s">
        <v>1045</v>
      </c>
      <c r="AD1" s="361"/>
      <c r="AE1" s="368" t="s">
        <v>1046</v>
      </c>
      <c r="AF1" s="269" t="s">
        <v>1047</v>
      </c>
    </row>
    <row r="2" spans="1:32" s="4" customFormat="1" ht="56">
      <c r="A2" s="272"/>
      <c r="B2" s="273"/>
      <c r="C2" s="272"/>
      <c r="D2" s="272"/>
      <c r="E2" s="272"/>
      <c r="F2" s="272"/>
      <c r="G2" s="272"/>
      <c r="H2" s="269" t="s">
        <v>1048</v>
      </c>
      <c r="I2" s="269" t="s">
        <v>1049</v>
      </c>
      <c r="J2" s="274" t="s">
        <v>1050</v>
      </c>
      <c r="K2" s="269" t="s">
        <v>1051</v>
      </c>
      <c r="L2" s="269" t="s">
        <v>1052</v>
      </c>
      <c r="M2" s="338" t="s">
        <v>1121</v>
      </c>
      <c r="N2" s="275" t="s">
        <v>1054</v>
      </c>
      <c r="O2" s="275" t="s">
        <v>1054</v>
      </c>
      <c r="P2" s="269" t="s">
        <v>1054</v>
      </c>
      <c r="Q2" s="275" t="s">
        <v>1052</v>
      </c>
      <c r="R2" s="338" t="s">
        <v>1121</v>
      </c>
      <c r="S2" s="275" t="s">
        <v>1052</v>
      </c>
      <c r="T2" s="338" t="s">
        <v>1121</v>
      </c>
      <c r="U2" s="275" t="s">
        <v>1052</v>
      </c>
      <c r="V2" s="369" t="s">
        <v>1121</v>
      </c>
      <c r="W2" s="275" t="s">
        <v>1052</v>
      </c>
      <c r="X2" s="369" t="s">
        <v>1121</v>
      </c>
      <c r="Y2" s="269" t="s">
        <v>1053</v>
      </c>
      <c r="Z2" s="275" t="s">
        <v>1054</v>
      </c>
      <c r="AA2" s="275" t="s">
        <v>1054</v>
      </c>
      <c r="AB2" s="275" t="s">
        <v>1054</v>
      </c>
      <c r="AC2" s="275" t="s">
        <v>1054</v>
      </c>
      <c r="AD2" s="338" t="s">
        <v>1121</v>
      </c>
      <c r="AE2" s="269" t="s">
        <v>1054</v>
      </c>
      <c r="AF2" s="269" t="s">
        <v>1054</v>
      </c>
    </row>
    <row r="3" spans="1:32" s="283" customFormat="1">
      <c r="A3" s="276" t="s">
        <v>1055</v>
      </c>
      <c r="B3" s="277" t="s">
        <v>13</v>
      </c>
      <c r="C3" s="278" t="s">
        <v>6</v>
      </c>
      <c r="D3" s="278" t="s">
        <v>1056</v>
      </c>
      <c r="E3" s="278" t="s">
        <v>1057</v>
      </c>
      <c r="F3" s="277" t="s">
        <v>1058</v>
      </c>
      <c r="G3" s="277" t="s">
        <v>1058</v>
      </c>
      <c r="H3" s="279">
        <v>1507</v>
      </c>
      <c r="I3" s="279">
        <v>0</v>
      </c>
      <c r="J3" s="280">
        <f>I3*$E$289</f>
        <v>0</v>
      </c>
      <c r="K3" s="279" t="s">
        <v>1056</v>
      </c>
      <c r="L3" s="279" t="s">
        <v>1056</v>
      </c>
      <c r="M3" s="339" t="s">
        <v>1056</v>
      </c>
      <c r="N3" s="281" t="s">
        <v>1056</v>
      </c>
      <c r="O3" s="281" t="s">
        <v>1056</v>
      </c>
      <c r="P3" s="365" t="s">
        <v>1056</v>
      </c>
      <c r="Q3" s="281" t="s">
        <v>1056</v>
      </c>
      <c r="R3" s="343"/>
      <c r="S3" s="281" t="s">
        <v>1056</v>
      </c>
      <c r="T3" s="343"/>
      <c r="U3" s="281" t="s">
        <v>1056</v>
      </c>
      <c r="V3" s="370"/>
      <c r="W3" s="281" t="s">
        <v>1056</v>
      </c>
      <c r="X3" s="370"/>
      <c r="Y3" s="279" t="s">
        <v>1056</v>
      </c>
      <c r="Z3" s="281" t="s">
        <v>1056</v>
      </c>
      <c r="AA3" s="281" t="s">
        <v>1056</v>
      </c>
      <c r="AB3" s="281" t="s">
        <v>1056</v>
      </c>
      <c r="AC3" s="281" t="s">
        <v>1056</v>
      </c>
      <c r="AD3" s="343"/>
      <c r="AE3" s="279" t="s">
        <v>1056</v>
      </c>
      <c r="AF3" s="282" t="s">
        <v>1056</v>
      </c>
    </row>
    <row r="4" spans="1:32" s="283" customFormat="1">
      <c r="A4" s="284" t="s">
        <v>1055</v>
      </c>
      <c r="B4" s="283" t="s">
        <v>13</v>
      </c>
      <c r="C4" s="283" t="s">
        <v>7</v>
      </c>
      <c r="D4" s="283" t="s">
        <v>1056</v>
      </c>
      <c r="E4" s="1" t="s">
        <v>1059</v>
      </c>
      <c r="F4" s="1" t="s">
        <v>1058</v>
      </c>
      <c r="G4" s="1" t="s">
        <v>1058</v>
      </c>
      <c r="H4" s="285">
        <v>889</v>
      </c>
      <c r="I4" s="285">
        <v>0</v>
      </c>
      <c r="J4" s="280">
        <f t="shared" ref="J4:J67" si="0">I4*$E$289</f>
        <v>0</v>
      </c>
      <c r="K4" s="285" t="s">
        <v>1056</v>
      </c>
      <c r="L4" s="285" t="s">
        <v>1056</v>
      </c>
      <c r="M4" s="340" t="s">
        <v>1056</v>
      </c>
      <c r="N4" s="286" t="s">
        <v>1056</v>
      </c>
      <c r="O4" s="286" t="s">
        <v>1056</v>
      </c>
      <c r="P4" s="366" t="s">
        <v>1056</v>
      </c>
      <c r="Q4" s="286" t="s">
        <v>1056</v>
      </c>
      <c r="R4" s="344"/>
      <c r="S4" s="286" t="s">
        <v>1056</v>
      </c>
      <c r="T4" s="344"/>
      <c r="U4" s="286" t="s">
        <v>1056</v>
      </c>
      <c r="V4" s="371"/>
      <c r="W4" s="286" t="s">
        <v>1056</v>
      </c>
      <c r="X4" s="371"/>
      <c r="Y4" s="285" t="s">
        <v>1056</v>
      </c>
      <c r="Z4" s="286" t="s">
        <v>1056</v>
      </c>
      <c r="AA4" s="286" t="s">
        <v>1056</v>
      </c>
      <c r="AB4" s="286" t="s">
        <v>1056</v>
      </c>
      <c r="AC4" s="286" t="s">
        <v>1056</v>
      </c>
      <c r="AD4" s="344"/>
      <c r="AE4" s="285" t="s">
        <v>1056</v>
      </c>
      <c r="AF4" s="287" t="s">
        <v>1056</v>
      </c>
    </row>
    <row r="5" spans="1:32" s="283" customFormat="1">
      <c r="A5" s="284" t="s">
        <v>1055</v>
      </c>
      <c r="B5" s="283" t="s">
        <v>13</v>
      </c>
      <c r="C5" s="283" t="s">
        <v>8</v>
      </c>
      <c r="D5" s="283" t="s">
        <v>1056</v>
      </c>
      <c r="E5" s="1" t="s">
        <v>1060</v>
      </c>
      <c r="F5" s="1" t="s">
        <v>1058</v>
      </c>
      <c r="G5" s="1" t="s">
        <v>1058</v>
      </c>
      <c r="H5" s="285">
        <v>716</v>
      </c>
      <c r="I5" s="285">
        <v>0</v>
      </c>
      <c r="J5" s="280">
        <f t="shared" si="0"/>
        <v>0</v>
      </c>
      <c r="K5" s="285" t="s">
        <v>1056</v>
      </c>
      <c r="L5" s="285" t="s">
        <v>1056</v>
      </c>
      <c r="M5" s="340" t="s">
        <v>1056</v>
      </c>
      <c r="N5" s="286" t="s">
        <v>1056</v>
      </c>
      <c r="O5" s="286" t="s">
        <v>1056</v>
      </c>
      <c r="P5" s="366" t="s">
        <v>1056</v>
      </c>
      <c r="Q5" s="286" t="s">
        <v>1056</v>
      </c>
      <c r="R5" s="344"/>
      <c r="S5" s="286" t="s">
        <v>1056</v>
      </c>
      <c r="T5" s="344"/>
      <c r="U5" s="286" t="s">
        <v>1056</v>
      </c>
      <c r="V5" s="371"/>
      <c r="W5" s="286" t="s">
        <v>1056</v>
      </c>
      <c r="X5" s="371"/>
      <c r="Y5" s="285" t="s">
        <v>1056</v>
      </c>
      <c r="Z5" s="286" t="s">
        <v>1056</v>
      </c>
      <c r="AA5" s="286" t="s">
        <v>1056</v>
      </c>
      <c r="AB5" s="286" t="s">
        <v>1056</v>
      </c>
      <c r="AC5" s="286" t="s">
        <v>1056</v>
      </c>
      <c r="AD5" s="344"/>
      <c r="AE5" s="285" t="s">
        <v>1056</v>
      </c>
      <c r="AF5" s="287" t="s">
        <v>1056</v>
      </c>
    </row>
    <row r="6" spans="1:32" s="283" customFormat="1">
      <c r="A6" s="284" t="s">
        <v>1055</v>
      </c>
      <c r="B6" s="1" t="s">
        <v>15</v>
      </c>
      <c r="C6" s="283" t="s">
        <v>6</v>
      </c>
      <c r="D6" s="283" t="s">
        <v>1056</v>
      </c>
      <c r="E6" s="283" t="s">
        <v>1057</v>
      </c>
      <c r="F6" s="1" t="s">
        <v>1058</v>
      </c>
      <c r="G6" s="1" t="s">
        <v>1058</v>
      </c>
      <c r="H6" s="285">
        <v>2298</v>
      </c>
      <c r="I6" s="285">
        <v>0</v>
      </c>
      <c r="J6" s="280">
        <f t="shared" si="0"/>
        <v>0</v>
      </c>
      <c r="K6" s="285" t="s">
        <v>1056</v>
      </c>
      <c r="L6" s="285" t="s">
        <v>1056</v>
      </c>
      <c r="M6" s="340" t="s">
        <v>1056</v>
      </c>
      <c r="N6" s="286" t="s">
        <v>1056</v>
      </c>
      <c r="O6" s="286" t="s">
        <v>1056</v>
      </c>
      <c r="P6" s="366" t="s">
        <v>1056</v>
      </c>
      <c r="Q6" s="286" t="s">
        <v>1056</v>
      </c>
      <c r="R6" s="344"/>
      <c r="S6" s="286" t="s">
        <v>1056</v>
      </c>
      <c r="T6" s="344"/>
      <c r="U6" s="286" t="s">
        <v>1056</v>
      </c>
      <c r="V6" s="371"/>
      <c r="W6" s="286" t="s">
        <v>1056</v>
      </c>
      <c r="X6" s="371"/>
      <c r="Y6" s="285" t="s">
        <v>1056</v>
      </c>
      <c r="Z6" s="286" t="s">
        <v>1056</v>
      </c>
      <c r="AA6" s="286" t="s">
        <v>1056</v>
      </c>
      <c r="AB6" s="286" t="s">
        <v>1056</v>
      </c>
      <c r="AC6" s="286" t="s">
        <v>1056</v>
      </c>
      <c r="AD6" s="344"/>
      <c r="AE6" s="285" t="s">
        <v>1056</v>
      </c>
      <c r="AF6" s="287" t="s">
        <v>1056</v>
      </c>
    </row>
    <row r="7" spans="1:32" s="283" customFormat="1">
      <c r="A7" s="284" t="s">
        <v>1055</v>
      </c>
      <c r="B7" s="283" t="s">
        <v>15</v>
      </c>
      <c r="C7" s="283" t="s">
        <v>7</v>
      </c>
      <c r="D7" s="283" t="s">
        <v>1056</v>
      </c>
      <c r="E7" s="1" t="s">
        <v>1059</v>
      </c>
      <c r="F7" s="1" t="s">
        <v>1058</v>
      </c>
      <c r="G7" s="1" t="s">
        <v>1058</v>
      </c>
      <c r="H7" s="285">
        <v>3298</v>
      </c>
      <c r="I7" s="285">
        <v>0</v>
      </c>
      <c r="J7" s="280">
        <f t="shared" si="0"/>
        <v>0</v>
      </c>
      <c r="K7" s="285" t="s">
        <v>1056</v>
      </c>
      <c r="L7" s="285" t="s">
        <v>1056</v>
      </c>
      <c r="M7" s="340" t="s">
        <v>1056</v>
      </c>
      <c r="N7" s="286" t="s">
        <v>1056</v>
      </c>
      <c r="O7" s="286" t="s">
        <v>1056</v>
      </c>
      <c r="P7" s="366" t="s">
        <v>1056</v>
      </c>
      <c r="Q7" s="286" t="s">
        <v>1056</v>
      </c>
      <c r="R7" s="344"/>
      <c r="S7" s="286" t="s">
        <v>1056</v>
      </c>
      <c r="T7" s="344"/>
      <c r="U7" s="286" t="s">
        <v>1056</v>
      </c>
      <c r="V7" s="371"/>
      <c r="W7" s="286" t="s">
        <v>1056</v>
      </c>
      <c r="X7" s="371"/>
      <c r="Y7" s="285" t="s">
        <v>1056</v>
      </c>
      <c r="Z7" s="286" t="s">
        <v>1056</v>
      </c>
      <c r="AA7" s="286" t="s">
        <v>1056</v>
      </c>
      <c r="AB7" s="286" t="s">
        <v>1056</v>
      </c>
      <c r="AC7" s="286" t="s">
        <v>1056</v>
      </c>
      <c r="AD7" s="344"/>
      <c r="AE7" s="285" t="s">
        <v>1056</v>
      </c>
      <c r="AF7" s="287" t="s">
        <v>1056</v>
      </c>
    </row>
    <row r="8" spans="1:32" s="283" customFormat="1">
      <c r="A8" s="284" t="s">
        <v>1055</v>
      </c>
      <c r="B8" s="283" t="s">
        <v>15</v>
      </c>
      <c r="C8" s="283" t="s">
        <v>8</v>
      </c>
      <c r="D8" s="283" t="s">
        <v>1056</v>
      </c>
      <c r="E8" s="1" t="s">
        <v>1060</v>
      </c>
      <c r="F8" s="1" t="s">
        <v>1058</v>
      </c>
      <c r="G8" s="1" t="s">
        <v>1058</v>
      </c>
      <c r="H8" s="285">
        <v>8971</v>
      </c>
      <c r="I8" s="285">
        <v>0</v>
      </c>
      <c r="J8" s="280">
        <f t="shared" si="0"/>
        <v>0</v>
      </c>
      <c r="K8" s="285" t="s">
        <v>1056</v>
      </c>
      <c r="L8" s="285" t="s">
        <v>1056</v>
      </c>
      <c r="M8" s="340" t="s">
        <v>1056</v>
      </c>
      <c r="N8" s="286" t="s">
        <v>1056</v>
      </c>
      <c r="O8" s="286" t="s">
        <v>1056</v>
      </c>
      <c r="P8" s="366" t="s">
        <v>1056</v>
      </c>
      <c r="Q8" s="286" t="s">
        <v>1056</v>
      </c>
      <c r="R8" s="344"/>
      <c r="S8" s="286" t="s">
        <v>1056</v>
      </c>
      <c r="T8" s="344"/>
      <c r="U8" s="286" t="s">
        <v>1056</v>
      </c>
      <c r="V8" s="371"/>
      <c r="W8" s="286" t="s">
        <v>1056</v>
      </c>
      <c r="X8" s="371"/>
      <c r="Y8" s="285" t="s">
        <v>1056</v>
      </c>
      <c r="Z8" s="286" t="s">
        <v>1056</v>
      </c>
      <c r="AA8" s="286" t="s">
        <v>1056</v>
      </c>
      <c r="AB8" s="286" t="s">
        <v>1056</v>
      </c>
      <c r="AC8" s="286" t="s">
        <v>1056</v>
      </c>
      <c r="AD8" s="344"/>
      <c r="AE8" s="285" t="s">
        <v>1056</v>
      </c>
      <c r="AF8" s="287" t="s">
        <v>1056</v>
      </c>
    </row>
    <row r="9" spans="1:32">
      <c r="A9" s="284" t="s">
        <v>1055</v>
      </c>
      <c r="B9" s="1" t="s">
        <v>16</v>
      </c>
      <c r="C9" s="283" t="s">
        <v>6</v>
      </c>
      <c r="D9" s="283" t="s">
        <v>1056</v>
      </c>
      <c r="E9" s="283" t="s">
        <v>1057</v>
      </c>
      <c r="F9" s="1" t="s">
        <v>1058</v>
      </c>
      <c r="G9" s="1" t="s">
        <v>1058</v>
      </c>
      <c r="H9" s="285">
        <v>4230</v>
      </c>
      <c r="I9" s="285">
        <v>0</v>
      </c>
      <c r="J9" s="280">
        <f t="shared" si="0"/>
        <v>0</v>
      </c>
      <c r="K9" s="285" t="s">
        <v>1056</v>
      </c>
      <c r="L9" s="285" t="s">
        <v>1056</v>
      </c>
      <c r="M9" s="340" t="s">
        <v>1056</v>
      </c>
      <c r="N9" s="286" t="s">
        <v>1056</v>
      </c>
      <c r="O9" s="286" t="s">
        <v>1056</v>
      </c>
      <c r="P9" s="366" t="s">
        <v>1056</v>
      </c>
      <c r="Q9" s="286" t="s">
        <v>1056</v>
      </c>
      <c r="R9" s="344"/>
      <c r="S9" s="286" t="s">
        <v>1056</v>
      </c>
      <c r="T9" s="344"/>
      <c r="U9" s="286" t="s">
        <v>1056</v>
      </c>
      <c r="V9" s="371"/>
      <c r="W9" s="286" t="s">
        <v>1056</v>
      </c>
      <c r="X9" s="371"/>
      <c r="Y9" s="285" t="s">
        <v>1056</v>
      </c>
      <c r="Z9" s="286" t="s">
        <v>1056</v>
      </c>
      <c r="AA9" s="286" t="s">
        <v>1056</v>
      </c>
      <c r="AB9" s="286" t="s">
        <v>1056</v>
      </c>
      <c r="AC9" s="286" t="s">
        <v>1056</v>
      </c>
      <c r="AD9" s="344"/>
      <c r="AE9" s="285" t="s">
        <v>1056</v>
      </c>
      <c r="AF9" s="287" t="s">
        <v>1056</v>
      </c>
    </row>
    <row r="10" spans="1:32">
      <c r="A10" s="284" t="s">
        <v>1055</v>
      </c>
      <c r="B10" s="283" t="s">
        <v>16</v>
      </c>
      <c r="C10" s="283" t="s">
        <v>7</v>
      </c>
      <c r="D10" s="283" t="s">
        <v>1056</v>
      </c>
      <c r="E10" s="1" t="s">
        <v>1059</v>
      </c>
      <c r="F10" s="1" t="s">
        <v>1058</v>
      </c>
      <c r="G10" s="1" t="s">
        <v>1058</v>
      </c>
      <c r="H10" s="285">
        <v>1050</v>
      </c>
      <c r="I10" s="285">
        <v>0</v>
      </c>
      <c r="J10" s="280">
        <f t="shared" si="0"/>
        <v>0</v>
      </c>
      <c r="K10" s="285" t="s">
        <v>1056</v>
      </c>
      <c r="L10" s="285" t="s">
        <v>1056</v>
      </c>
      <c r="M10" s="340" t="s">
        <v>1056</v>
      </c>
      <c r="N10" s="286" t="s">
        <v>1056</v>
      </c>
      <c r="O10" s="286" t="s">
        <v>1056</v>
      </c>
      <c r="P10" s="366" t="s">
        <v>1056</v>
      </c>
      <c r="Q10" s="286" t="s">
        <v>1056</v>
      </c>
      <c r="R10" s="344"/>
      <c r="S10" s="286" t="s">
        <v>1056</v>
      </c>
      <c r="T10" s="344"/>
      <c r="U10" s="286" t="s">
        <v>1056</v>
      </c>
      <c r="V10" s="371"/>
      <c r="W10" s="286" t="s">
        <v>1056</v>
      </c>
      <c r="X10" s="371"/>
      <c r="Y10" s="285" t="s">
        <v>1056</v>
      </c>
      <c r="Z10" s="286" t="s">
        <v>1056</v>
      </c>
      <c r="AA10" s="286" t="s">
        <v>1056</v>
      </c>
      <c r="AB10" s="286" t="s">
        <v>1056</v>
      </c>
      <c r="AC10" s="286" t="s">
        <v>1056</v>
      </c>
      <c r="AD10" s="344"/>
      <c r="AE10" s="285" t="s">
        <v>1056</v>
      </c>
      <c r="AF10" s="287" t="s">
        <v>1056</v>
      </c>
    </row>
    <row r="11" spans="1:32">
      <c r="A11" s="284" t="s">
        <v>1055</v>
      </c>
      <c r="B11" s="283" t="s">
        <v>16</v>
      </c>
      <c r="C11" s="283" t="s">
        <v>8</v>
      </c>
      <c r="D11" s="283" t="s">
        <v>1056</v>
      </c>
      <c r="E11" s="1" t="s">
        <v>1060</v>
      </c>
      <c r="F11" s="1" t="s">
        <v>1058</v>
      </c>
      <c r="G11" s="1" t="s">
        <v>1058</v>
      </c>
      <c r="H11" s="285">
        <v>316</v>
      </c>
      <c r="I11" s="285">
        <v>0</v>
      </c>
      <c r="J11" s="280">
        <f t="shared" si="0"/>
        <v>0</v>
      </c>
      <c r="K11" s="285" t="s">
        <v>1056</v>
      </c>
      <c r="L11" s="285" t="s">
        <v>1056</v>
      </c>
      <c r="M11" s="340" t="s">
        <v>1056</v>
      </c>
      <c r="N11" s="286" t="s">
        <v>1056</v>
      </c>
      <c r="O11" s="286" t="s">
        <v>1056</v>
      </c>
      <c r="P11" s="366" t="s">
        <v>1056</v>
      </c>
      <c r="Q11" s="286" t="s">
        <v>1056</v>
      </c>
      <c r="R11" s="344"/>
      <c r="S11" s="286" t="s">
        <v>1056</v>
      </c>
      <c r="T11" s="344"/>
      <c r="U11" s="286" t="s">
        <v>1056</v>
      </c>
      <c r="V11" s="371"/>
      <c r="W11" s="286" t="s">
        <v>1056</v>
      </c>
      <c r="X11" s="371"/>
      <c r="Y11" s="285" t="s">
        <v>1056</v>
      </c>
      <c r="Z11" s="286" t="s">
        <v>1056</v>
      </c>
      <c r="AA11" s="286" t="s">
        <v>1056</v>
      </c>
      <c r="AB11" s="286" t="s">
        <v>1056</v>
      </c>
      <c r="AC11" s="286" t="s">
        <v>1056</v>
      </c>
      <c r="AD11" s="344"/>
      <c r="AE11" s="285" t="s">
        <v>1056</v>
      </c>
      <c r="AF11" s="287" t="s">
        <v>1056</v>
      </c>
    </row>
    <row r="12" spans="1:32" s="283" customFormat="1">
      <c r="A12" s="284" t="s">
        <v>1055</v>
      </c>
      <c r="B12" s="1" t="s">
        <v>13</v>
      </c>
      <c r="C12" s="283" t="s">
        <v>6</v>
      </c>
      <c r="D12" s="283" t="s">
        <v>1056</v>
      </c>
      <c r="E12" s="283" t="s">
        <v>1057</v>
      </c>
      <c r="F12" s="1" t="s">
        <v>2</v>
      </c>
      <c r="G12" s="1" t="s">
        <v>1061</v>
      </c>
      <c r="H12" s="285">
        <v>10</v>
      </c>
      <c r="I12" s="285">
        <v>344859.90802547772</v>
      </c>
      <c r="J12" s="280">
        <f t="shared" si="0"/>
        <v>11113.378837129465</v>
      </c>
      <c r="K12" s="288">
        <v>0.35</v>
      </c>
      <c r="L12" s="285">
        <v>900000</v>
      </c>
      <c r="M12" s="360">
        <v>92540</v>
      </c>
      <c r="N12" s="290">
        <v>36000</v>
      </c>
      <c r="O12" s="290">
        <v>58000</v>
      </c>
      <c r="P12" s="366">
        <f>SUM(N12:O12)</f>
        <v>94000</v>
      </c>
      <c r="Q12" s="289">
        <v>0</v>
      </c>
      <c r="R12" s="345"/>
      <c r="S12" s="289">
        <v>0</v>
      </c>
      <c r="T12" s="345"/>
      <c r="U12" s="289" t="s">
        <v>1056</v>
      </c>
      <c r="V12" s="372"/>
      <c r="W12" s="289" t="s">
        <v>1056</v>
      </c>
      <c r="X12" s="372"/>
      <c r="Y12" s="285">
        <f t="shared" ref="Y12:Y43" si="1">SUM(Q12:W12)</f>
        <v>0</v>
      </c>
      <c r="Z12" s="289">
        <v>0</v>
      </c>
      <c r="AA12" s="289">
        <v>28000</v>
      </c>
      <c r="AB12" s="289" t="s">
        <v>1056</v>
      </c>
      <c r="AC12" s="289" t="s">
        <v>1056</v>
      </c>
      <c r="AD12" s="345"/>
      <c r="AE12" s="285">
        <f t="shared" ref="AE12:AE43" si="2">SUM(Z12:AD12)</f>
        <v>28000</v>
      </c>
      <c r="AF12" s="287">
        <v>0</v>
      </c>
    </row>
    <row r="13" spans="1:32" s="283" customFormat="1">
      <c r="A13" s="284" t="s">
        <v>1055</v>
      </c>
      <c r="B13" s="1" t="s">
        <v>13</v>
      </c>
      <c r="C13" s="283" t="s">
        <v>6</v>
      </c>
      <c r="D13" s="283" t="s">
        <v>1056</v>
      </c>
      <c r="E13" s="283" t="s">
        <v>1057</v>
      </c>
      <c r="F13" s="1" t="s">
        <v>2</v>
      </c>
      <c r="G13" s="1" t="s">
        <v>51</v>
      </c>
      <c r="H13" s="285">
        <v>0</v>
      </c>
      <c r="I13" s="285">
        <f>I12</f>
        <v>344859.90802547772</v>
      </c>
      <c r="J13" s="280">
        <f t="shared" si="0"/>
        <v>11113.378837129465</v>
      </c>
      <c r="K13" s="288">
        <v>0.99</v>
      </c>
      <c r="L13" s="285">
        <f t="shared" ref="L13:S16" si="3">L12</f>
        <v>900000</v>
      </c>
      <c r="M13" s="359">
        <f>M12</f>
        <v>92540</v>
      </c>
      <c r="N13" s="291">
        <f t="shared" ref="N13:O16" si="4">N12</f>
        <v>36000</v>
      </c>
      <c r="O13" s="291">
        <f t="shared" si="4"/>
        <v>58000</v>
      </c>
      <c r="P13" s="366">
        <f t="shared" ref="P13:P76" si="5">SUM(N13:O13)</f>
        <v>94000</v>
      </c>
      <c r="Q13" s="291">
        <f t="shared" si="3"/>
        <v>0</v>
      </c>
      <c r="R13" s="345"/>
      <c r="S13" s="291">
        <f t="shared" si="3"/>
        <v>0</v>
      </c>
      <c r="T13" s="345"/>
      <c r="U13" s="290">
        <v>130</v>
      </c>
      <c r="V13" s="373">
        <v>98000</v>
      </c>
      <c r="W13" s="291" t="s">
        <v>1056</v>
      </c>
      <c r="X13" s="372"/>
      <c r="Y13" s="285">
        <f t="shared" si="1"/>
        <v>98130</v>
      </c>
      <c r="Z13" s="291">
        <f t="shared" ref="Z13:AA16" si="6">Z12</f>
        <v>0</v>
      </c>
      <c r="AA13" s="291">
        <f t="shared" si="6"/>
        <v>28000</v>
      </c>
      <c r="AB13" s="291">
        <v>9500</v>
      </c>
      <c r="AC13" s="291" t="s">
        <v>1056</v>
      </c>
      <c r="AD13" s="345"/>
      <c r="AE13" s="285">
        <f t="shared" si="2"/>
        <v>37500</v>
      </c>
      <c r="AF13" s="287">
        <v>0</v>
      </c>
    </row>
    <row r="14" spans="1:32" s="283" customFormat="1">
      <c r="A14" s="284" t="s">
        <v>1055</v>
      </c>
      <c r="B14" s="1" t="s">
        <v>13</v>
      </c>
      <c r="C14" s="283" t="s">
        <v>6</v>
      </c>
      <c r="D14" s="283" t="s">
        <v>1056</v>
      </c>
      <c r="E14" s="283" t="s">
        <v>1057</v>
      </c>
      <c r="F14" s="1" t="s">
        <v>2</v>
      </c>
      <c r="G14" s="1" t="s">
        <v>1062</v>
      </c>
      <c r="H14" s="285">
        <v>0</v>
      </c>
      <c r="I14" s="285">
        <f>I13</f>
        <v>344859.90802547772</v>
      </c>
      <c r="J14" s="280">
        <f t="shared" si="0"/>
        <v>11113.378837129465</v>
      </c>
      <c r="K14" s="288">
        <v>0.99</v>
      </c>
      <c r="L14" s="285">
        <f t="shared" si="3"/>
        <v>900000</v>
      </c>
      <c r="M14" s="359">
        <f>M12</f>
        <v>92540</v>
      </c>
      <c r="N14" s="291">
        <f t="shared" si="4"/>
        <v>36000</v>
      </c>
      <c r="O14" s="291">
        <f t="shared" si="4"/>
        <v>58000</v>
      </c>
      <c r="P14" s="366">
        <f t="shared" si="5"/>
        <v>94000</v>
      </c>
      <c r="Q14" s="291">
        <f t="shared" si="3"/>
        <v>0</v>
      </c>
      <c r="R14" s="345"/>
      <c r="S14" s="291">
        <f t="shared" si="3"/>
        <v>0</v>
      </c>
      <c r="T14" s="345"/>
      <c r="U14" s="291">
        <f>U13</f>
        <v>130</v>
      </c>
      <c r="V14" s="372">
        <f>V13</f>
        <v>98000</v>
      </c>
      <c r="W14" s="291" t="s">
        <v>1056</v>
      </c>
      <c r="X14" s="372"/>
      <c r="Y14" s="285">
        <f t="shared" si="1"/>
        <v>98130</v>
      </c>
      <c r="Z14" s="291">
        <f t="shared" si="6"/>
        <v>0</v>
      </c>
      <c r="AA14" s="291">
        <f t="shared" si="6"/>
        <v>28000</v>
      </c>
      <c r="AB14" s="291">
        <f>AB13</f>
        <v>9500</v>
      </c>
      <c r="AC14" s="291">
        <f>5*180000</f>
        <v>900000</v>
      </c>
      <c r="AD14" s="363">
        <f>J14*1.2*5</f>
        <v>66680.27302277679</v>
      </c>
      <c r="AE14" s="285">
        <f t="shared" si="2"/>
        <v>1004180.2730227768</v>
      </c>
      <c r="AF14" s="287">
        <v>0</v>
      </c>
    </row>
    <row r="15" spans="1:32" s="283" customFormat="1">
      <c r="A15" s="284" t="s">
        <v>1055</v>
      </c>
      <c r="B15" s="1" t="s">
        <v>13</v>
      </c>
      <c r="C15" s="283" t="s">
        <v>6</v>
      </c>
      <c r="D15" s="283" t="s">
        <v>1056</v>
      </c>
      <c r="E15" s="283" t="s">
        <v>1057</v>
      </c>
      <c r="F15" s="1" t="s">
        <v>2</v>
      </c>
      <c r="G15" s="1" t="s">
        <v>1063</v>
      </c>
      <c r="H15" s="285">
        <v>0</v>
      </c>
      <c r="I15" s="285">
        <f>I14</f>
        <v>344859.90802547772</v>
      </c>
      <c r="J15" s="280">
        <f t="shared" si="0"/>
        <v>11113.378837129465</v>
      </c>
      <c r="K15" s="288">
        <v>0</v>
      </c>
      <c r="L15" s="285">
        <f t="shared" si="3"/>
        <v>900000</v>
      </c>
      <c r="M15" s="359">
        <f>M14</f>
        <v>92540</v>
      </c>
      <c r="N15" s="291">
        <f t="shared" si="4"/>
        <v>36000</v>
      </c>
      <c r="O15" s="291">
        <f t="shared" si="4"/>
        <v>58000</v>
      </c>
      <c r="P15" s="366">
        <f t="shared" si="5"/>
        <v>94000</v>
      </c>
      <c r="Q15" s="291">
        <f t="shared" si="3"/>
        <v>0</v>
      </c>
      <c r="R15" s="345"/>
      <c r="S15" s="291">
        <f t="shared" si="3"/>
        <v>0</v>
      </c>
      <c r="T15" s="345"/>
      <c r="U15" s="291" t="s">
        <v>1056</v>
      </c>
      <c r="V15" s="372"/>
      <c r="W15" s="291">
        <f>W16</f>
        <v>54000000</v>
      </c>
      <c r="X15" s="373">
        <v>1260000</v>
      </c>
      <c r="Y15" s="285">
        <f t="shared" si="1"/>
        <v>54000000</v>
      </c>
      <c r="Z15" s="291">
        <f t="shared" si="6"/>
        <v>0</v>
      </c>
      <c r="AA15" s="291">
        <f t="shared" si="6"/>
        <v>28000</v>
      </c>
      <c r="AB15" s="291" t="s">
        <v>1056</v>
      </c>
      <c r="AC15" s="291" t="s">
        <v>1056</v>
      </c>
      <c r="AD15" s="345"/>
      <c r="AE15" s="285">
        <f t="shared" si="2"/>
        <v>28000</v>
      </c>
      <c r="AF15" s="287">
        <v>0</v>
      </c>
    </row>
    <row r="16" spans="1:32" s="283" customFormat="1">
      <c r="A16" s="292" t="s">
        <v>1055</v>
      </c>
      <c r="B16" s="294" t="s">
        <v>13</v>
      </c>
      <c r="C16" s="293" t="s">
        <v>6</v>
      </c>
      <c r="D16" s="293" t="s">
        <v>1056</v>
      </c>
      <c r="E16" s="293" t="s">
        <v>1057</v>
      </c>
      <c r="F16" s="294" t="s">
        <v>2</v>
      </c>
      <c r="G16" s="294" t="s">
        <v>1064</v>
      </c>
      <c r="H16" s="295">
        <v>0</v>
      </c>
      <c r="I16" s="295">
        <f>I15</f>
        <v>344859.90802547772</v>
      </c>
      <c r="J16" s="296">
        <f t="shared" si="0"/>
        <v>11113.378837129465</v>
      </c>
      <c r="K16" s="297">
        <v>0</v>
      </c>
      <c r="L16" s="295">
        <f t="shared" si="3"/>
        <v>900000</v>
      </c>
      <c r="M16" s="362">
        <f>M14</f>
        <v>92540</v>
      </c>
      <c r="N16" s="298">
        <f t="shared" si="4"/>
        <v>36000</v>
      </c>
      <c r="O16" s="298">
        <f t="shared" si="4"/>
        <v>58000</v>
      </c>
      <c r="P16" s="367">
        <f t="shared" si="5"/>
        <v>94000</v>
      </c>
      <c r="Q16" s="298">
        <f t="shared" si="3"/>
        <v>0</v>
      </c>
      <c r="R16" s="346"/>
      <c r="S16" s="298">
        <f t="shared" si="3"/>
        <v>0</v>
      </c>
      <c r="T16" s="346"/>
      <c r="U16" s="298" t="s">
        <v>1056</v>
      </c>
      <c r="V16" s="374"/>
      <c r="W16" s="298">
        <v>54000000</v>
      </c>
      <c r="X16" s="374">
        <f>X15</f>
        <v>1260000</v>
      </c>
      <c r="Y16" s="295">
        <f t="shared" si="1"/>
        <v>54000000</v>
      </c>
      <c r="Z16" s="298">
        <f t="shared" si="6"/>
        <v>0</v>
      </c>
      <c r="AA16" s="298">
        <f t="shared" si="6"/>
        <v>28000</v>
      </c>
      <c r="AB16" s="298" t="s">
        <v>1056</v>
      </c>
      <c r="AC16" s="298" t="s">
        <v>1056</v>
      </c>
      <c r="AD16" s="346"/>
      <c r="AE16" s="295">
        <f t="shared" si="2"/>
        <v>28000</v>
      </c>
      <c r="AF16" s="299">
        <v>0</v>
      </c>
    </row>
    <row r="17" spans="1:32" s="283" customFormat="1">
      <c r="A17" s="284" t="s">
        <v>1055</v>
      </c>
      <c r="B17" s="283" t="s">
        <v>13</v>
      </c>
      <c r="C17" s="283" t="s">
        <v>7</v>
      </c>
      <c r="D17" s="283" t="s">
        <v>1056</v>
      </c>
      <c r="E17" s="1" t="s">
        <v>1059</v>
      </c>
      <c r="F17" s="1" t="s">
        <v>2</v>
      </c>
      <c r="G17" s="1" t="s">
        <v>1061</v>
      </c>
      <c r="H17" s="285">
        <v>9</v>
      </c>
      <c r="I17" s="285">
        <v>670501.61684210529</v>
      </c>
      <c r="J17" s="280">
        <f t="shared" si="0"/>
        <v>21607.436252994747</v>
      </c>
      <c r="K17" s="288">
        <v>0.35</v>
      </c>
      <c r="L17" s="285">
        <v>1200000</v>
      </c>
      <c r="M17" s="360">
        <v>138000</v>
      </c>
      <c r="N17" s="291">
        <v>47000</v>
      </c>
      <c r="O17" s="291">
        <v>75000</v>
      </c>
      <c r="P17" s="366">
        <f>SUM(N17:O17)</f>
        <v>122000</v>
      </c>
      <c r="Q17" s="291">
        <v>0</v>
      </c>
      <c r="R17" s="345"/>
      <c r="S17" s="291">
        <v>0</v>
      </c>
      <c r="T17" s="345"/>
      <c r="U17" s="291" t="s">
        <v>1056</v>
      </c>
      <c r="V17" s="372"/>
      <c r="W17" s="291" t="s">
        <v>1056</v>
      </c>
      <c r="X17" s="372"/>
      <c r="Y17" s="285">
        <f t="shared" si="1"/>
        <v>0</v>
      </c>
      <c r="Z17" s="291">
        <v>0</v>
      </c>
      <c r="AA17" s="291">
        <v>36000</v>
      </c>
      <c r="AB17" s="291" t="s">
        <v>1056</v>
      </c>
      <c r="AC17" s="291" t="s">
        <v>1056</v>
      </c>
      <c r="AD17" s="345"/>
      <c r="AE17" s="285">
        <f t="shared" si="2"/>
        <v>36000</v>
      </c>
      <c r="AF17" s="287">
        <v>0</v>
      </c>
    </row>
    <row r="18" spans="1:32" s="283" customFormat="1">
      <c r="A18" s="284" t="s">
        <v>1055</v>
      </c>
      <c r="B18" s="283" t="s">
        <v>13</v>
      </c>
      <c r="C18" s="283" t="s">
        <v>7</v>
      </c>
      <c r="D18" s="283" t="s">
        <v>1056</v>
      </c>
      <c r="E18" s="1" t="s">
        <v>1059</v>
      </c>
      <c r="F18" s="1" t="s">
        <v>2</v>
      </c>
      <c r="G18" s="1" t="s">
        <v>51</v>
      </c>
      <c r="H18" s="285">
        <v>0</v>
      </c>
      <c r="I18" s="285">
        <f>I17</f>
        <v>670501.61684210529</v>
      </c>
      <c r="J18" s="280">
        <f t="shared" si="0"/>
        <v>21607.436252994747</v>
      </c>
      <c r="K18" s="288">
        <v>0.99</v>
      </c>
      <c r="L18" s="285">
        <f t="shared" ref="L18:S21" si="7">L17</f>
        <v>1200000</v>
      </c>
      <c r="M18" s="359">
        <f>M17</f>
        <v>138000</v>
      </c>
      <c r="N18" s="291">
        <f t="shared" ref="N18:O21" si="8">N17</f>
        <v>47000</v>
      </c>
      <c r="O18" s="291">
        <f t="shared" si="8"/>
        <v>75000</v>
      </c>
      <c r="P18" s="366">
        <f t="shared" si="5"/>
        <v>122000</v>
      </c>
      <c r="Q18" s="291">
        <f t="shared" si="7"/>
        <v>0</v>
      </c>
      <c r="R18" s="345"/>
      <c r="S18" s="291">
        <f t="shared" si="7"/>
        <v>0</v>
      </c>
      <c r="T18" s="345"/>
      <c r="U18" s="291">
        <v>130</v>
      </c>
      <c r="V18" s="373">
        <v>258000</v>
      </c>
      <c r="W18" s="291" t="s">
        <v>1056</v>
      </c>
      <c r="X18" s="372"/>
      <c r="Y18" s="285">
        <f t="shared" si="1"/>
        <v>258130</v>
      </c>
      <c r="Z18" s="291">
        <f t="shared" ref="Z18:AA21" si="9">Z17</f>
        <v>0</v>
      </c>
      <c r="AA18" s="291">
        <f t="shared" si="9"/>
        <v>36000</v>
      </c>
      <c r="AB18" s="291">
        <v>9500</v>
      </c>
      <c r="AC18" s="291" t="s">
        <v>1056</v>
      </c>
      <c r="AD18" s="345"/>
      <c r="AE18" s="285">
        <f t="shared" si="2"/>
        <v>45500</v>
      </c>
      <c r="AF18" s="287">
        <v>0</v>
      </c>
    </row>
    <row r="19" spans="1:32" s="283" customFormat="1">
      <c r="A19" s="284" t="s">
        <v>1055</v>
      </c>
      <c r="B19" s="283" t="s">
        <v>13</v>
      </c>
      <c r="C19" s="283" t="s">
        <v>7</v>
      </c>
      <c r="D19" s="283" t="s">
        <v>1056</v>
      </c>
      <c r="E19" s="1" t="s">
        <v>1059</v>
      </c>
      <c r="F19" s="1" t="s">
        <v>2</v>
      </c>
      <c r="G19" s="1" t="s">
        <v>1062</v>
      </c>
      <c r="H19" s="285">
        <v>0</v>
      </c>
      <c r="I19" s="285">
        <f>I18</f>
        <v>670501.61684210529</v>
      </c>
      <c r="J19" s="280">
        <f t="shared" si="0"/>
        <v>21607.436252994747</v>
      </c>
      <c r="K19" s="288">
        <v>0.99</v>
      </c>
      <c r="L19" s="285">
        <f t="shared" si="7"/>
        <v>1200000</v>
      </c>
      <c r="M19" s="359">
        <f>M18</f>
        <v>138000</v>
      </c>
      <c r="N19" s="291">
        <f t="shared" si="8"/>
        <v>47000</v>
      </c>
      <c r="O19" s="291">
        <f t="shared" si="8"/>
        <v>75000</v>
      </c>
      <c r="P19" s="366">
        <f t="shared" si="5"/>
        <v>122000</v>
      </c>
      <c r="Q19" s="291">
        <f t="shared" si="7"/>
        <v>0</v>
      </c>
      <c r="R19" s="345"/>
      <c r="S19" s="291">
        <f t="shared" si="7"/>
        <v>0</v>
      </c>
      <c r="T19" s="345"/>
      <c r="U19" s="291">
        <f>U18</f>
        <v>130</v>
      </c>
      <c r="V19" s="372">
        <f>V18</f>
        <v>258000</v>
      </c>
      <c r="W19" s="291" t="s">
        <v>1056</v>
      </c>
      <c r="X19" s="372"/>
      <c r="Y19" s="285">
        <f t="shared" si="1"/>
        <v>258130</v>
      </c>
      <c r="Z19" s="291">
        <f t="shared" si="9"/>
        <v>0</v>
      </c>
      <c r="AA19" s="291">
        <f t="shared" si="9"/>
        <v>36000</v>
      </c>
      <c r="AB19" s="291">
        <f>AB18</f>
        <v>9500</v>
      </c>
      <c r="AC19" s="291">
        <f>5*180000</f>
        <v>900000</v>
      </c>
      <c r="AD19" s="363">
        <f>J19*1.2*5</f>
        <v>129644.61751796847</v>
      </c>
      <c r="AE19" s="285">
        <f t="shared" si="2"/>
        <v>1075144.6175179684</v>
      </c>
      <c r="AF19" s="287">
        <v>0</v>
      </c>
    </row>
    <row r="20" spans="1:32" s="283" customFormat="1">
      <c r="A20" s="284" t="s">
        <v>1055</v>
      </c>
      <c r="B20" s="283" t="s">
        <v>13</v>
      </c>
      <c r="C20" s="283" t="s">
        <v>7</v>
      </c>
      <c r="D20" s="283" t="s">
        <v>1056</v>
      </c>
      <c r="E20" s="1" t="s">
        <v>1059</v>
      </c>
      <c r="F20" s="1" t="s">
        <v>2</v>
      </c>
      <c r="G20" s="1" t="s">
        <v>1063</v>
      </c>
      <c r="H20" s="285">
        <v>0</v>
      </c>
      <c r="I20" s="285">
        <f>I19</f>
        <v>670501.61684210529</v>
      </c>
      <c r="J20" s="280">
        <f t="shared" si="0"/>
        <v>21607.436252994747</v>
      </c>
      <c r="K20" s="288">
        <v>0</v>
      </c>
      <c r="L20" s="285">
        <f t="shared" si="7"/>
        <v>1200000</v>
      </c>
      <c r="M20" s="359">
        <f>M19</f>
        <v>138000</v>
      </c>
      <c r="N20" s="291">
        <f t="shared" si="8"/>
        <v>47000</v>
      </c>
      <c r="O20" s="291">
        <f t="shared" si="8"/>
        <v>75000</v>
      </c>
      <c r="P20" s="366">
        <f t="shared" si="5"/>
        <v>122000</v>
      </c>
      <c r="Q20" s="291">
        <f t="shared" si="7"/>
        <v>0</v>
      </c>
      <c r="R20" s="345"/>
      <c r="S20" s="291">
        <f t="shared" si="7"/>
        <v>0</v>
      </c>
      <c r="T20" s="345"/>
      <c r="U20" s="291" t="s">
        <v>1056</v>
      </c>
      <c r="V20" s="372"/>
      <c r="W20" s="291">
        <f>W21</f>
        <v>54000000</v>
      </c>
      <c r="X20" s="373">
        <v>1875000</v>
      </c>
      <c r="Y20" s="285">
        <f t="shared" si="1"/>
        <v>54000000</v>
      </c>
      <c r="Z20" s="291">
        <f t="shared" si="9"/>
        <v>0</v>
      </c>
      <c r="AA20" s="291">
        <f t="shared" si="9"/>
        <v>36000</v>
      </c>
      <c r="AB20" s="291" t="s">
        <v>1056</v>
      </c>
      <c r="AC20" s="291" t="s">
        <v>1056</v>
      </c>
      <c r="AD20" s="345"/>
      <c r="AE20" s="285">
        <f t="shared" si="2"/>
        <v>36000</v>
      </c>
      <c r="AF20" s="287">
        <v>0</v>
      </c>
    </row>
    <row r="21" spans="1:32" s="283" customFormat="1">
      <c r="A21" s="284" t="s">
        <v>1055</v>
      </c>
      <c r="B21" s="283" t="s">
        <v>13</v>
      </c>
      <c r="C21" s="283" t="s">
        <v>7</v>
      </c>
      <c r="D21" s="283" t="s">
        <v>1056</v>
      </c>
      <c r="E21" s="1" t="s">
        <v>1059</v>
      </c>
      <c r="F21" s="1" t="s">
        <v>2</v>
      </c>
      <c r="G21" s="1" t="s">
        <v>1064</v>
      </c>
      <c r="H21" s="285">
        <v>0</v>
      </c>
      <c r="I21" s="285">
        <f>I20</f>
        <v>670501.61684210529</v>
      </c>
      <c r="J21" s="280">
        <f t="shared" si="0"/>
        <v>21607.436252994747</v>
      </c>
      <c r="K21" s="288">
        <v>0</v>
      </c>
      <c r="L21" s="285">
        <f t="shared" si="7"/>
        <v>1200000</v>
      </c>
      <c r="M21" s="359">
        <f>M20</f>
        <v>138000</v>
      </c>
      <c r="N21" s="291">
        <f t="shared" si="8"/>
        <v>47000</v>
      </c>
      <c r="O21" s="291">
        <f t="shared" si="8"/>
        <v>75000</v>
      </c>
      <c r="P21" s="366">
        <f t="shared" si="5"/>
        <v>122000</v>
      </c>
      <c r="Q21" s="291">
        <f t="shared" si="7"/>
        <v>0</v>
      </c>
      <c r="R21" s="345"/>
      <c r="S21" s="291">
        <f t="shared" si="7"/>
        <v>0</v>
      </c>
      <c r="T21" s="345"/>
      <c r="U21" s="291" t="s">
        <v>1056</v>
      </c>
      <c r="V21" s="372"/>
      <c r="W21" s="291">
        <v>54000000</v>
      </c>
      <c r="X21" s="372">
        <f>X20</f>
        <v>1875000</v>
      </c>
      <c r="Y21" s="285">
        <f t="shared" si="1"/>
        <v>54000000</v>
      </c>
      <c r="Z21" s="291">
        <f t="shared" si="9"/>
        <v>0</v>
      </c>
      <c r="AA21" s="291">
        <f t="shared" si="9"/>
        <v>36000</v>
      </c>
      <c r="AB21" s="291" t="s">
        <v>1056</v>
      </c>
      <c r="AC21" s="291" t="s">
        <v>1056</v>
      </c>
      <c r="AD21" s="345"/>
      <c r="AE21" s="285">
        <f t="shared" si="2"/>
        <v>36000</v>
      </c>
      <c r="AF21" s="287">
        <v>0</v>
      </c>
    </row>
    <row r="22" spans="1:32" s="283" customFormat="1">
      <c r="A22" s="284" t="s">
        <v>1055</v>
      </c>
      <c r="B22" s="283" t="s">
        <v>13</v>
      </c>
      <c r="C22" s="283" t="s">
        <v>8</v>
      </c>
      <c r="D22" s="283" t="s">
        <v>1056</v>
      </c>
      <c r="E22" s="1" t="s">
        <v>1060</v>
      </c>
      <c r="F22" s="1" t="s">
        <v>2</v>
      </c>
      <c r="G22" s="1" t="s">
        <v>1061</v>
      </c>
      <c r="H22" s="285">
        <v>7</v>
      </c>
      <c r="I22" s="285">
        <v>1901596.6184615383</v>
      </c>
      <c r="J22" s="280">
        <f t="shared" si="0"/>
        <v>61280.430472092245</v>
      </c>
      <c r="K22" s="288">
        <v>0.35</v>
      </c>
      <c r="L22" s="285">
        <v>2200000</v>
      </c>
      <c r="M22" s="341"/>
      <c r="N22" s="291">
        <v>88000</v>
      </c>
      <c r="O22" s="291">
        <v>140000</v>
      </c>
      <c r="P22" s="366">
        <f t="shared" si="5"/>
        <v>228000</v>
      </c>
      <c r="Q22" s="291">
        <v>0</v>
      </c>
      <c r="R22" s="345"/>
      <c r="S22" s="291">
        <v>0</v>
      </c>
      <c r="T22" s="345"/>
      <c r="U22" s="291" t="s">
        <v>1056</v>
      </c>
      <c r="V22" s="372"/>
      <c r="W22" s="291" t="s">
        <v>1056</v>
      </c>
      <c r="X22" s="372"/>
      <c r="Y22" s="285">
        <f t="shared" si="1"/>
        <v>0</v>
      </c>
      <c r="Z22" s="291">
        <v>0</v>
      </c>
      <c r="AA22" s="291">
        <v>68000</v>
      </c>
      <c r="AB22" s="291" t="s">
        <v>1056</v>
      </c>
      <c r="AC22" s="291" t="s">
        <v>1056</v>
      </c>
      <c r="AD22" s="345"/>
      <c r="AE22" s="285">
        <f t="shared" si="2"/>
        <v>68000</v>
      </c>
      <c r="AF22" s="287">
        <v>0</v>
      </c>
    </row>
    <row r="23" spans="1:32" s="283" customFormat="1">
      <c r="A23" s="284" t="s">
        <v>1055</v>
      </c>
      <c r="B23" s="283" t="s">
        <v>13</v>
      </c>
      <c r="C23" s="283" t="s">
        <v>8</v>
      </c>
      <c r="D23" s="283" t="s">
        <v>1056</v>
      </c>
      <c r="E23" s="283" t="s">
        <v>1060</v>
      </c>
      <c r="F23" s="1" t="s">
        <v>2</v>
      </c>
      <c r="G23" s="1" t="s">
        <v>51</v>
      </c>
      <c r="H23" s="285">
        <v>0</v>
      </c>
      <c r="I23" s="285">
        <f>I22</f>
        <v>1901596.6184615383</v>
      </c>
      <c r="J23" s="280">
        <f t="shared" si="0"/>
        <v>61280.430472092245</v>
      </c>
      <c r="K23" s="288">
        <v>0.99</v>
      </c>
      <c r="L23" s="285">
        <f t="shared" ref="L23:S26" si="10">L22</f>
        <v>2200000</v>
      </c>
      <c r="M23" s="341"/>
      <c r="N23" s="291">
        <f t="shared" ref="N23:O26" si="11">N22</f>
        <v>88000</v>
      </c>
      <c r="O23" s="291">
        <f t="shared" si="11"/>
        <v>140000</v>
      </c>
      <c r="P23" s="366">
        <f t="shared" si="5"/>
        <v>228000</v>
      </c>
      <c r="Q23" s="291">
        <f t="shared" si="10"/>
        <v>0</v>
      </c>
      <c r="R23" s="345"/>
      <c r="S23" s="291">
        <f t="shared" si="10"/>
        <v>0</v>
      </c>
      <c r="T23" s="345"/>
      <c r="U23" s="291">
        <v>200</v>
      </c>
      <c r="V23" s="372"/>
      <c r="W23" s="291" t="s">
        <v>1056</v>
      </c>
      <c r="X23" s="372"/>
      <c r="Y23" s="285">
        <f t="shared" si="1"/>
        <v>200</v>
      </c>
      <c r="Z23" s="291">
        <f t="shared" ref="Z23:AA26" si="12">Z22</f>
        <v>0</v>
      </c>
      <c r="AA23" s="291">
        <f t="shared" si="12"/>
        <v>68000</v>
      </c>
      <c r="AB23" s="291">
        <v>16000</v>
      </c>
      <c r="AC23" s="291" t="s">
        <v>1056</v>
      </c>
      <c r="AD23" s="345"/>
      <c r="AE23" s="285">
        <f t="shared" si="2"/>
        <v>84000</v>
      </c>
      <c r="AF23" s="287">
        <v>0</v>
      </c>
    </row>
    <row r="24" spans="1:32" s="283" customFormat="1">
      <c r="A24" s="284" t="s">
        <v>1055</v>
      </c>
      <c r="B24" s="283" t="s">
        <v>13</v>
      </c>
      <c r="C24" s="283" t="s">
        <v>8</v>
      </c>
      <c r="D24" s="283" t="s">
        <v>1056</v>
      </c>
      <c r="E24" s="283" t="s">
        <v>1060</v>
      </c>
      <c r="F24" s="1" t="s">
        <v>2</v>
      </c>
      <c r="G24" s="1" t="s">
        <v>1062</v>
      </c>
      <c r="H24" s="285">
        <v>0</v>
      </c>
      <c r="I24" s="285">
        <f>I23</f>
        <v>1901596.6184615383</v>
      </c>
      <c r="J24" s="280">
        <f t="shared" si="0"/>
        <v>61280.430472092245</v>
      </c>
      <c r="K24" s="288">
        <v>0.99</v>
      </c>
      <c r="L24" s="285">
        <f t="shared" si="10"/>
        <v>2200000</v>
      </c>
      <c r="M24" s="341"/>
      <c r="N24" s="291">
        <f t="shared" si="11"/>
        <v>88000</v>
      </c>
      <c r="O24" s="291">
        <f t="shared" si="11"/>
        <v>140000</v>
      </c>
      <c r="P24" s="366">
        <f t="shared" si="5"/>
        <v>228000</v>
      </c>
      <c r="Q24" s="291">
        <f t="shared" si="10"/>
        <v>0</v>
      </c>
      <c r="R24" s="345"/>
      <c r="S24" s="291">
        <f t="shared" si="10"/>
        <v>0</v>
      </c>
      <c r="T24" s="345"/>
      <c r="U24" s="291">
        <f>U23</f>
        <v>200</v>
      </c>
      <c r="V24" s="372"/>
      <c r="W24" s="291" t="s">
        <v>1056</v>
      </c>
      <c r="X24" s="372"/>
      <c r="Y24" s="285">
        <f t="shared" si="1"/>
        <v>200</v>
      </c>
      <c r="Z24" s="291">
        <f t="shared" si="12"/>
        <v>0</v>
      </c>
      <c r="AA24" s="291">
        <f t="shared" si="12"/>
        <v>68000</v>
      </c>
      <c r="AB24" s="291">
        <f>AB23</f>
        <v>16000</v>
      </c>
      <c r="AC24" s="291">
        <f>5*180000</f>
        <v>900000</v>
      </c>
      <c r="AD24" s="363">
        <f>J24*1.2*5</f>
        <v>367682.58283255342</v>
      </c>
      <c r="AE24" s="285">
        <f t="shared" si="2"/>
        <v>1351682.5828325534</v>
      </c>
      <c r="AF24" s="287">
        <v>0</v>
      </c>
    </row>
    <row r="25" spans="1:32" s="283" customFormat="1">
      <c r="A25" s="284" t="s">
        <v>1055</v>
      </c>
      <c r="B25" s="283" t="s">
        <v>13</v>
      </c>
      <c r="C25" s="283" t="s">
        <v>8</v>
      </c>
      <c r="D25" s="283" t="s">
        <v>1056</v>
      </c>
      <c r="E25" s="283" t="s">
        <v>1060</v>
      </c>
      <c r="F25" s="1" t="s">
        <v>2</v>
      </c>
      <c r="G25" s="1" t="s">
        <v>1063</v>
      </c>
      <c r="H25" s="285">
        <v>0</v>
      </c>
      <c r="I25" s="285">
        <f>I24</f>
        <v>1901596.6184615383</v>
      </c>
      <c r="J25" s="280">
        <f t="shared" si="0"/>
        <v>61280.430472092245</v>
      </c>
      <c r="K25" s="288">
        <v>0</v>
      </c>
      <c r="L25" s="285">
        <f t="shared" si="10"/>
        <v>2200000</v>
      </c>
      <c r="M25" s="341"/>
      <c r="N25" s="291">
        <f t="shared" si="11"/>
        <v>88000</v>
      </c>
      <c r="O25" s="291">
        <f t="shared" si="11"/>
        <v>140000</v>
      </c>
      <c r="P25" s="366">
        <f t="shared" si="5"/>
        <v>228000</v>
      </c>
      <c r="Q25" s="291">
        <f t="shared" si="10"/>
        <v>0</v>
      </c>
      <c r="R25" s="345"/>
      <c r="S25" s="291">
        <f t="shared" si="10"/>
        <v>0</v>
      </c>
      <c r="T25" s="345"/>
      <c r="U25" s="291" t="s">
        <v>1056</v>
      </c>
      <c r="V25" s="372"/>
      <c r="W25" s="291">
        <f>W26</f>
        <v>54000000</v>
      </c>
      <c r="X25" s="372"/>
      <c r="Y25" s="285">
        <f t="shared" si="1"/>
        <v>54000000</v>
      </c>
      <c r="Z25" s="291">
        <f t="shared" si="12"/>
        <v>0</v>
      </c>
      <c r="AA25" s="291">
        <f t="shared" si="12"/>
        <v>68000</v>
      </c>
      <c r="AB25" s="291" t="s">
        <v>1056</v>
      </c>
      <c r="AC25" s="291" t="s">
        <v>1056</v>
      </c>
      <c r="AD25" s="345"/>
      <c r="AE25" s="285">
        <f t="shared" si="2"/>
        <v>68000</v>
      </c>
      <c r="AF25" s="287">
        <v>0</v>
      </c>
    </row>
    <row r="26" spans="1:32" s="283" customFormat="1">
      <c r="A26" s="284" t="s">
        <v>1055</v>
      </c>
      <c r="B26" s="283" t="s">
        <v>13</v>
      </c>
      <c r="C26" s="283" t="s">
        <v>8</v>
      </c>
      <c r="D26" s="283" t="s">
        <v>1056</v>
      </c>
      <c r="E26" s="283" t="s">
        <v>1060</v>
      </c>
      <c r="F26" s="1" t="s">
        <v>2</v>
      </c>
      <c r="G26" s="1" t="s">
        <v>1064</v>
      </c>
      <c r="H26" s="285">
        <v>0</v>
      </c>
      <c r="I26" s="285">
        <f>I25</f>
        <v>1901596.6184615383</v>
      </c>
      <c r="J26" s="280">
        <f t="shared" si="0"/>
        <v>61280.430472092245</v>
      </c>
      <c r="K26" s="288">
        <v>0</v>
      </c>
      <c r="L26" s="285">
        <f t="shared" si="10"/>
        <v>2200000</v>
      </c>
      <c r="M26" s="341"/>
      <c r="N26" s="291">
        <f t="shared" si="11"/>
        <v>88000</v>
      </c>
      <c r="O26" s="291">
        <f t="shared" si="11"/>
        <v>140000</v>
      </c>
      <c r="P26" s="366">
        <f t="shared" si="5"/>
        <v>228000</v>
      </c>
      <c r="Q26" s="291">
        <f t="shared" si="10"/>
        <v>0</v>
      </c>
      <c r="R26" s="345"/>
      <c r="S26" s="291">
        <f t="shared" si="10"/>
        <v>0</v>
      </c>
      <c r="T26" s="345"/>
      <c r="U26" s="291" t="s">
        <v>1056</v>
      </c>
      <c r="V26" s="372"/>
      <c r="W26" s="291">
        <v>54000000</v>
      </c>
      <c r="X26" s="372"/>
      <c r="Y26" s="285">
        <f t="shared" si="1"/>
        <v>54000000</v>
      </c>
      <c r="Z26" s="291">
        <f t="shared" si="12"/>
        <v>0</v>
      </c>
      <c r="AA26" s="291">
        <f t="shared" si="12"/>
        <v>68000</v>
      </c>
      <c r="AB26" s="291" t="s">
        <v>1056</v>
      </c>
      <c r="AC26" s="291" t="s">
        <v>1056</v>
      </c>
      <c r="AD26" s="345"/>
      <c r="AE26" s="285">
        <f t="shared" si="2"/>
        <v>68000</v>
      </c>
      <c r="AF26" s="287">
        <v>0</v>
      </c>
    </row>
    <row r="27" spans="1:32" s="283" customFormat="1">
      <c r="A27" s="284" t="s">
        <v>1055</v>
      </c>
      <c r="B27" s="1" t="s">
        <v>15</v>
      </c>
      <c r="C27" s="283" t="s">
        <v>6</v>
      </c>
      <c r="D27" s="283" t="s">
        <v>1056</v>
      </c>
      <c r="E27" s="283" t="s">
        <v>1057</v>
      </c>
      <c r="F27" s="1" t="s">
        <v>2</v>
      </c>
      <c r="G27" s="1" t="s">
        <v>1061</v>
      </c>
      <c r="H27" s="285">
        <v>1</v>
      </c>
      <c r="I27" s="285">
        <v>156587.2535217391</v>
      </c>
      <c r="J27" s="280">
        <f t="shared" si="0"/>
        <v>5046.1460696212825</v>
      </c>
      <c r="K27" s="288">
        <v>0.35</v>
      </c>
      <c r="L27" s="285">
        <v>710000</v>
      </c>
      <c r="M27" s="341"/>
      <c r="N27" s="291">
        <v>28000</v>
      </c>
      <c r="O27" s="291">
        <v>0</v>
      </c>
      <c r="P27" s="366">
        <f t="shared" si="5"/>
        <v>28000</v>
      </c>
      <c r="Q27" s="291">
        <v>0</v>
      </c>
      <c r="R27" s="345"/>
      <c r="S27" s="291">
        <v>0</v>
      </c>
      <c r="T27" s="345"/>
      <c r="U27" s="291" t="s">
        <v>1056</v>
      </c>
      <c r="V27" s="372"/>
      <c r="W27" s="291" t="s">
        <v>1056</v>
      </c>
      <c r="X27" s="372"/>
      <c r="Y27" s="285">
        <f t="shared" si="1"/>
        <v>0</v>
      </c>
      <c r="Z27" s="291">
        <v>0</v>
      </c>
      <c r="AA27" s="291">
        <v>22000</v>
      </c>
      <c r="AB27" s="291" t="s">
        <v>1056</v>
      </c>
      <c r="AC27" s="291" t="s">
        <v>1056</v>
      </c>
      <c r="AD27" s="345"/>
      <c r="AE27" s="285">
        <f t="shared" si="2"/>
        <v>22000</v>
      </c>
      <c r="AF27" s="287">
        <v>0</v>
      </c>
    </row>
    <row r="28" spans="1:32" s="283" customFormat="1">
      <c r="A28" s="284" t="s">
        <v>1055</v>
      </c>
      <c r="B28" s="1" t="s">
        <v>15</v>
      </c>
      <c r="C28" s="283" t="s">
        <v>6</v>
      </c>
      <c r="D28" s="283" t="s">
        <v>1056</v>
      </c>
      <c r="E28" s="283" t="s">
        <v>1057</v>
      </c>
      <c r="F28" s="1" t="s">
        <v>2</v>
      </c>
      <c r="G28" s="1" t="s">
        <v>51</v>
      </c>
      <c r="H28" s="285">
        <v>0</v>
      </c>
      <c r="I28" s="285">
        <f>I27</f>
        <v>156587.2535217391</v>
      </c>
      <c r="J28" s="280">
        <f t="shared" si="0"/>
        <v>5046.1460696212825</v>
      </c>
      <c r="K28" s="288">
        <v>0.99</v>
      </c>
      <c r="L28" s="285">
        <f t="shared" ref="L28:S31" si="13">L27</f>
        <v>710000</v>
      </c>
      <c r="M28" s="341"/>
      <c r="N28" s="291">
        <f t="shared" ref="N28:O31" si="14">N27</f>
        <v>28000</v>
      </c>
      <c r="O28" s="291">
        <f t="shared" si="14"/>
        <v>0</v>
      </c>
      <c r="P28" s="366">
        <f t="shared" si="5"/>
        <v>28000</v>
      </c>
      <c r="Q28" s="291">
        <f t="shared" si="13"/>
        <v>0</v>
      </c>
      <c r="R28" s="345"/>
      <c r="S28" s="291">
        <f t="shared" si="13"/>
        <v>0</v>
      </c>
      <c r="T28" s="345"/>
      <c r="U28" s="291">
        <v>130</v>
      </c>
      <c r="V28" s="372"/>
      <c r="W28" s="291" t="s">
        <v>1056</v>
      </c>
      <c r="X28" s="372"/>
      <c r="Y28" s="285">
        <f t="shared" si="1"/>
        <v>130</v>
      </c>
      <c r="Z28" s="291">
        <f t="shared" ref="Z28:AA31" si="15">Z27</f>
        <v>0</v>
      </c>
      <c r="AA28" s="291">
        <f t="shared" si="15"/>
        <v>22000</v>
      </c>
      <c r="AB28" s="291">
        <v>9500</v>
      </c>
      <c r="AC28" s="291" t="s">
        <v>1056</v>
      </c>
      <c r="AD28" s="345"/>
      <c r="AE28" s="285">
        <f t="shared" si="2"/>
        <v>31500</v>
      </c>
      <c r="AF28" s="287">
        <v>0</v>
      </c>
    </row>
    <row r="29" spans="1:32" s="283" customFormat="1">
      <c r="A29" s="284" t="s">
        <v>1055</v>
      </c>
      <c r="B29" s="1" t="s">
        <v>15</v>
      </c>
      <c r="C29" s="283" t="s">
        <v>6</v>
      </c>
      <c r="D29" s="283" t="s">
        <v>1056</v>
      </c>
      <c r="E29" s="283" t="s">
        <v>1057</v>
      </c>
      <c r="F29" s="1" t="s">
        <v>2</v>
      </c>
      <c r="G29" s="1" t="s">
        <v>1062</v>
      </c>
      <c r="H29" s="285">
        <v>0</v>
      </c>
      <c r="I29" s="285">
        <f>I28</f>
        <v>156587.2535217391</v>
      </c>
      <c r="J29" s="280">
        <f t="shared" si="0"/>
        <v>5046.1460696212825</v>
      </c>
      <c r="K29" s="288">
        <v>0.99</v>
      </c>
      <c r="L29" s="285">
        <f t="shared" si="13"/>
        <v>710000</v>
      </c>
      <c r="M29" s="341"/>
      <c r="N29" s="291">
        <f t="shared" si="14"/>
        <v>28000</v>
      </c>
      <c r="O29" s="291">
        <f t="shared" si="14"/>
        <v>0</v>
      </c>
      <c r="P29" s="366">
        <f t="shared" si="5"/>
        <v>28000</v>
      </c>
      <c r="Q29" s="291">
        <f t="shared" si="13"/>
        <v>0</v>
      </c>
      <c r="R29" s="345"/>
      <c r="S29" s="291">
        <f t="shared" si="13"/>
        <v>0</v>
      </c>
      <c r="T29" s="345"/>
      <c r="U29" s="291">
        <f>U28</f>
        <v>130</v>
      </c>
      <c r="V29" s="372"/>
      <c r="W29" s="291" t="s">
        <v>1056</v>
      </c>
      <c r="X29" s="372"/>
      <c r="Y29" s="285">
        <f t="shared" si="1"/>
        <v>130</v>
      </c>
      <c r="Z29" s="291">
        <f t="shared" si="15"/>
        <v>0</v>
      </c>
      <c r="AA29" s="291">
        <f t="shared" si="15"/>
        <v>22000</v>
      </c>
      <c r="AB29" s="291">
        <f>AB28</f>
        <v>9500</v>
      </c>
      <c r="AC29" s="291">
        <f>5*180000</f>
        <v>900000</v>
      </c>
      <c r="AD29" s="363">
        <f>J29*1.2*5</f>
        <v>30276.876417727693</v>
      </c>
      <c r="AE29" s="285">
        <f t="shared" si="2"/>
        <v>961776.87641772768</v>
      </c>
      <c r="AF29" s="287">
        <v>0</v>
      </c>
    </row>
    <row r="30" spans="1:32" s="283" customFormat="1">
      <c r="A30" s="284" t="s">
        <v>1055</v>
      </c>
      <c r="B30" s="1" t="s">
        <v>15</v>
      </c>
      <c r="C30" s="283" t="s">
        <v>6</v>
      </c>
      <c r="D30" s="283" t="s">
        <v>1056</v>
      </c>
      <c r="E30" s="283" t="s">
        <v>1057</v>
      </c>
      <c r="F30" s="1" t="s">
        <v>2</v>
      </c>
      <c r="G30" s="1" t="s">
        <v>1063</v>
      </c>
      <c r="H30" s="285">
        <v>0</v>
      </c>
      <c r="I30" s="285">
        <f>I29</f>
        <v>156587.2535217391</v>
      </c>
      <c r="J30" s="280">
        <f t="shared" si="0"/>
        <v>5046.1460696212825</v>
      </c>
      <c r="K30" s="288">
        <v>0</v>
      </c>
      <c r="L30" s="285">
        <f t="shared" si="13"/>
        <v>710000</v>
      </c>
      <c r="M30" s="341"/>
      <c r="N30" s="291">
        <f t="shared" si="14"/>
        <v>28000</v>
      </c>
      <c r="O30" s="291">
        <f t="shared" si="14"/>
        <v>0</v>
      </c>
      <c r="P30" s="366">
        <f t="shared" si="5"/>
        <v>28000</v>
      </c>
      <c r="Q30" s="291">
        <f t="shared" si="13"/>
        <v>0</v>
      </c>
      <c r="R30" s="345"/>
      <c r="S30" s="291">
        <f t="shared" si="13"/>
        <v>0</v>
      </c>
      <c r="T30" s="345"/>
      <c r="U30" s="291" t="s">
        <v>1056</v>
      </c>
      <c r="V30" s="372"/>
      <c r="W30" s="291">
        <f>W31</f>
        <v>54000000</v>
      </c>
      <c r="X30" s="372"/>
      <c r="Y30" s="285">
        <f t="shared" si="1"/>
        <v>54000000</v>
      </c>
      <c r="Z30" s="291">
        <f t="shared" si="15"/>
        <v>0</v>
      </c>
      <c r="AA30" s="291">
        <f t="shared" si="15"/>
        <v>22000</v>
      </c>
      <c r="AB30" s="291" t="s">
        <v>1056</v>
      </c>
      <c r="AC30" s="291" t="s">
        <v>1056</v>
      </c>
      <c r="AD30" s="345"/>
      <c r="AE30" s="285">
        <f t="shared" si="2"/>
        <v>22000</v>
      </c>
      <c r="AF30" s="287">
        <v>0</v>
      </c>
    </row>
    <row r="31" spans="1:32" s="283" customFormat="1">
      <c r="A31" s="284" t="s">
        <v>1055</v>
      </c>
      <c r="B31" s="1" t="s">
        <v>15</v>
      </c>
      <c r="C31" s="283" t="s">
        <v>6</v>
      </c>
      <c r="D31" s="283" t="s">
        <v>1056</v>
      </c>
      <c r="E31" s="283" t="s">
        <v>1057</v>
      </c>
      <c r="F31" s="1" t="s">
        <v>2</v>
      </c>
      <c r="G31" s="1" t="s">
        <v>1064</v>
      </c>
      <c r="H31" s="285">
        <v>0</v>
      </c>
      <c r="I31" s="285">
        <f>I30</f>
        <v>156587.2535217391</v>
      </c>
      <c r="J31" s="280">
        <f t="shared" si="0"/>
        <v>5046.1460696212825</v>
      </c>
      <c r="K31" s="288">
        <v>0</v>
      </c>
      <c r="L31" s="285">
        <f t="shared" si="13"/>
        <v>710000</v>
      </c>
      <c r="M31" s="341"/>
      <c r="N31" s="291">
        <f t="shared" si="14"/>
        <v>28000</v>
      </c>
      <c r="O31" s="291">
        <f t="shared" si="14"/>
        <v>0</v>
      </c>
      <c r="P31" s="366">
        <f t="shared" si="5"/>
        <v>28000</v>
      </c>
      <c r="Q31" s="291">
        <f t="shared" si="13"/>
        <v>0</v>
      </c>
      <c r="R31" s="345"/>
      <c r="S31" s="291">
        <f t="shared" si="13"/>
        <v>0</v>
      </c>
      <c r="T31" s="345"/>
      <c r="U31" s="291" t="s">
        <v>1056</v>
      </c>
      <c r="V31" s="372"/>
      <c r="W31" s="291">
        <v>54000000</v>
      </c>
      <c r="X31" s="372"/>
      <c r="Y31" s="285">
        <f t="shared" si="1"/>
        <v>54000000</v>
      </c>
      <c r="Z31" s="291">
        <f t="shared" si="15"/>
        <v>0</v>
      </c>
      <c r="AA31" s="291">
        <f t="shared" si="15"/>
        <v>22000</v>
      </c>
      <c r="AB31" s="291" t="s">
        <v>1056</v>
      </c>
      <c r="AC31" s="291" t="s">
        <v>1056</v>
      </c>
      <c r="AD31" s="345"/>
      <c r="AE31" s="285">
        <f t="shared" si="2"/>
        <v>22000</v>
      </c>
      <c r="AF31" s="287">
        <v>0</v>
      </c>
    </row>
    <row r="32" spans="1:32" s="283" customFormat="1">
      <c r="A32" s="284" t="s">
        <v>1055</v>
      </c>
      <c r="B32" s="283" t="s">
        <v>15</v>
      </c>
      <c r="C32" s="283" t="s">
        <v>7</v>
      </c>
      <c r="D32" s="283" t="s">
        <v>1056</v>
      </c>
      <c r="E32" s="1" t="s">
        <v>1059</v>
      </c>
      <c r="F32" s="1" t="s">
        <v>2</v>
      </c>
      <c r="G32" s="1" t="s">
        <v>1061</v>
      </c>
      <c r="H32" s="285">
        <v>0</v>
      </c>
      <c r="I32" s="285">
        <v>306421.90986363631</v>
      </c>
      <c r="J32" s="280">
        <f t="shared" si="0"/>
        <v>9874.6844416015556</v>
      </c>
      <c r="K32" s="288">
        <v>0.35</v>
      </c>
      <c r="L32" s="285">
        <v>800000</v>
      </c>
      <c r="M32" s="341"/>
      <c r="N32" s="291">
        <v>32000</v>
      </c>
      <c r="O32" s="291">
        <v>0</v>
      </c>
      <c r="P32" s="366">
        <f t="shared" si="5"/>
        <v>32000</v>
      </c>
      <c r="Q32" s="291">
        <v>0</v>
      </c>
      <c r="R32" s="345"/>
      <c r="S32" s="291">
        <v>0</v>
      </c>
      <c r="T32" s="345"/>
      <c r="U32" s="291" t="s">
        <v>1056</v>
      </c>
      <c r="V32" s="372"/>
      <c r="W32" s="291" t="s">
        <v>1056</v>
      </c>
      <c r="X32" s="372"/>
      <c r="Y32" s="285">
        <f t="shared" si="1"/>
        <v>0</v>
      </c>
      <c r="Z32" s="291">
        <v>0</v>
      </c>
      <c r="AA32" s="291">
        <v>25000</v>
      </c>
      <c r="AB32" s="291" t="s">
        <v>1056</v>
      </c>
      <c r="AC32" s="291" t="s">
        <v>1056</v>
      </c>
      <c r="AD32" s="345"/>
      <c r="AE32" s="285">
        <f t="shared" si="2"/>
        <v>25000</v>
      </c>
      <c r="AF32" s="287">
        <v>0</v>
      </c>
    </row>
    <row r="33" spans="1:32" s="283" customFormat="1">
      <c r="A33" s="284" t="s">
        <v>1055</v>
      </c>
      <c r="B33" s="283" t="s">
        <v>15</v>
      </c>
      <c r="C33" s="283" t="s">
        <v>7</v>
      </c>
      <c r="D33" s="283" t="s">
        <v>1056</v>
      </c>
      <c r="E33" s="1" t="s">
        <v>1059</v>
      </c>
      <c r="F33" s="1" t="s">
        <v>2</v>
      </c>
      <c r="G33" s="1" t="s">
        <v>51</v>
      </c>
      <c r="H33" s="285">
        <v>0</v>
      </c>
      <c r="I33" s="285">
        <f>I32</f>
        <v>306421.90986363631</v>
      </c>
      <c r="J33" s="280">
        <f t="shared" si="0"/>
        <v>9874.6844416015556</v>
      </c>
      <c r="K33" s="288">
        <v>0.99</v>
      </c>
      <c r="L33" s="285">
        <f t="shared" ref="L33:S36" si="16">L32</f>
        <v>800000</v>
      </c>
      <c r="M33" s="341"/>
      <c r="N33" s="291">
        <f t="shared" ref="N33:O36" si="17">N32</f>
        <v>32000</v>
      </c>
      <c r="O33" s="291">
        <f t="shared" si="17"/>
        <v>0</v>
      </c>
      <c r="P33" s="366">
        <f t="shared" si="5"/>
        <v>32000</v>
      </c>
      <c r="Q33" s="291">
        <f t="shared" si="16"/>
        <v>0</v>
      </c>
      <c r="R33" s="345"/>
      <c r="S33" s="291">
        <f t="shared" si="16"/>
        <v>0</v>
      </c>
      <c r="T33" s="345"/>
      <c r="U33" s="291">
        <v>130</v>
      </c>
      <c r="V33" s="372"/>
      <c r="W33" s="291" t="s">
        <v>1056</v>
      </c>
      <c r="X33" s="372"/>
      <c r="Y33" s="285">
        <f t="shared" si="1"/>
        <v>130</v>
      </c>
      <c r="Z33" s="291">
        <f t="shared" ref="Z33:AA36" si="18">Z32</f>
        <v>0</v>
      </c>
      <c r="AA33" s="291">
        <f t="shared" si="18"/>
        <v>25000</v>
      </c>
      <c r="AB33" s="291">
        <v>9500</v>
      </c>
      <c r="AC33" s="291" t="s">
        <v>1056</v>
      </c>
      <c r="AD33" s="345"/>
      <c r="AE33" s="285">
        <f t="shared" si="2"/>
        <v>34500</v>
      </c>
      <c r="AF33" s="287">
        <v>0</v>
      </c>
    </row>
    <row r="34" spans="1:32" s="283" customFormat="1">
      <c r="A34" s="284" t="s">
        <v>1055</v>
      </c>
      <c r="B34" s="283" t="s">
        <v>15</v>
      </c>
      <c r="C34" s="283" t="s">
        <v>7</v>
      </c>
      <c r="D34" s="283" t="s">
        <v>1056</v>
      </c>
      <c r="E34" s="1" t="s">
        <v>1059</v>
      </c>
      <c r="F34" s="1" t="s">
        <v>2</v>
      </c>
      <c r="G34" s="1" t="s">
        <v>1062</v>
      </c>
      <c r="H34" s="285">
        <v>0</v>
      </c>
      <c r="I34" s="285">
        <f>I33</f>
        <v>306421.90986363631</v>
      </c>
      <c r="J34" s="280">
        <f t="shared" si="0"/>
        <v>9874.6844416015556</v>
      </c>
      <c r="K34" s="288">
        <v>0.99</v>
      </c>
      <c r="L34" s="285">
        <f t="shared" si="16"/>
        <v>800000</v>
      </c>
      <c r="M34" s="341"/>
      <c r="N34" s="291">
        <f t="shared" si="17"/>
        <v>32000</v>
      </c>
      <c r="O34" s="291">
        <f t="shared" si="17"/>
        <v>0</v>
      </c>
      <c r="P34" s="366">
        <f t="shared" si="5"/>
        <v>32000</v>
      </c>
      <c r="Q34" s="291">
        <f t="shared" si="16"/>
        <v>0</v>
      </c>
      <c r="R34" s="345"/>
      <c r="S34" s="291">
        <f t="shared" si="16"/>
        <v>0</v>
      </c>
      <c r="T34" s="345"/>
      <c r="U34" s="291">
        <f>U33</f>
        <v>130</v>
      </c>
      <c r="V34" s="372"/>
      <c r="W34" s="291" t="s">
        <v>1056</v>
      </c>
      <c r="X34" s="372"/>
      <c r="Y34" s="285">
        <f t="shared" si="1"/>
        <v>130</v>
      </c>
      <c r="Z34" s="291">
        <f t="shared" si="18"/>
        <v>0</v>
      </c>
      <c r="AA34" s="291">
        <f t="shared" si="18"/>
        <v>25000</v>
      </c>
      <c r="AB34" s="291">
        <f>AB33</f>
        <v>9500</v>
      </c>
      <c r="AC34" s="291">
        <f>AC29</f>
        <v>900000</v>
      </c>
      <c r="AD34" s="363">
        <f>J34*1.2*5</f>
        <v>59248.106649609334</v>
      </c>
      <c r="AE34" s="285">
        <f t="shared" si="2"/>
        <v>993748.10664960928</v>
      </c>
      <c r="AF34" s="287">
        <v>0</v>
      </c>
    </row>
    <row r="35" spans="1:32" s="283" customFormat="1">
      <c r="A35" s="284" t="s">
        <v>1055</v>
      </c>
      <c r="B35" s="283" t="s">
        <v>15</v>
      </c>
      <c r="C35" s="283" t="s">
        <v>7</v>
      </c>
      <c r="D35" s="283" t="s">
        <v>1056</v>
      </c>
      <c r="E35" s="1" t="s">
        <v>1059</v>
      </c>
      <c r="F35" s="1" t="s">
        <v>2</v>
      </c>
      <c r="G35" s="1" t="s">
        <v>1063</v>
      </c>
      <c r="H35" s="285">
        <v>0</v>
      </c>
      <c r="I35" s="285">
        <f>I34</f>
        <v>306421.90986363631</v>
      </c>
      <c r="J35" s="280">
        <f t="shared" si="0"/>
        <v>9874.6844416015556</v>
      </c>
      <c r="K35" s="288">
        <v>0</v>
      </c>
      <c r="L35" s="285">
        <f t="shared" si="16"/>
        <v>800000</v>
      </c>
      <c r="M35" s="341"/>
      <c r="N35" s="291">
        <f t="shared" si="17"/>
        <v>32000</v>
      </c>
      <c r="O35" s="291">
        <f t="shared" si="17"/>
        <v>0</v>
      </c>
      <c r="P35" s="366">
        <f t="shared" si="5"/>
        <v>32000</v>
      </c>
      <c r="Q35" s="291">
        <f t="shared" si="16"/>
        <v>0</v>
      </c>
      <c r="R35" s="345"/>
      <c r="S35" s="291">
        <f t="shared" si="16"/>
        <v>0</v>
      </c>
      <c r="T35" s="345"/>
      <c r="U35" s="291" t="s">
        <v>1056</v>
      </c>
      <c r="V35" s="372"/>
      <c r="W35" s="291">
        <f>W36</f>
        <v>54000000</v>
      </c>
      <c r="X35" s="372"/>
      <c r="Y35" s="285">
        <f t="shared" si="1"/>
        <v>54000000</v>
      </c>
      <c r="Z35" s="291">
        <f t="shared" si="18"/>
        <v>0</v>
      </c>
      <c r="AA35" s="291">
        <f t="shared" si="18"/>
        <v>25000</v>
      </c>
      <c r="AB35" s="291" t="s">
        <v>1056</v>
      </c>
      <c r="AC35" s="291" t="s">
        <v>1056</v>
      </c>
      <c r="AD35" s="345"/>
      <c r="AE35" s="285">
        <f t="shared" si="2"/>
        <v>25000</v>
      </c>
      <c r="AF35" s="287">
        <v>0</v>
      </c>
    </row>
    <row r="36" spans="1:32" s="283" customFormat="1">
      <c r="A36" s="284" t="s">
        <v>1055</v>
      </c>
      <c r="B36" s="283" t="s">
        <v>15</v>
      </c>
      <c r="C36" s="283" t="s">
        <v>7</v>
      </c>
      <c r="D36" s="283" t="s">
        <v>1056</v>
      </c>
      <c r="E36" s="1" t="s">
        <v>1059</v>
      </c>
      <c r="F36" s="1" t="s">
        <v>2</v>
      </c>
      <c r="G36" s="1" t="s">
        <v>1064</v>
      </c>
      <c r="H36" s="285">
        <v>0</v>
      </c>
      <c r="I36" s="285">
        <f>I35</f>
        <v>306421.90986363631</v>
      </c>
      <c r="J36" s="280">
        <f t="shared" si="0"/>
        <v>9874.6844416015556</v>
      </c>
      <c r="K36" s="288">
        <v>0</v>
      </c>
      <c r="L36" s="285">
        <f t="shared" si="16"/>
        <v>800000</v>
      </c>
      <c r="M36" s="341"/>
      <c r="N36" s="291">
        <f t="shared" si="17"/>
        <v>32000</v>
      </c>
      <c r="O36" s="291">
        <f t="shared" si="17"/>
        <v>0</v>
      </c>
      <c r="P36" s="366">
        <f t="shared" si="5"/>
        <v>32000</v>
      </c>
      <c r="Q36" s="291">
        <f t="shared" si="16"/>
        <v>0</v>
      </c>
      <c r="R36" s="345"/>
      <c r="S36" s="291">
        <f t="shared" si="16"/>
        <v>0</v>
      </c>
      <c r="T36" s="345"/>
      <c r="U36" s="291" t="s">
        <v>1056</v>
      </c>
      <c r="V36" s="372"/>
      <c r="W36" s="291">
        <v>54000000</v>
      </c>
      <c r="X36" s="372"/>
      <c r="Y36" s="285">
        <f t="shared" si="1"/>
        <v>54000000</v>
      </c>
      <c r="Z36" s="291">
        <f t="shared" si="18"/>
        <v>0</v>
      </c>
      <c r="AA36" s="291">
        <f t="shared" si="18"/>
        <v>25000</v>
      </c>
      <c r="AB36" s="291" t="s">
        <v>1056</v>
      </c>
      <c r="AC36" s="291" t="s">
        <v>1056</v>
      </c>
      <c r="AD36" s="345"/>
      <c r="AE36" s="285">
        <f t="shared" si="2"/>
        <v>25000</v>
      </c>
      <c r="AF36" s="287">
        <v>0</v>
      </c>
    </row>
    <row r="37" spans="1:32" s="283" customFormat="1">
      <c r="A37" s="284" t="s">
        <v>1055</v>
      </c>
      <c r="B37" s="283" t="s">
        <v>15</v>
      </c>
      <c r="C37" s="283" t="s">
        <v>8</v>
      </c>
      <c r="D37" s="283" t="s">
        <v>1056</v>
      </c>
      <c r="E37" s="1" t="s">
        <v>1060</v>
      </c>
      <c r="F37" s="1" t="s">
        <v>2</v>
      </c>
      <c r="G37" s="1" t="s">
        <v>1061</v>
      </c>
      <c r="H37" s="285">
        <v>14</v>
      </c>
      <c r="I37" s="285">
        <v>1345178.1924333333</v>
      </c>
      <c r="J37" s="280">
        <f t="shared" si="0"/>
        <v>43349.413799797883</v>
      </c>
      <c r="K37" s="288">
        <v>0.35</v>
      </c>
      <c r="L37" s="285">
        <v>1600000</v>
      </c>
      <c r="M37" s="341"/>
      <c r="N37" s="291">
        <v>64000</v>
      </c>
      <c r="O37" s="291">
        <v>0</v>
      </c>
      <c r="P37" s="366">
        <f t="shared" si="5"/>
        <v>64000</v>
      </c>
      <c r="Q37" s="291">
        <v>0</v>
      </c>
      <c r="R37" s="345"/>
      <c r="S37" s="291">
        <v>0</v>
      </c>
      <c r="T37" s="345"/>
      <c r="U37" s="291" t="s">
        <v>1056</v>
      </c>
      <c r="V37" s="372"/>
      <c r="W37" s="291" t="s">
        <v>1056</v>
      </c>
      <c r="X37" s="372"/>
      <c r="Y37" s="285">
        <f t="shared" si="1"/>
        <v>0</v>
      </c>
      <c r="Z37" s="291">
        <v>0</v>
      </c>
      <c r="AA37" s="291">
        <v>49000</v>
      </c>
      <c r="AB37" s="291" t="s">
        <v>1056</v>
      </c>
      <c r="AC37" s="291" t="s">
        <v>1056</v>
      </c>
      <c r="AD37" s="345"/>
      <c r="AE37" s="285">
        <f t="shared" si="2"/>
        <v>49000</v>
      </c>
      <c r="AF37" s="287">
        <v>0</v>
      </c>
    </row>
    <row r="38" spans="1:32" s="283" customFormat="1">
      <c r="A38" s="284" t="s">
        <v>1055</v>
      </c>
      <c r="B38" s="283" t="s">
        <v>15</v>
      </c>
      <c r="C38" s="283" t="s">
        <v>8</v>
      </c>
      <c r="D38" s="283" t="s">
        <v>1056</v>
      </c>
      <c r="E38" s="283" t="s">
        <v>1060</v>
      </c>
      <c r="F38" s="1" t="s">
        <v>2</v>
      </c>
      <c r="G38" s="1" t="s">
        <v>51</v>
      </c>
      <c r="H38" s="285">
        <v>0</v>
      </c>
      <c r="I38" s="285">
        <f>I37</f>
        <v>1345178.1924333333</v>
      </c>
      <c r="J38" s="280">
        <f t="shared" si="0"/>
        <v>43349.413799797883</v>
      </c>
      <c r="K38" s="288">
        <v>0.99</v>
      </c>
      <c r="L38" s="285">
        <f t="shared" ref="L38:S41" si="19">L37</f>
        <v>1600000</v>
      </c>
      <c r="M38" s="341"/>
      <c r="N38" s="291">
        <f t="shared" ref="N38:O41" si="20">N37</f>
        <v>64000</v>
      </c>
      <c r="O38" s="291">
        <f t="shared" si="20"/>
        <v>0</v>
      </c>
      <c r="P38" s="366">
        <f t="shared" si="5"/>
        <v>64000</v>
      </c>
      <c r="Q38" s="291">
        <f t="shared" si="19"/>
        <v>0</v>
      </c>
      <c r="R38" s="345"/>
      <c r="S38" s="291">
        <f t="shared" si="19"/>
        <v>0</v>
      </c>
      <c r="T38" s="345"/>
      <c r="U38" s="291">
        <v>200</v>
      </c>
      <c r="V38" s="372"/>
      <c r="W38" s="291" t="s">
        <v>1056</v>
      </c>
      <c r="X38" s="372"/>
      <c r="Y38" s="285">
        <f t="shared" si="1"/>
        <v>200</v>
      </c>
      <c r="Z38" s="291">
        <f t="shared" ref="Z38:AA41" si="21">Z37</f>
        <v>0</v>
      </c>
      <c r="AA38" s="291">
        <f t="shared" si="21"/>
        <v>49000</v>
      </c>
      <c r="AB38" s="291">
        <v>16000</v>
      </c>
      <c r="AC38" s="291" t="s">
        <v>1056</v>
      </c>
      <c r="AD38" s="345"/>
      <c r="AE38" s="285">
        <f t="shared" si="2"/>
        <v>65000</v>
      </c>
      <c r="AF38" s="287">
        <v>0</v>
      </c>
    </row>
    <row r="39" spans="1:32" s="283" customFormat="1">
      <c r="A39" s="284" t="s">
        <v>1055</v>
      </c>
      <c r="B39" s="283" t="s">
        <v>15</v>
      </c>
      <c r="C39" s="283" t="s">
        <v>8</v>
      </c>
      <c r="D39" s="283" t="s">
        <v>1056</v>
      </c>
      <c r="E39" s="283" t="s">
        <v>1060</v>
      </c>
      <c r="F39" s="1" t="s">
        <v>2</v>
      </c>
      <c r="G39" s="1" t="s">
        <v>1062</v>
      </c>
      <c r="H39" s="285">
        <v>0</v>
      </c>
      <c r="I39" s="285">
        <f>I38</f>
        <v>1345178.1924333333</v>
      </c>
      <c r="J39" s="280">
        <f t="shared" si="0"/>
        <v>43349.413799797883</v>
      </c>
      <c r="K39" s="288">
        <v>0.99</v>
      </c>
      <c r="L39" s="285">
        <f t="shared" si="19"/>
        <v>1600000</v>
      </c>
      <c r="M39" s="341"/>
      <c r="N39" s="291">
        <f t="shared" si="20"/>
        <v>64000</v>
      </c>
      <c r="O39" s="291">
        <f t="shared" si="20"/>
        <v>0</v>
      </c>
      <c r="P39" s="366">
        <f t="shared" si="5"/>
        <v>64000</v>
      </c>
      <c r="Q39" s="291">
        <f t="shared" si="19"/>
        <v>0</v>
      </c>
      <c r="R39" s="345"/>
      <c r="S39" s="291">
        <f t="shared" si="19"/>
        <v>0</v>
      </c>
      <c r="T39" s="345"/>
      <c r="U39" s="291">
        <f>U38</f>
        <v>200</v>
      </c>
      <c r="V39" s="372"/>
      <c r="W39" s="291" t="s">
        <v>1056</v>
      </c>
      <c r="X39" s="372"/>
      <c r="Y39" s="285">
        <f t="shared" si="1"/>
        <v>200</v>
      </c>
      <c r="Z39" s="291">
        <f t="shared" si="21"/>
        <v>0</v>
      </c>
      <c r="AA39" s="291">
        <f t="shared" si="21"/>
        <v>49000</v>
      </c>
      <c r="AB39" s="291">
        <f>AB38</f>
        <v>16000</v>
      </c>
      <c r="AC39" s="291">
        <f>AC34</f>
        <v>900000</v>
      </c>
      <c r="AD39" s="363">
        <f>J39*1.2*5</f>
        <v>260096.4827987873</v>
      </c>
      <c r="AE39" s="285">
        <f t="shared" si="2"/>
        <v>1225096.4827987873</v>
      </c>
      <c r="AF39" s="287">
        <v>0</v>
      </c>
    </row>
    <row r="40" spans="1:32" s="283" customFormat="1">
      <c r="A40" s="284" t="s">
        <v>1055</v>
      </c>
      <c r="B40" s="283" t="s">
        <v>15</v>
      </c>
      <c r="C40" s="283" t="s">
        <v>8</v>
      </c>
      <c r="D40" s="283" t="s">
        <v>1056</v>
      </c>
      <c r="E40" s="283" t="s">
        <v>1060</v>
      </c>
      <c r="F40" s="1" t="s">
        <v>2</v>
      </c>
      <c r="G40" s="1" t="s">
        <v>1063</v>
      </c>
      <c r="H40" s="285">
        <v>0</v>
      </c>
      <c r="I40" s="285">
        <f>I39</f>
        <v>1345178.1924333333</v>
      </c>
      <c r="J40" s="280">
        <f t="shared" si="0"/>
        <v>43349.413799797883</v>
      </c>
      <c r="K40" s="288">
        <v>0</v>
      </c>
      <c r="L40" s="285">
        <f t="shared" si="19"/>
        <v>1600000</v>
      </c>
      <c r="M40" s="341"/>
      <c r="N40" s="291">
        <f t="shared" si="20"/>
        <v>64000</v>
      </c>
      <c r="O40" s="291">
        <f t="shared" si="20"/>
        <v>0</v>
      </c>
      <c r="P40" s="366">
        <f t="shared" si="5"/>
        <v>64000</v>
      </c>
      <c r="Q40" s="291">
        <f t="shared" si="19"/>
        <v>0</v>
      </c>
      <c r="R40" s="345"/>
      <c r="S40" s="291">
        <f t="shared" si="19"/>
        <v>0</v>
      </c>
      <c r="T40" s="345"/>
      <c r="U40" s="291" t="s">
        <v>1056</v>
      </c>
      <c r="V40" s="372"/>
      <c r="W40" s="291">
        <f>W41</f>
        <v>54000000</v>
      </c>
      <c r="X40" s="372"/>
      <c r="Y40" s="285">
        <f t="shared" si="1"/>
        <v>54000000</v>
      </c>
      <c r="Z40" s="291">
        <f t="shared" si="21"/>
        <v>0</v>
      </c>
      <c r="AA40" s="291">
        <f t="shared" si="21"/>
        <v>49000</v>
      </c>
      <c r="AB40" s="291" t="s">
        <v>1056</v>
      </c>
      <c r="AC40" s="291" t="s">
        <v>1056</v>
      </c>
      <c r="AD40" s="345"/>
      <c r="AE40" s="285">
        <f t="shared" si="2"/>
        <v>49000</v>
      </c>
      <c r="AF40" s="287">
        <v>0</v>
      </c>
    </row>
    <row r="41" spans="1:32" s="283" customFormat="1">
      <c r="A41" s="284" t="s">
        <v>1055</v>
      </c>
      <c r="B41" s="283" t="s">
        <v>15</v>
      </c>
      <c r="C41" s="283" t="s">
        <v>8</v>
      </c>
      <c r="D41" s="283" t="s">
        <v>1056</v>
      </c>
      <c r="E41" s="283" t="s">
        <v>1060</v>
      </c>
      <c r="F41" s="1" t="s">
        <v>2</v>
      </c>
      <c r="G41" s="1" t="s">
        <v>1064</v>
      </c>
      <c r="H41" s="285">
        <v>0</v>
      </c>
      <c r="I41" s="285">
        <f>I40</f>
        <v>1345178.1924333333</v>
      </c>
      <c r="J41" s="280">
        <f t="shared" si="0"/>
        <v>43349.413799797883</v>
      </c>
      <c r="K41" s="288">
        <v>0</v>
      </c>
      <c r="L41" s="285">
        <f t="shared" si="19"/>
        <v>1600000</v>
      </c>
      <c r="M41" s="341"/>
      <c r="N41" s="291">
        <f t="shared" si="20"/>
        <v>64000</v>
      </c>
      <c r="O41" s="291">
        <f t="shared" si="20"/>
        <v>0</v>
      </c>
      <c r="P41" s="366">
        <f t="shared" si="5"/>
        <v>64000</v>
      </c>
      <c r="Q41" s="291">
        <f t="shared" si="19"/>
        <v>0</v>
      </c>
      <c r="R41" s="345"/>
      <c r="S41" s="291">
        <f t="shared" si="19"/>
        <v>0</v>
      </c>
      <c r="T41" s="345"/>
      <c r="U41" s="291" t="s">
        <v>1056</v>
      </c>
      <c r="V41" s="372"/>
      <c r="W41" s="291">
        <v>54000000</v>
      </c>
      <c r="X41" s="372"/>
      <c r="Y41" s="285">
        <f t="shared" si="1"/>
        <v>54000000</v>
      </c>
      <c r="Z41" s="291">
        <f t="shared" si="21"/>
        <v>0</v>
      </c>
      <c r="AA41" s="291">
        <f t="shared" si="21"/>
        <v>49000</v>
      </c>
      <c r="AB41" s="291" t="s">
        <v>1056</v>
      </c>
      <c r="AC41" s="291" t="s">
        <v>1056</v>
      </c>
      <c r="AD41" s="345"/>
      <c r="AE41" s="285">
        <f t="shared" si="2"/>
        <v>49000</v>
      </c>
      <c r="AF41" s="287">
        <v>0</v>
      </c>
    </row>
    <row r="42" spans="1:32" s="283" customFormat="1">
      <c r="A42" s="284" t="s">
        <v>1055</v>
      </c>
      <c r="B42" s="1" t="s">
        <v>13</v>
      </c>
      <c r="C42" s="283" t="s">
        <v>6</v>
      </c>
      <c r="D42" s="283" t="s">
        <v>1056</v>
      </c>
      <c r="E42" s="283" t="s">
        <v>1057</v>
      </c>
      <c r="F42" s="1" t="s">
        <v>3</v>
      </c>
      <c r="G42" s="1" t="s">
        <v>1061</v>
      </c>
      <c r="H42" s="285">
        <v>32</v>
      </c>
      <c r="I42" s="285">
        <v>409129.20063694264</v>
      </c>
      <c r="J42" s="280">
        <f t="shared" si="0"/>
        <v>13184.506793043574</v>
      </c>
      <c r="K42" s="288">
        <v>0.35</v>
      </c>
      <c r="L42" s="285">
        <v>730000</v>
      </c>
      <c r="M42" s="341"/>
      <c r="N42" s="291">
        <v>29000</v>
      </c>
      <c r="O42" s="291">
        <v>47000</v>
      </c>
      <c r="P42" s="366">
        <f t="shared" si="5"/>
        <v>76000</v>
      </c>
      <c r="Q42" s="291">
        <v>0</v>
      </c>
      <c r="R42" s="345"/>
      <c r="S42" s="291">
        <v>0</v>
      </c>
      <c r="T42" s="345"/>
      <c r="U42" s="291" t="s">
        <v>1056</v>
      </c>
      <c r="V42" s="372"/>
      <c r="W42" s="291" t="s">
        <v>1056</v>
      </c>
      <c r="X42" s="372"/>
      <c r="Y42" s="285">
        <f t="shared" si="1"/>
        <v>0</v>
      </c>
      <c r="Z42" s="291">
        <v>0</v>
      </c>
      <c r="AA42" s="291">
        <v>23000</v>
      </c>
      <c r="AB42" s="291" t="s">
        <v>1056</v>
      </c>
      <c r="AC42" s="291" t="s">
        <v>1056</v>
      </c>
      <c r="AD42" s="345"/>
      <c r="AE42" s="285">
        <f t="shared" si="2"/>
        <v>23000</v>
      </c>
      <c r="AF42" s="287">
        <v>0</v>
      </c>
    </row>
    <row r="43" spans="1:32" s="283" customFormat="1">
      <c r="A43" s="284" t="s">
        <v>1055</v>
      </c>
      <c r="B43" s="1" t="s">
        <v>13</v>
      </c>
      <c r="C43" s="283" t="s">
        <v>6</v>
      </c>
      <c r="D43" s="283" t="s">
        <v>1056</v>
      </c>
      <c r="E43" s="283" t="s">
        <v>1057</v>
      </c>
      <c r="F43" s="1" t="s">
        <v>3</v>
      </c>
      <c r="G43" s="1" t="s">
        <v>51</v>
      </c>
      <c r="H43" s="285">
        <v>0</v>
      </c>
      <c r="I43" s="285">
        <f>I42</f>
        <v>409129.20063694264</v>
      </c>
      <c r="J43" s="280">
        <f t="shared" si="0"/>
        <v>13184.506793043574</v>
      </c>
      <c r="K43" s="288">
        <v>0.99</v>
      </c>
      <c r="L43" s="285">
        <f t="shared" ref="L43:S46" si="22">L42</f>
        <v>730000</v>
      </c>
      <c r="M43" s="341"/>
      <c r="N43" s="291">
        <f t="shared" ref="N43:O46" si="23">N42</f>
        <v>29000</v>
      </c>
      <c r="O43" s="291">
        <f t="shared" si="23"/>
        <v>47000</v>
      </c>
      <c r="P43" s="366">
        <f t="shared" si="5"/>
        <v>76000</v>
      </c>
      <c r="Q43" s="291">
        <f t="shared" si="22"/>
        <v>0</v>
      </c>
      <c r="R43" s="345"/>
      <c r="S43" s="291">
        <f t="shared" si="22"/>
        <v>0</v>
      </c>
      <c r="T43" s="345"/>
      <c r="U43" s="291">
        <v>130</v>
      </c>
      <c r="V43" s="372"/>
      <c r="W43" s="291" t="s">
        <v>1056</v>
      </c>
      <c r="X43" s="372"/>
      <c r="Y43" s="285">
        <f t="shared" si="1"/>
        <v>130</v>
      </c>
      <c r="Z43" s="291">
        <f t="shared" ref="Z43:AA46" si="24">Z42</f>
        <v>0</v>
      </c>
      <c r="AA43" s="291">
        <f t="shared" si="24"/>
        <v>23000</v>
      </c>
      <c r="AB43" s="291">
        <v>9500</v>
      </c>
      <c r="AC43" s="291" t="s">
        <v>1056</v>
      </c>
      <c r="AD43" s="345"/>
      <c r="AE43" s="285">
        <f t="shared" si="2"/>
        <v>32500</v>
      </c>
      <c r="AF43" s="287">
        <v>0</v>
      </c>
    </row>
    <row r="44" spans="1:32" s="283" customFormat="1">
      <c r="A44" s="284" t="s">
        <v>1055</v>
      </c>
      <c r="B44" s="1" t="s">
        <v>13</v>
      </c>
      <c r="C44" s="283" t="s">
        <v>6</v>
      </c>
      <c r="D44" s="283" t="s">
        <v>1056</v>
      </c>
      <c r="E44" s="283" t="s">
        <v>1057</v>
      </c>
      <c r="F44" s="1" t="s">
        <v>3</v>
      </c>
      <c r="G44" s="1" t="s">
        <v>1062</v>
      </c>
      <c r="H44" s="285">
        <v>0</v>
      </c>
      <c r="I44" s="285">
        <f>I43</f>
        <v>409129.20063694264</v>
      </c>
      <c r="J44" s="280">
        <f t="shared" si="0"/>
        <v>13184.506793043574</v>
      </c>
      <c r="K44" s="288">
        <v>0.99</v>
      </c>
      <c r="L44" s="285">
        <f t="shared" si="22"/>
        <v>730000</v>
      </c>
      <c r="M44" s="341"/>
      <c r="N44" s="291">
        <f t="shared" si="23"/>
        <v>29000</v>
      </c>
      <c r="O44" s="291">
        <f t="shared" si="23"/>
        <v>47000</v>
      </c>
      <c r="P44" s="366">
        <f t="shared" si="5"/>
        <v>76000</v>
      </c>
      <c r="Q44" s="291">
        <f t="shared" si="22"/>
        <v>0</v>
      </c>
      <c r="R44" s="345"/>
      <c r="S44" s="291">
        <f t="shared" si="22"/>
        <v>0</v>
      </c>
      <c r="T44" s="345"/>
      <c r="U44" s="291">
        <f>U43</f>
        <v>130</v>
      </c>
      <c r="V44" s="372"/>
      <c r="W44" s="291" t="s">
        <v>1056</v>
      </c>
      <c r="X44" s="372"/>
      <c r="Y44" s="285">
        <f t="shared" ref="Y44:Y75" si="25">SUM(Q44:W44)</f>
        <v>130</v>
      </c>
      <c r="Z44" s="291">
        <f t="shared" si="24"/>
        <v>0</v>
      </c>
      <c r="AA44" s="291">
        <f t="shared" si="24"/>
        <v>23000</v>
      </c>
      <c r="AB44" s="291">
        <f>AB43</f>
        <v>9500</v>
      </c>
      <c r="AC44" s="291">
        <f>AC39</f>
        <v>900000</v>
      </c>
      <c r="AD44" s="363">
        <f>J44*1.2*5</f>
        <v>79107.040758261443</v>
      </c>
      <c r="AE44" s="285">
        <f t="shared" ref="AE44:AE75" si="26">SUM(Z44:AD44)</f>
        <v>1011607.0407582615</v>
      </c>
      <c r="AF44" s="287">
        <v>0</v>
      </c>
    </row>
    <row r="45" spans="1:32" s="283" customFormat="1">
      <c r="A45" s="284" t="s">
        <v>1055</v>
      </c>
      <c r="B45" s="1" t="s">
        <v>13</v>
      </c>
      <c r="C45" s="283" t="s">
        <v>6</v>
      </c>
      <c r="D45" s="283" t="s">
        <v>1056</v>
      </c>
      <c r="E45" s="283" t="s">
        <v>1057</v>
      </c>
      <c r="F45" s="1" t="s">
        <v>3</v>
      </c>
      <c r="G45" s="1" t="s">
        <v>1063</v>
      </c>
      <c r="H45" s="285">
        <v>0</v>
      </c>
      <c r="I45" s="285">
        <f>I44</f>
        <v>409129.20063694264</v>
      </c>
      <c r="J45" s="280">
        <f t="shared" si="0"/>
        <v>13184.506793043574</v>
      </c>
      <c r="K45" s="288">
        <v>0</v>
      </c>
      <c r="L45" s="285">
        <f t="shared" si="22"/>
        <v>730000</v>
      </c>
      <c r="M45" s="341"/>
      <c r="N45" s="291">
        <f t="shared" si="23"/>
        <v>29000</v>
      </c>
      <c r="O45" s="291">
        <f t="shared" si="23"/>
        <v>47000</v>
      </c>
      <c r="P45" s="366">
        <f t="shared" si="5"/>
        <v>76000</v>
      </c>
      <c r="Q45" s="291">
        <f t="shared" si="22"/>
        <v>0</v>
      </c>
      <c r="R45" s="345"/>
      <c r="S45" s="291">
        <f t="shared" si="22"/>
        <v>0</v>
      </c>
      <c r="T45" s="345"/>
      <c r="U45" s="291" t="s">
        <v>1056</v>
      </c>
      <c r="V45" s="372"/>
      <c r="W45" s="291">
        <f>W46</f>
        <v>54000000</v>
      </c>
      <c r="X45" s="372"/>
      <c r="Y45" s="285">
        <f t="shared" si="25"/>
        <v>54000000</v>
      </c>
      <c r="Z45" s="291">
        <f t="shared" si="24"/>
        <v>0</v>
      </c>
      <c r="AA45" s="291">
        <f t="shared" si="24"/>
        <v>23000</v>
      </c>
      <c r="AB45" s="291" t="s">
        <v>1056</v>
      </c>
      <c r="AC45" s="291" t="s">
        <v>1056</v>
      </c>
      <c r="AD45" s="345"/>
      <c r="AE45" s="285">
        <f t="shared" si="26"/>
        <v>23000</v>
      </c>
      <c r="AF45" s="287">
        <v>0</v>
      </c>
    </row>
    <row r="46" spans="1:32" s="283" customFormat="1">
      <c r="A46" s="284" t="s">
        <v>1055</v>
      </c>
      <c r="B46" s="1" t="s">
        <v>13</v>
      </c>
      <c r="C46" s="283" t="s">
        <v>6</v>
      </c>
      <c r="D46" s="283" t="s">
        <v>1056</v>
      </c>
      <c r="E46" s="283" t="s">
        <v>1057</v>
      </c>
      <c r="F46" s="1" t="s">
        <v>3</v>
      </c>
      <c r="G46" s="1" t="s">
        <v>1064</v>
      </c>
      <c r="H46" s="285">
        <v>0</v>
      </c>
      <c r="I46" s="285">
        <f>I45</f>
        <v>409129.20063694264</v>
      </c>
      <c r="J46" s="280">
        <f t="shared" si="0"/>
        <v>13184.506793043574</v>
      </c>
      <c r="K46" s="288">
        <v>0</v>
      </c>
      <c r="L46" s="285">
        <f t="shared" si="22"/>
        <v>730000</v>
      </c>
      <c r="M46" s="341"/>
      <c r="N46" s="291">
        <f t="shared" si="23"/>
        <v>29000</v>
      </c>
      <c r="O46" s="291">
        <f t="shared" si="23"/>
        <v>47000</v>
      </c>
      <c r="P46" s="366">
        <f t="shared" si="5"/>
        <v>76000</v>
      </c>
      <c r="Q46" s="291">
        <f t="shared" si="22"/>
        <v>0</v>
      </c>
      <c r="R46" s="345"/>
      <c r="S46" s="291">
        <f t="shared" si="22"/>
        <v>0</v>
      </c>
      <c r="T46" s="345"/>
      <c r="U46" s="291" t="s">
        <v>1056</v>
      </c>
      <c r="V46" s="372"/>
      <c r="W46" s="291">
        <v>54000000</v>
      </c>
      <c r="X46" s="372"/>
      <c r="Y46" s="285">
        <f t="shared" si="25"/>
        <v>54000000</v>
      </c>
      <c r="Z46" s="291">
        <f t="shared" si="24"/>
        <v>0</v>
      </c>
      <c r="AA46" s="291">
        <f t="shared" si="24"/>
        <v>23000</v>
      </c>
      <c r="AB46" s="291" t="s">
        <v>1056</v>
      </c>
      <c r="AC46" s="291" t="s">
        <v>1056</v>
      </c>
      <c r="AD46" s="345"/>
      <c r="AE46" s="285">
        <f t="shared" si="26"/>
        <v>23000</v>
      </c>
      <c r="AF46" s="287">
        <v>0</v>
      </c>
    </row>
    <row r="47" spans="1:32">
      <c r="A47" s="284" t="s">
        <v>1055</v>
      </c>
      <c r="B47" s="283" t="s">
        <v>13</v>
      </c>
      <c r="C47" s="283" t="s">
        <v>7</v>
      </c>
      <c r="D47" s="283" t="s">
        <v>1056</v>
      </c>
      <c r="E47" s="1" t="s">
        <v>1059</v>
      </c>
      <c r="F47" s="1" t="s">
        <v>3</v>
      </c>
      <c r="G47" s="1" t="s">
        <v>1061</v>
      </c>
      <c r="H47" s="285">
        <v>19</v>
      </c>
      <c r="I47" s="285">
        <v>795458.63157894742</v>
      </c>
      <c r="J47" s="280">
        <f t="shared" si="0"/>
        <v>25634.273269446952</v>
      </c>
      <c r="K47" s="288">
        <v>0.35</v>
      </c>
      <c r="L47" s="285">
        <v>1100000</v>
      </c>
      <c r="M47" s="341"/>
      <c r="N47" s="291">
        <v>45000</v>
      </c>
      <c r="O47" s="291">
        <v>71000</v>
      </c>
      <c r="P47" s="366">
        <f t="shared" si="5"/>
        <v>116000</v>
      </c>
      <c r="Q47" s="291">
        <v>0</v>
      </c>
      <c r="R47" s="345"/>
      <c r="S47" s="291">
        <v>0</v>
      </c>
      <c r="T47" s="345"/>
      <c r="U47" s="291" t="s">
        <v>1056</v>
      </c>
      <c r="V47" s="372"/>
      <c r="W47" s="291" t="s">
        <v>1056</v>
      </c>
      <c r="X47" s="372"/>
      <c r="Y47" s="285">
        <f t="shared" si="25"/>
        <v>0</v>
      </c>
      <c r="Z47" s="291">
        <v>0</v>
      </c>
      <c r="AA47" s="291">
        <v>35000</v>
      </c>
      <c r="AB47" s="291" t="s">
        <v>1056</v>
      </c>
      <c r="AC47" s="291" t="s">
        <v>1056</v>
      </c>
      <c r="AD47" s="345"/>
      <c r="AE47" s="285">
        <f t="shared" si="26"/>
        <v>35000</v>
      </c>
      <c r="AF47" s="287">
        <v>0</v>
      </c>
    </row>
    <row r="48" spans="1:32">
      <c r="A48" s="284" t="s">
        <v>1055</v>
      </c>
      <c r="B48" s="283" t="s">
        <v>13</v>
      </c>
      <c r="C48" s="283" t="s">
        <v>7</v>
      </c>
      <c r="D48" s="283" t="s">
        <v>1056</v>
      </c>
      <c r="E48" s="1" t="s">
        <v>1059</v>
      </c>
      <c r="F48" s="1" t="s">
        <v>3</v>
      </c>
      <c r="G48" s="1" t="s">
        <v>51</v>
      </c>
      <c r="H48" s="285">
        <v>0</v>
      </c>
      <c r="I48" s="285">
        <f>I47</f>
        <v>795458.63157894742</v>
      </c>
      <c r="J48" s="280">
        <f t="shared" si="0"/>
        <v>25634.273269446952</v>
      </c>
      <c r="K48" s="288">
        <v>0.99</v>
      </c>
      <c r="L48" s="285">
        <f t="shared" ref="L48:S51" si="27">L47</f>
        <v>1100000</v>
      </c>
      <c r="M48" s="341"/>
      <c r="N48" s="291">
        <f t="shared" ref="N48:O51" si="28">N47</f>
        <v>45000</v>
      </c>
      <c r="O48" s="291">
        <f t="shared" si="28"/>
        <v>71000</v>
      </c>
      <c r="P48" s="366">
        <f t="shared" si="5"/>
        <v>116000</v>
      </c>
      <c r="Q48" s="291">
        <f t="shared" si="27"/>
        <v>0</v>
      </c>
      <c r="R48" s="345"/>
      <c r="S48" s="291">
        <f t="shared" si="27"/>
        <v>0</v>
      </c>
      <c r="T48" s="345"/>
      <c r="U48" s="291">
        <v>130</v>
      </c>
      <c r="V48" s="372"/>
      <c r="W48" s="291" t="s">
        <v>1056</v>
      </c>
      <c r="X48" s="372"/>
      <c r="Y48" s="285">
        <f t="shared" si="25"/>
        <v>130</v>
      </c>
      <c r="Z48" s="291">
        <f t="shared" ref="Z48:AA51" si="29">Z47</f>
        <v>0</v>
      </c>
      <c r="AA48" s="291">
        <f t="shared" si="29"/>
        <v>35000</v>
      </c>
      <c r="AB48" s="291">
        <v>9500</v>
      </c>
      <c r="AC48" s="291" t="s">
        <v>1056</v>
      </c>
      <c r="AD48" s="345"/>
      <c r="AE48" s="285">
        <f t="shared" si="26"/>
        <v>44500</v>
      </c>
      <c r="AF48" s="287">
        <v>0</v>
      </c>
    </row>
    <row r="49" spans="1:32">
      <c r="A49" s="284" t="s">
        <v>1055</v>
      </c>
      <c r="B49" s="283" t="s">
        <v>13</v>
      </c>
      <c r="C49" s="283" t="s">
        <v>7</v>
      </c>
      <c r="D49" s="283" t="s">
        <v>1056</v>
      </c>
      <c r="E49" s="1" t="s">
        <v>1059</v>
      </c>
      <c r="F49" s="1" t="s">
        <v>3</v>
      </c>
      <c r="G49" s="1" t="s">
        <v>1062</v>
      </c>
      <c r="H49" s="285">
        <v>0</v>
      </c>
      <c r="I49" s="285">
        <f>I48</f>
        <v>795458.63157894742</v>
      </c>
      <c r="J49" s="280">
        <f t="shared" si="0"/>
        <v>25634.273269446952</v>
      </c>
      <c r="K49" s="288">
        <v>0.99</v>
      </c>
      <c r="L49" s="285">
        <f t="shared" si="27"/>
        <v>1100000</v>
      </c>
      <c r="M49" s="341"/>
      <c r="N49" s="291">
        <f t="shared" si="28"/>
        <v>45000</v>
      </c>
      <c r="O49" s="291">
        <f t="shared" si="28"/>
        <v>71000</v>
      </c>
      <c r="P49" s="366">
        <f t="shared" si="5"/>
        <v>116000</v>
      </c>
      <c r="Q49" s="291">
        <f t="shared" si="27"/>
        <v>0</v>
      </c>
      <c r="R49" s="345"/>
      <c r="S49" s="291">
        <f t="shared" si="27"/>
        <v>0</v>
      </c>
      <c r="T49" s="345"/>
      <c r="U49" s="291">
        <f>U48</f>
        <v>130</v>
      </c>
      <c r="V49" s="372"/>
      <c r="W49" s="291" t="s">
        <v>1056</v>
      </c>
      <c r="X49" s="372"/>
      <c r="Y49" s="285">
        <f t="shared" si="25"/>
        <v>130</v>
      </c>
      <c r="Z49" s="291">
        <f t="shared" si="29"/>
        <v>0</v>
      </c>
      <c r="AA49" s="291">
        <f t="shared" si="29"/>
        <v>35000</v>
      </c>
      <c r="AB49" s="291">
        <f>AB48</f>
        <v>9500</v>
      </c>
      <c r="AC49" s="291">
        <f>AC44</f>
        <v>900000</v>
      </c>
      <c r="AD49" s="363">
        <f>J49*1.2*5</f>
        <v>153805.6396166817</v>
      </c>
      <c r="AE49" s="285">
        <f t="shared" si="26"/>
        <v>1098305.6396166817</v>
      </c>
      <c r="AF49" s="287">
        <v>0</v>
      </c>
    </row>
    <row r="50" spans="1:32">
      <c r="A50" s="284" t="s">
        <v>1055</v>
      </c>
      <c r="B50" s="283" t="s">
        <v>13</v>
      </c>
      <c r="C50" s="283" t="s">
        <v>7</v>
      </c>
      <c r="D50" s="283" t="s">
        <v>1056</v>
      </c>
      <c r="E50" s="1" t="s">
        <v>1059</v>
      </c>
      <c r="F50" s="1" t="s">
        <v>3</v>
      </c>
      <c r="G50" s="1" t="s">
        <v>1063</v>
      </c>
      <c r="H50" s="285">
        <v>0</v>
      </c>
      <c r="I50" s="285">
        <f>I49</f>
        <v>795458.63157894742</v>
      </c>
      <c r="J50" s="280">
        <f t="shared" si="0"/>
        <v>25634.273269446952</v>
      </c>
      <c r="K50" s="288">
        <v>0</v>
      </c>
      <c r="L50" s="285">
        <f t="shared" si="27"/>
        <v>1100000</v>
      </c>
      <c r="M50" s="341"/>
      <c r="N50" s="291">
        <f t="shared" si="28"/>
        <v>45000</v>
      </c>
      <c r="O50" s="291">
        <f t="shared" si="28"/>
        <v>71000</v>
      </c>
      <c r="P50" s="366">
        <f t="shared" si="5"/>
        <v>116000</v>
      </c>
      <c r="Q50" s="291">
        <f t="shared" si="27"/>
        <v>0</v>
      </c>
      <c r="R50" s="345"/>
      <c r="S50" s="291">
        <f t="shared" si="27"/>
        <v>0</v>
      </c>
      <c r="T50" s="345"/>
      <c r="U50" s="291" t="s">
        <v>1056</v>
      </c>
      <c r="V50" s="372"/>
      <c r="W50" s="291">
        <f>W51</f>
        <v>54000000</v>
      </c>
      <c r="X50" s="372"/>
      <c r="Y50" s="285">
        <f t="shared" si="25"/>
        <v>54000000</v>
      </c>
      <c r="Z50" s="291">
        <f t="shared" si="29"/>
        <v>0</v>
      </c>
      <c r="AA50" s="291">
        <f t="shared" si="29"/>
        <v>35000</v>
      </c>
      <c r="AB50" s="291" t="s">
        <v>1056</v>
      </c>
      <c r="AC50" s="291" t="s">
        <v>1056</v>
      </c>
      <c r="AD50" s="345"/>
      <c r="AE50" s="285">
        <f t="shared" si="26"/>
        <v>35000</v>
      </c>
      <c r="AF50" s="287">
        <v>0</v>
      </c>
    </row>
    <row r="51" spans="1:32">
      <c r="A51" s="284" t="s">
        <v>1055</v>
      </c>
      <c r="B51" s="283" t="s">
        <v>13</v>
      </c>
      <c r="C51" s="283" t="s">
        <v>7</v>
      </c>
      <c r="D51" s="283" t="s">
        <v>1056</v>
      </c>
      <c r="E51" s="1" t="s">
        <v>1059</v>
      </c>
      <c r="F51" s="1" t="s">
        <v>3</v>
      </c>
      <c r="G51" s="1" t="s">
        <v>1064</v>
      </c>
      <c r="H51" s="285">
        <v>0</v>
      </c>
      <c r="I51" s="285">
        <f>I50</f>
        <v>795458.63157894742</v>
      </c>
      <c r="J51" s="280">
        <f t="shared" si="0"/>
        <v>25634.273269446952</v>
      </c>
      <c r="K51" s="288">
        <v>0</v>
      </c>
      <c r="L51" s="285">
        <f t="shared" si="27"/>
        <v>1100000</v>
      </c>
      <c r="M51" s="341"/>
      <c r="N51" s="291">
        <f t="shared" si="28"/>
        <v>45000</v>
      </c>
      <c r="O51" s="291">
        <f t="shared" si="28"/>
        <v>71000</v>
      </c>
      <c r="P51" s="366">
        <f t="shared" si="5"/>
        <v>116000</v>
      </c>
      <c r="Q51" s="291">
        <f t="shared" si="27"/>
        <v>0</v>
      </c>
      <c r="R51" s="345"/>
      <c r="S51" s="291">
        <f t="shared" si="27"/>
        <v>0</v>
      </c>
      <c r="T51" s="345"/>
      <c r="U51" s="291" t="s">
        <v>1056</v>
      </c>
      <c r="V51" s="372"/>
      <c r="W51" s="291">
        <v>54000000</v>
      </c>
      <c r="X51" s="372"/>
      <c r="Y51" s="285">
        <f t="shared" si="25"/>
        <v>54000000</v>
      </c>
      <c r="Z51" s="291">
        <f t="shared" si="29"/>
        <v>0</v>
      </c>
      <c r="AA51" s="291">
        <f t="shared" si="29"/>
        <v>35000</v>
      </c>
      <c r="AB51" s="291" t="s">
        <v>1056</v>
      </c>
      <c r="AC51" s="291" t="s">
        <v>1056</v>
      </c>
      <c r="AD51" s="345"/>
      <c r="AE51" s="285">
        <f t="shared" si="26"/>
        <v>35000</v>
      </c>
      <c r="AF51" s="287">
        <v>0</v>
      </c>
    </row>
    <row r="52" spans="1:32">
      <c r="A52" s="284" t="s">
        <v>1055</v>
      </c>
      <c r="B52" s="283" t="s">
        <v>13</v>
      </c>
      <c r="C52" s="283" t="s">
        <v>8</v>
      </c>
      <c r="D52" s="283" t="s">
        <v>1056</v>
      </c>
      <c r="E52" s="1" t="s">
        <v>1060</v>
      </c>
      <c r="F52" s="1" t="s">
        <v>3</v>
      </c>
      <c r="G52" s="1" t="s">
        <v>1061</v>
      </c>
      <c r="H52" s="285">
        <v>20</v>
      </c>
      <c r="I52" s="285">
        <v>2255984.782051282</v>
      </c>
      <c r="J52" s="280">
        <f t="shared" si="0"/>
        <v>72700.864757763004</v>
      </c>
      <c r="K52" s="288">
        <v>0.35</v>
      </c>
      <c r="L52" s="285">
        <v>2600000</v>
      </c>
      <c r="M52" s="341"/>
      <c r="N52" s="291">
        <v>100000</v>
      </c>
      <c r="O52" s="291">
        <v>160000</v>
      </c>
      <c r="P52" s="366">
        <f t="shared" si="5"/>
        <v>260000</v>
      </c>
      <c r="Q52" s="291">
        <v>0</v>
      </c>
      <c r="R52" s="345"/>
      <c r="S52" s="291">
        <v>0</v>
      </c>
      <c r="T52" s="345"/>
      <c r="U52" s="291" t="s">
        <v>1056</v>
      </c>
      <c r="V52" s="372"/>
      <c r="W52" s="291" t="s">
        <v>1056</v>
      </c>
      <c r="X52" s="372"/>
      <c r="Y52" s="285">
        <f t="shared" si="25"/>
        <v>0</v>
      </c>
      <c r="Z52" s="291">
        <v>0</v>
      </c>
      <c r="AA52" s="291">
        <v>79000</v>
      </c>
      <c r="AB52" s="291" t="s">
        <v>1056</v>
      </c>
      <c r="AC52" s="291" t="s">
        <v>1056</v>
      </c>
      <c r="AD52" s="345"/>
      <c r="AE52" s="285">
        <f t="shared" si="26"/>
        <v>79000</v>
      </c>
      <c r="AF52" s="287">
        <v>0</v>
      </c>
    </row>
    <row r="53" spans="1:32">
      <c r="A53" s="284" t="s">
        <v>1055</v>
      </c>
      <c r="B53" s="283" t="s">
        <v>13</v>
      </c>
      <c r="C53" s="283" t="s">
        <v>8</v>
      </c>
      <c r="D53" s="283" t="s">
        <v>1056</v>
      </c>
      <c r="E53" s="283" t="s">
        <v>1060</v>
      </c>
      <c r="F53" s="1" t="s">
        <v>3</v>
      </c>
      <c r="G53" s="1" t="s">
        <v>51</v>
      </c>
      <c r="H53" s="285">
        <v>0</v>
      </c>
      <c r="I53" s="285">
        <f>I52</f>
        <v>2255984.782051282</v>
      </c>
      <c r="J53" s="280">
        <f t="shared" si="0"/>
        <v>72700.864757763004</v>
      </c>
      <c r="K53" s="288">
        <v>0.99</v>
      </c>
      <c r="L53" s="285">
        <f t="shared" ref="L53:S56" si="30">L52</f>
        <v>2600000</v>
      </c>
      <c r="M53" s="341"/>
      <c r="N53" s="291">
        <f t="shared" ref="N53:O56" si="31">N52</f>
        <v>100000</v>
      </c>
      <c r="O53" s="291">
        <f t="shared" si="31"/>
        <v>160000</v>
      </c>
      <c r="P53" s="366">
        <f t="shared" si="5"/>
        <v>260000</v>
      </c>
      <c r="Q53" s="291">
        <f t="shared" si="30"/>
        <v>0</v>
      </c>
      <c r="R53" s="345"/>
      <c r="S53" s="291">
        <f t="shared" si="30"/>
        <v>0</v>
      </c>
      <c r="T53" s="345"/>
      <c r="U53" s="291">
        <v>200</v>
      </c>
      <c r="V53" s="372"/>
      <c r="W53" s="291" t="s">
        <v>1056</v>
      </c>
      <c r="X53" s="372"/>
      <c r="Y53" s="285">
        <f t="shared" si="25"/>
        <v>200</v>
      </c>
      <c r="Z53" s="291">
        <f t="shared" ref="Z53:AA56" si="32">Z52</f>
        <v>0</v>
      </c>
      <c r="AA53" s="291">
        <f t="shared" si="32"/>
        <v>79000</v>
      </c>
      <c r="AB53" s="291">
        <v>16000</v>
      </c>
      <c r="AC53" s="291" t="s">
        <v>1056</v>
      </c>
      <c r="AD53" s="345"/>
      <c r="AE53" s="285">
        <f t="shared" si="26"/>
        <v>95000</v>
      </c>
      <c r="AF53" s="287">
        <v>0</v>
      </c>
    </row>
    <row r="54" spans="1:32">
      <c r="A54" s="284" t="s">
        <v>1055</v>
      </c>
      <c r="B54" s="283" t="s">
        <v>13</v>
      </c>
      <c r="C54" s="283" t="s">
        <v>8</v>
      </c>
      <c r="D54" s="283" t="s">
        <v>1056</v>
      </c>
      <c r="E54" s="283" t="s">
        <v>1060</v>
      </c>
      <c r="F54" s="1" t="s">
        <v>3</v>
      </c>
      <c r="G54" s="1" t="s">
        <v>1062</v>
      </c>
      <c r="H54" s="285">
        <v>0</v>
      </c>
      <c r="I54" s="285">
        <f>I53</f>
        <v>2255984.782051282</v>
      </c>
      <c r="J54" s="280">
        <f t="shared" si="0"/>
        <v>72700.864757763004</v>
      </c>
      <c r="K54" s="288">
        <v>0.99</v>
      </c>
      <c r="L54" s="285">
        <f t="shared" si="30"/>
        <v>2600000</v>
      </c>
      <c r="M54" s="341"/>
      <c r="N54" s="291">
        <f t="shared" si="31"/>
        <v>100000</v>
      </c>
      <c r="O54" s="291">
        <f t="shared" si="31"/>
        <v>160000</v>
      </c>
      <c r="P54" s="366">
        <f t="shared" si="5"/>
        <v>260000</v>
      </c>
      <c r="Q54" s="291">
        <f t="shared" si="30"/>
        <v>0</v>
      </c>
      <c r="R54" s="345"/>
      <c r="S54" s="291">
        <f t="shared" si="30"/>
        <v>0</v>
      </c>
      <c r="T54" s="345"/>
      <c r="U54" s="291">
        <f>U53</f>
        <v>200</v>
      </c>
      <c r="V54" s="372"/>
      <c r="W54" s="291" t="s">
        <v>1056</v>
      </c>
      <c r="X54" s="372"/>
      <c r="Y54" s="285">
        <f t="shared" si="25"/>
        <v>200</v>
      </c>
      <c r="Z54" s="291">
        <f t="shared" si="32"/>
        <v>0</v>
      </c>
      <c r="AA54" s="291">
        <f t="shared" si="32"/>
        <v>79000</v>
      </c>
      <c r="AB54" s="291">
        <f>AB53</f>
        <v>16000</v>
      </c>
      <c r="AC54" s="291">
        <f>AC49</f>
        <v>900000</v>
      </c>
      <c r="AD54" s="363">
        <f>J54*1.2*5</f>
        <v>436205.18854657799</v>
      </c>
      <c r="AE54" s="285">
        <f t="shared" si="26"/>
        <v>1431205.1885465779</v>
      </c>
      <c r="AF54" s="287">
        <v>0</v>
      </c>
    </row>
    <row r="55" spans="1:32">
      <c r="A55" s="284" t="s">
        <v>1055</v>
      </c>
      <c r="B55" s="283" t="s">
        <v>13</v>
      </c>
      <c r="C55" s="283" t="s">
        <v>8</v>
      </c>
      <c r="D55" s="283" t="s">
        <v>1056</v>
      </c>
      <c r="E55" s="283" t="s">
        <v>1060</v>
      </c>
      <c r="F55" s="1" t="s">
        <v>3</v>
      </c>
      <c r="G55" s="1" t="s">
        <v>1063</v>
      </c>
      <c r="H55" s="285">
        <v>0</v>
      </c>
      <c r="I55" s="285">
        <f>I54</f>
        <v>2255984.782051282</v>
      </c>
      <c r="J55" s="280">
        <f t="shared" si="0"/>
        <v>72700.864757763004</v>
      </c>
      <c r="K55" s="288">
        <v>0</v>
      </c>
      <c r="L55" s="285">
        <f t="shared" si="30"/>
        <v>2600000</v>
      </c>
      <c r="M55" s="341"/>
      <c r="N55" s="291">
        <f t="shared" si="31"/>
        <v>100000</v>
      </c>
      <c r="O55" s="291">
        <f t="shared" si="31"/>
        <v>160000</v>
      </c>
      <c r="P55" s="366">
        <f t="shared" si="5"/>
        <v>260000</v>
      </c>
      <c r="Q55" s="291">
        <f t="shared" si="30"/>
        <v>0</v>
      </c>
      <c r="R55" s="345"/>
      <c r="S55" s="291">
        <f t="shared" si="30"/>
        <v>0</v>
      </c>
      <c r="T55" s="345"/>
      <c r="U55" s="291" t="s">
        <v>1056</v>
      </c>
      <c r="V55" s="372"/>
      <c r="W55" s="291">
        <f>W56</f>
        <v>54000000</v>
      </c>
      <c r="X55" s="372"/>
      <c r="Y55" s="285">
        <f t="shared" si="25"/>
        <v>54000000</v>
      </c>
      <c r="Z55" s="291">
        <f t="shared" si="32"/>
        <v>0</v>
      </c>
      <c r="AA55" s="291">
        <f t="shared" si="32"/>
        <v>79000</v>
      </c>
      <c r="AB55" s="291" t="s">
        <v>1056</v>
      </c>
      <c r="AC55" s="291" t="s">
        <v>1056</v>
      </c>
      <c r="AD55" s="345"/>
      <c r="AE55" s="285">
        <f t="shared" si="26"/>
        <v>79000</v>
      </c>
      <c r="AF55" s="287">
        <v>0</v>
      </c>
    </row>
    <row r="56" spans="1:32">
      <c r="A56" s="284" t="s">
        <v>1055</v>
      </c>
      <c r="B56" s="283" t="s">
        <v>13</v>
      </c>
      <c r="C56" s="283" t="s">
        <v>8</v>
      </c>
      <c r="D56" s="283" t="s">
        <v>1056</v>
      </c>
      <c r="E56" s="283" t="s">
        <v>1060</v>
      </c>
      <c r="F56" s="1" t="s">
        <v>3</v>
      </c>
      <c r="G56" s="1" t="s">
        <v>1064</v>
      </c>
      <c r="H56" s="285">
        <v>0</v>
      </c>
      <c r="I56" s="285">
        <f>I55</f>
        <v>2255984.782051282</v>
      </c>
      <c r="J56" s="280">
        <f t="shared" si="0"/>
        <v>72700.864757763004</v>
      </c>
      <c r="K56" s="288">
        <v>0</v>
      </c>
      <c r="L56" s="285">
        <f t="shared" si="30"/>
        <v>2600000</v>
      </c>
      <c r="M56" s="341"/>
      <c r="N56" s="291">
        <f t="shared" si="31"/>
        <v>100000</v>
      </c>
      <c r="O56" s="291">
        <f t="shared" si="31"/>
        <v>160000</v>
      </c>
      <c r="P56" s="366">
        <f t="shared" si="5"/>
        <v>260000</v>
      </c>
      <c r="Q56" s="291">
        <f t="shared" si="30"/>
        <v>0</v>
      </c>
      <c r="R56" s="345"/>
      <c r="S56" s="291">
        <f t="shared" si="30"/>
        <v>0</v>
      </c>
      <c r="T56" s="345"/>
      <c r="U56" s="291" t="s">
        <v>1056</v>
      </c>
      <c r="V56" s="372"/>
      <c r="W56" s="291">
        <v>54000000</v>
      </c>
      <c r="X56" s="372"/>
      <c r="Y56" s="285">
        <f t="shared" si="25"/>
        <v>54000000</v>
      </c>
      <c r="Z56" s="291">
        <f t="shared" si="32"/>
        <v>0</v>
      </c>
      <c r="AA56" s="291">
        <f t="shared" si="32"/>
        <v>79000</v>
      </c>
      <c r="AB56" s="291" t="s">
        <v>1056</v>
      </c>
      <c r="AC56" s="291" t="s">
        <v>1056</v>
      </c>
      <c r="AD56" s="345"/>
      <c r="AE56" s="285">
        <f t="shared" si="26"/>
        <v>79000</v>
      </c>
      <c r="AF56" s="287">
        <v>0</v>
      </c>
    </row>
    <row r="57" spans="1:32">
      <c r="A57" s="284" t="s">
        <v>1055</v>
      </c>
      <c r="B57" s="1" t="s">
        <v>15</v>
      </c>
      <c r="C57" s="283" t="s">
        <v>6</v>
      </c>
      <c r="D57" s="283" t="s">
        <v>1056</v>
      </c>
      <c r="E57" s="283" t="s">
        <v>1057</v>
      </c>
      <c r="F57" s="1" t="s">
        <v>3</v>
      </c>
      <c r="G57" s="1" t="s">
        <v>1061</v>
      </c>
      <c r="H57" s="285">
        <v>1</v>
      </c>
      <c r="I57" s="285">
        <v>156587.2535217391</v>
      </c>
      <c r="J57" s="280">
        <f t="shared" si="0"/>
        <v>5046.1460696212825</v>
      </c>
      <c r="K57" s="288">
        <v>0.35</v>
      </c>
      <c r="L57" s="285">
        <v>460000</v>
      </c>
      <c r="M57" s="341"/>
      <c r="N57" s="291">
        <v>19000</v>
      </c>
      <c r="O57" s="291">
        <v>0</v>
      </c>
      <c r="P57" s="366">
        <f t="shared" si="5"/>
        <v>19000</v>
      </c>
      <c r="Q57" s="291">
        <v>0</v>
      </c>
      <c r="R57" s="345"/>
      <c r="S57" s="291">
        <v>0</v>
      </c>
      <c r="T57" s="345"/>
      <c r="U57" s="291" t="s">
        <v>1056</v>
      </c>
      <c r="V57" s="372"/>
      <c r="W57" s="291" t="s">
        <v>1056</v>
      </c>
      <c r="X57" s="372"/>
      <c r="Y57" s="285">
        <f t="shared" si="25"/>
        <v>0</v>
      </c>
      <c r="Z57" s="291">
        <v>0</v>
      </c>
      <c r="AA57" s="291">
        <v>14000</v>
      </c>
      <c r="AB57" s="291" t="s">
        <v>1056</v>
      </c>
      <c r="AC57" s="291" t="s">
        <v>1056</v>
      </c>
      <c r="AD57" s="345"/>
      <c r="AE57" s="285">
        <f t="shared" si="26"/>
        <v>14000</v>
      </c>
      <c r="AF57" s="287">
        <v>0</v>
      </c>
    </row>
    <row r="58" spans="1:32">
      <c r="A58" s="284" t="s">
        <v>1055</v>
      </c>
      <c r="B58" s="1" t="s">
        <v>15</v>
      </c>
      <c r="C58" s="283" t="s">
        <v>6</v>
      </c>
      <c r="D58" s="283" t="s">
        <v>1056</v>
      </c>
      <c r="E58" s="283" t="s">
        <v>1057</v>
      </c>
      <c r="F58" s="1" t="s">
        <v>3</v>
      </c>
      <c r="G58" s="1" t="s">
        <v>51</v>
      </c>
      <c r="H58" s="285">
        <v>0</v>
      </c>
      <c r="I58" s="285">
        <f>I57</f>
        <v>156587.2535217391</v>
      </c>
      <c r="J58" s="280">
        <f t="shared" si="0"/>
        <v>5046.1460696212825</v>
      </c>
      <c r="K58" s="288">
        <v>0.99</v>
      </c>
      <c r="L58" s="285">
        <f t="shared" ref="L58:S61" si="33">L57</f>
        <v>460000</v>
      </c>
      <c r="M58" s="341"/>
      <c r="N58" s="291">
        <f t="shared" ref="N58:O61" si="34">N57</f>
        <v>19000</v>
      </c>
      <c r="O58" s="291">
        <f t="shared" si="34"/>
        <v>0</v>
      </c>
      <c r="P58" s="366">
        <f t="shared" si="5"/>
        <v>19000</v>
      </c>
      <c r="Q58" s="291">
        <f t="shared" si="33"/>
        <v>0</v>
      </c>
      <c r="R58" s="345"/>
      <c r="S58" s="291">
        <f t="shared" si="33"/>
        <v>0</v>
      </c>
      <c r="T58" s="345"/>
      <c r="U58" s="291">
        <v>130</v>
      </c>
      <c r="V58" s="372"/>
      <c r="W58" s="291" t="s">
        <v>1056</v>
      </c>
      <c r="X58" s="372"/>
      <c r="Y58" s="285">
        <f t="shared" si="25"/>
        <v>130</v>
      </c>
      <c r="Z58" s="291">
        <f t="shared" ref="Z58:AA61" si="35">Z57</f>
        <v>0</v>
      </c>
      <c r="AA58" s="291">
        <f t="shared" si="35"/>
        <v>14000</v>
      </c>
      <c r="AB58" s="291">
        <v>9500</v>
      </c>
      <c r="AC58" s="291" t="s">
        <v>1056</v>
      </c>
      <c r="AD58" s="345"/>
      <c r="AE58" s="285">
        <f t="shared" si="26"/>
        <v>23500</v>
      </c>
      <c r="AF58" s="287">
        <v>0</v>
      </c>
    </row>
    <row r="59" spans="1:32">
      <c r="A59" s="284" t="s">
        <v>1055</v>
      </c>
      <c r="B59" s="1" t="s">
        <v>15</v>
      </c>
      <c r="C59" s="283" t="s">
        <v>6</v>
      </c>
      <c r="D59" s="283" t="s">
        <v>1056</v>
      </c>
      <c r="E59" s="283" t="s">
        <v>1057</v>
      </c>
      <c r="F59" s="1" t="s">
        <v>3</v>
      </c>
      <c r="G59" s="1" t="s">
        <v>1062</v>
      </c>
      <c r="H59" s="285">
        <v>0</v>
      </c>
      <c r="I59" s="285">
        <f>I58</f>
        <v>156587.2535217391</v>
      </c>
      <c r="J59" s="280">
        <f t="shared" si="0"/>
        <v>5046.1460696212825</v>
      </c>
      <c r="K59" s="288">
        <v>0.99</v>
      </c>
      <c r="L59" s="285">
        <f t="shared" si="33"/>
        <v>460000</v>
      </c>
      <c r="M59" s="341"/>
      <c r="N59" s="291">
        <f t="shared" si="34"/>
        <v>19000</v>
      </c>
      <c r="O59" s="291">
        <f t="shared" si="34"/>
        <v>0</v>
      </c>
      <c r="P59" s="366">
        <f t="shared" si="5"/>
        <v>19000</v>
      </c>
      <c r="Q59" s="291">
        <f t="shared" si="33"/>
        <v>0</v>
      </c>
      <c r="R59" s="345"/>
      <c r="S59" s="291">
        <f t="shared" si="33"/>
        <v>0</v>
      </c>
      <c r="T59" s="345"/>
      <c r="U59" s="291">
        <f>U58</f>
        <v>130</v>
      </c>
      <c r="V59" s="372"/>
      <c r="W59" s="291" t="s">
        <v>1056</v>
      </c>
      <c r="X59" s="372"/>
      <c r="Y59" s="285">
        <f t="shared" si="25"/>
        <v>130</v>
      </c>
      <c r="Z59" s="291">
        <f t="shared" si="35"/>
        <v>0</v>
      </c>
      <c r="AA59" s="291">
        <f t="shared" si="35"/>
        <v>14000</v>
      </c>
      <c r="AB59" s="291">
        <f>AB58</f>
        <v>9500</v>
      </c>
      <c r="AC59" s="291">
        <f>AC54</f>
        <v>900000</v>
      </c>
      <c r="AD59" s="363">
        <f>J59*1.2*5</f>
        <v>30276.876417727693</v>
      </c>
      <c r="AE59" s="285">
        <f t="shared" si="26"/>
        <v>953776.87641772768</v>
      </c>
      <c r="AF59" s="287">
        <v>0</v>
      </c>
    </row>
    <row r="60" spans="1:32">
      <c r="A60" s="284" t="s">
        <v>1055</v>
      </c>
      <c r="B60" s="1" t="s">
        <v>15</v>
      </c>
      <c r="C60" s="283" t="s">
        <v>6</v>
      </c>
      <c r="D60" s="283" t="s">
        <v>1056</v>
      </c>
      <c r="E60" s="283" t="s">
        <v>1057</v>
      </c>
      <c r="F60" s="1" t="s">
        <v>3</v>
      </c>
      <c r="G60" s="1" t="s">
        <v>1063</v>
      </c>
      <c r="H60" s="285">
        <v>0</v>
      </c>
      <c r="I60" s="285">
        <f>I59</f>
        <v>156587.2535217391</v>
      </c>
      <c r="J60" s="280">
        <f t="shared" si="0"/>
        <v>5046.1460696212825</v>
      </c>
      <c r="K60" s="288">
        <v>0</v>
      </c>
      <c r="L60" s="285">
        <f t="shared" si="33"/>
        <v>460000</v>
      </c>
      <c r="M60" s="341"/>
      <c r="N60" s="291">
        <f t="shared" si="34"/>
        <v>19000</v>
      </c>
      <c r="O60" s="291">
        <f t="shared" si="34"/>
        <v>0</v>
      </c>
      <c r="P60" s="366">
        <f t="shared" si="5"/>
        <v>19000</v>
      </c>
      <c r="Q60" s="291">
        <f t="shared" si="33"/>
        <v>0</v>
      </c>
      <c r="R60" s="345"/>
      <c r="S60" s="291">
        <f t="shared" si="33"/>
        <v>0</v>
      </c>
      <c r="T60" s="345"/>
      <c r="U60" s="291" t="s">
        <v>1056</v>
      </c>
      <c r="V60" s="372"/>
      <c r="W60" s="291">
        <f>W61</f>
        <v>54000000</v>
      </c>
      <c r="X60" s="372"/>
      <c r="Y60" s="285">
        <f t="shared" si="25"/>
        <v>54000000</v>
      </c>
      <c r="Z60" s="291">
        <f t="shared" si="35"/>
        <v>0</v>
      </c>
      <c r="AA60" s="291">
        <f t="shared" si="35"/>
        <v>14000</v>
      </c>
      <c r="AB60" s="291" t="s">
        <v>1056</v>
      </c>
      <c r="AC60" s="291" t="s">
        <v>1056</v>
      </c>
      <c r="AD60" s="345"/>
      <c r="AE60" s="285">
        <f t="shared" si="26"/>
        <v>14000</v>
      </c>
      <c r="AF60" s="287">
        <v>0</v>
      </c>
    </row>
    <row r="61" spans="1:32">
      <c r="A61" s="284" t="s">
        <v>1055</v>
      </c>
      <c r="B61" s="1" t="s">
        <v>15</v>
      </c>
      <c r="C61" s="283" t="s">
        <v>6</v>
      </c>
      <c r="D61" s="283" t="s">
        <v>1056</v>
      </c>
      <c r="E61" s="283" t="s">
        <v>1057</v>
      </c>
      <c r="F61" s="1" t="s">
        <v>3</v>
      </c>
      <c r="G61" s="1" t="s">
        <v>1064</v>
      </c>
      <c r="H61" s="285">
        <v>0</v>
      </c>
      <c r="I61" s="285">
        <f>I60</f>
        <v>156587.2535217391</v>
      </c>
      <c r="J61" s="280">
        <f t="shared" si="0"/>
        <v>5046.1460696212825</v>
      </c>
      <c r="K61" s="288">
        <v>0</v>
      </c>
      <c r="L61" s="285">
        <f t="shared" si="33"/>
        <v>460000</v>
      </c>
      <c r="M61" s="341"/>
      <c r="N61" s="291">
        <f t="shared" si="34"/>
        <v>19000</v>
      </c>
      <c r="O61" s="291">
        <f t="shared" si="34"/>
        <v>0</v>
      </c>
      <c r="P61" s="366">
        <f t="shared" si="5"/>
        <v>19000</v>
      </c>
      <c r="Q61" s="291">
        <f t="shared" si="33"/>
        <v>0</v>
      </c>
      <c r="R61" s="345"/>
      <c r="S61" s="291">
        <f t="shared" si="33"/>
        <v>0</v>
      </c>
      <c r="T61" s="345"/>
      <c r="U61" s="291" t="s">
        <v>1056</v>
      </c>
      <c r="V61" s="372"/>
      <c r="W61" s="291">
        <v>54000000</v>
      </c>
      <c r="X61" s="372"/>
      <c r="Y61" s="285">
        <f t="shared" si="25"/>
        <v>54000000</v>
      </c>
      <c r="Z61" s="291">
        <f t="shared" si="35"/>
        <v>0</v>
      </c>
      <c r="AA61" s="291">
        <f t="shared" si="35"/>
        <v>14000</v>
      </c>
      <c r="AB61" s="291" t="s">
        <v>1056</v>
      </c>
      <c r="AC61" s="291" t="s">
        <v>1056</v>
      </c>
      <c r="AD61" s="345"/>
      <c r="AE61" s="285">
        <f t="shared" si="26"/>
        <v>14000</v>
      </c>
      <c r="AF61" s="287">
        <v>0</v>
      </c>
    </row>
    <row r="62" spans="1:32">
      <c r="A62" s="284" t="s">
        <v>1055</v>
      </c>
      <c r="B62" s="283" t="s">
        <v>15</v>
      </c>
      <c r="C62" s="283" t="s">
        <v>7</v>
      </c>
      <c r="D62" s="283" t="s">
        <v>1056</v>
      </c>
      <c r="E62" s="1" t="s">
        <v>1059</v>
      </c>
      <c r="F62" s="1" t="s">
        <v>3</v>
      </c>
      <c r="G62" s="1" t="s">
        <v>1061</v>
      </c>
      <c r="H62" s="285">
        <v>0</v>
      </c>
      <c r="I62" s="285">
        <v>306421.90986363631</v>
      </c>
      <c r="J62" s="280">
        <f t="shared" si="0"/>
        <v>9874.6844416015556</v>
      </c>
      <c r="K62" s="288">
        <v>0.35</v>
      </c>
      <c r="L62" s="285">
        <v>590000</v>
      </c>
      <c r="M62" s="341"/>
      <c r="N62" s="291">
        <v>24000</v>
      </c>
      <c r="O62" s="291">
        <v>0</v>
      </c>
      <c r="P62" s="366">
        <f t="shared" si="5"/>
        <v>24000</v>
      </c>
      <c r="Q62" s="291">
        <v>0</v>
      </c>
      <c r="R62" s="345"/>
      <c r="S62" s="291">
        <v>0</v>
      </c>
      <c r="T62" s="345"/>
      <c r="U62" s="291" t="s">
        <v>1056</v>
      </c>
      <c r="V62" s="372"/>
      <c r="W62" s="291" t="s">
        <v>1056</v>
      </c>
      <c r="X62" s="372"/>
      <c r="Y62" s="285">
        <f t="shared" si="25"/>
        <v>0</v>
      </c>
      <c r="Z62" s="291">
        <v>0</v>
      </c>
      <c r="AA62" s="291">
        <v>18000</v>
      </c>
      <c r="AB62" s="291" t="s">
        <v>1056</v>
      </c>
      <c r="AC62" s="291" t="s">
        <v>1056</v>
      </c>
      <c r="AD62" s="345"/>
      <c r="AE62" s="285">
        <f t="shared" si="26"/>
        <v>18000</v>
      </c>
      <c r="AF62" s="287">
        <v>0</v>
      </c>
    </row>
    <row r="63" spans="1:32">
      <c r="A63" s="284" t="s">
        <v>1055</v>
      </c>
      <c r="B63" s="283" t="s">
        <v>15</v>
      </c>
      <c r="C63" s="283" t="s">
        <v>7</v>
      </c>
      <c r="D63" s="283" t="s">
        <v>1056</v>
      </c>
      <c r="E63" s="1" t="s">
        <v>1059</v>
      </c>
      <c r="F63" s="1" t="s">
        <v>3</v>
      </c>
      <c r="G63" s="1" t="s">
        <v>51</v>
      </c>
      <c r="H63" s="285">
        <v>0</v>
      </c>
      <c r="I63" s="285">
        <f>I62</f>
        <v>306421.90986363631</v>
      </c>
      <c r="J63" s="280">
        <f t="shared" si="0"/>
        <v>9874.6844416015556</v>
      </c>
      <c r="K63" s="288">
        <v>0.99</v>
      </c>
      <c r="L63" s="285">
        <f t="shared" ref="L63:S66" si="36">L62</f>
        <v>590000</v>
      </c>
      <c r="M63" s="341"/>
      <c r="N63" s="291">
        <f t="shared" ref="N63:O66" si="37">N62</f>
        <v>24000</v>
      </c>
      <c r="O63" s="291">
        <f t="shared" si="37"/>
        <v>0</v>
      </c>
      <c r="P63" s="366">
        <f t="shared" si="5"/>
        <v>24000</v>
      </c>
      <c r="Q63" s="291">
        <f t="shared" si="36"/>
        <v>0</v>
      </c>
      <c r="R63" s="345"/>
      <c r="S63" s="291">
        <f t="shared" si="36"/>
        <v>0</v>
      </c>
      <c r="T63" s="345"/>
      <c r="U63" s="291">
        <v>130</v>
      </c>
      <c r="V63" s="372"/>
      <c r="W63" s="291" t="s">
        <v>1056</v>
      </c>
      <c r="X63" s="372"/>
      <c r="Y63" s="285">
        <f t="shared" si="25"/>
        <v>130</v>
      </c>
      <c r="Z63" s="291">
        <f t="shared" ref="Z63:AA66" si="38">Z62</f>
        <v>0</v>
      </c>
      <c r="AA63" s="291">
        <f t="shared" si="38"/>
        <v>18000</v>
      </c>
      <c r="AB63" s="291">
        <v>9500</v>
      </c>
      <c r="AC63" s="291" t="s">
        <v>1056</v>
      </c>
      <c r="AD63" s="345"/>
      <c r="AE63" s="285">
        <f t="shared" si="26"/>
        <v>27500</v>
      </c>
      <c r="AF63" s="287">
        <v>0</v>
      </c>
    </row>
    <row r="64" spans="1:32">
      <c r="A64" s="284" t="s">
        <v>1055</v>
      </c>
      <c r="B64" s="283" t="s">
        <v>15</v>
      </c>
      <c r="C64" s="283" t="s">
        <v>7</v>
      </c>
      <c r="D64" s="283" t="s">
        <v>1056</v>
      </c>
      <c r="E64" s="1" t="s">
        <v>1059</v>
      </c>
      <c r="F64" s="1" t="s">
        <v>3</v>
      </c>
      <c r="G64" s="1" t="s">
        <v>1062</v>
      </c>
      <c r="H64" s="285">
        <v>0</v>
      </c>
      <c r="I64" s="285">
        <f>I63</f>
        <v>306421.90986363631</v>
      </c>
      <c r="J64" s="280">
        <f t="shared" si="0"/>
        <v>9874.6844416015556</v>
      </c>
      <c r="K64" s="288">
        <v>0.99</v>
      </c>
      <c r="L64" s="285">
        <f t="shared" si="36"/>
        <v>590000</v>
      </c>
      <c r="M64" s="341"/>
      <c r="N64" s="291">
        <f t="shared" si="37"/>
        <v>24000</v>
      </c>
      <c r="O64" s="291">
        <f t="shared" si="37"/>
        <v>0</v>
      </c>
      <c r="P64" s="366">
        <f t="shared" si="5"/>
        <v>24000</v>
      </c>
      <c r="Q64" s="291">
        <f t="shared" si="36"/>
        <v>0</v>
      </c>
      <c r="R64" s="345"/>
      <c r="S64" s="291">
        <f t="shared" si="36"/>
        <v>0</v>
      </c>
      <c r="T64" s="345"/>
      <c r="U64" s="291">
        <f>U63</f>
        <v>130</v>
      </c>
      <c r="V64" s="372"/>
      <c r="W64" s="291" t="s">
        <v>1056</v>
      </c>
      <c r="X64" s="372"/>
      <c r="Y64" s="285">
        <f t="shared" si="25"/>
        <v>130</v>
      </c>
      <c r="Z64" s="291">
        <f t="shared" si="38"/>
        <v>0</v>
      </c>
      <c r="AA64" s="291">
        <f t="shared" si="38"/>
        <v>18000</v>
      </c>
      <c r="AB64" s="291">
        <f>AB63</f>
        <v>9500</v>
      </c>
      <c r="AC64" s="291">
        <f>AC59</f>
        <v>900000</v>
      </c>
      <c r="AD64" s="363">
        <f>J64*1.2*5</f>
        <v>59248.106649609334</v>
      </c>
      <c r="AE64" s="285">
        <f t="shared" si="26"/>
        <v>986748.10664960928</v>
      </c>
      <c r="AF64" s="287">
        <v>0</v>
      </c>
    </row>
    <row r="65" spans="1:32">
      <c r="A65" s="284" t="s">
        <v>1055</v>
      </c>
      <c r="B65" s="283" t="s">
        <v>15</v>
      </c>
      <c r="C65" s="283" t="s">
        <v>7</v>
      </c>
      <c r="D65" s="283" t="s">
        <v>1056</v>
      </c>
      <c r="E65" s="1" t="s">
        <v>1059</v>
      </c>
      <c r="F65" s="1" t="s">
        <v>3</v>
      </c>
      <c r="G65" s="1" t="s">
        <v>1063</v>
      </c>
      <c r="H65" s="285">
        <v>0</v>
      </c>
      <c r="I65" s="285">
        <f>I64</f>
        <v>306421.90986363631</v>
      </c>
      <c r="J65" s="280">
        <f t="shared" si="0"/>
        <v>9874.6844416015556</v>
      </c>
      <c r="K65" s="288">
        <v>0</v>
      </c>
      <c r="L65" s="285">
        <f t="shared" si="36"/>
        <v>590000</v>
      </c>
      <c r="M65" s="341"/>
      <c r="N65" s="291">
        <f t="shared" si="37"/>
        <v>24000</v>
      </c>
      <c r="O65" s="291">
        <f t="shared" si="37"/>
        <v>0</v>
      </c>
      <c r="P65" s="366">
        <f t="shared" si="5"/>
        <v>24000</v>
      </c>
      <c r="Q65" s="291">
        <f t="shared" si="36"/>
        <v>0</v>
      </c>
      <c r="R65" s="345"/>
      <c r="S65" s="291">
        <f t="shared" si="36"/>
        <v>0</v>
      </c>
      <c r="T65" s="345"/>
      <c r="U65" s="291" t="s">
        <v>1056</v>
      </c>
      <c r="V65" s="372"/>
      <c r="W65" s="291">
        <f>W66</f>
        <v>54000000</v>
      </c>
      <c r="X65" s="372"/>
      <c r="Y65" s="285">
        <f t="shared" si="25"/>
        <v>54000000</v>
      </c>
      <c r="Z65" s="291">
        <f t="shared" si="38"/>
        <v>0</v>
      </c>
      <c r="AA65" s="291">
        <f t="shared" si="38"/>
        <v>18000</v>
      </c>
      <c r="AB65" s="291" t="s">
        <v>1056</v>
      </c>
      <c r="AC65" s="291" t="s">
        <v>1056</v>
      </c>
      <c r="AD65" s="345"/>
      <c r="AE65" s="285">
        <f t="shared" si="26"/>
        <v>18000</v>
      </c>
      <c r="AF65" s="287">
        <v>0</v>
      </c>
    </row>
    <row r="66" spans="1:32">
      <c r="A66" s="284" t="s">
        <v>1055</v>
      </c>
      <c r="B66" s="283" t="s">
        <v>15</v>
      </c>
      <c r="C66" s="283" t="s">
        <v>7</v>
      </c>
      <c r="D66" s="283" t="s">
        <v>1056</v>
      </c>
      <c r="E66" s="1" t="s">
        <v>1059</v>
      </c>
      <c r="F66" s="1" t="s">
        <v>3</v>
      </c>
      <c r="G66" s="1" t="s">
        <v>1064</v>
      </c>
      <c r="H66" s="285">
        <v>0</v>
      </c>
      <c r="I66" s="285">
        <f>I65</f>
        <v>306421.90986363631</v>
      </c>
      <c r="J66" s="280">
        <f t="shared" si="0"/>
        <v>9874.6844416015556</v>
      </c>
      <c r="K66" s="288">
        <v>0</v>
      </c>
      <c r="L66" s="285">
        <f t="shared" si="36"/>
        <v>590000</v>
      </c>
      <c r="M66" s="341"/>
      <c r="N66" s="291">
        <f t="shared" si="37"/>
        <v>24000</v>
      </c>
      <c r="O66" s="291">
        <f t="shared" si="37"/>
        <v>0</v>
      </c>
      <c r="P66" s="366">
        <f t="shared" si="5"/>
        <v>24000</v>
      </c>
      <c r="Q66" s="291">
        <f t="shared" si="36"/>
        <v>0</v>
      </c>
      <c r="R66" s="345"/>
      <c r="S66" s="291">
        <f t="shared" si="36"/>
        <v>0</v>
      </c>
      <c r="T66" s="345"/>
      <c r="U66" s="291" t="s">
        <v>1056</v>
      </c>
      <c r="V66" s="372"/>
      <c r="W66" s="291">
        <v>54000000</v>
      </c>
      <c r="X66" s="372"/>
      <c r="Y66" s="285">
        <f t="shared" si="25"/>
        <v>54000000</v>
      </c>
      <c r="Z66" s="291">
        <f t="shared" si="38"/>
        <v>0</v>
      </c>
      <c r="AA66" s="291">
        <f t="shared" si="38"/>
        <v>18000</v>
      </c>
      <c r="AB66" s="291" t="s">
        <v>1056</v>
      </c>
      <c r="AC66" s="291" t="s">
        <v>1056</v>
      </c>
      <c r="AD66" s="345"/>
      <c r="AE66" s="285">
        <f t="shared" si="26"/>
        <v>18000</v>
      </c>
      <c r="AF66" s="287">
        <v>0</v>
      </c>
    </row>
    <row r="67" spans="1:32">
      <c r="A67" s="284" t="s">
        <v>1055</v>
      </c>
      <c r="B67" s="283" t="s">
        <v>15</v>
      </c>
      <c r="C67" s="283" t="s">
        <v>8</v>
      </c>
      <c r="D67" s="283" t="s">
        <v>1056</v>
      </c>
      <c r="E67" s="1" t="s">
        <v>1060</v>
      </c>
      <c r="F67" s="1" t="s">
        <v>3</v>
      </c>
      <c r="G67" s="1" t="s">
        <v>1061</v>
      </c>
      <c r="H67" s="285">
        <v>12</v>
      </c>
      <c r="I67" s="285">
        <v>1345178.1924333333</v>
      </c>
      <c r="J67" s="280">
        <f t="shared" si="0"/>
        <v>43349.413799797883</v>
      </c>
      <c r="K67" s="288">
        <v>0.35</v>
      </c>
      <c r="L67" s="285">
        <v>1700000</v>
      </c>
      <c r="M67" s="341"/>
      <c r="N67" s="291">
        <v>68000</v>
      </c>
      <c r="O67" s="291">
        <v>0</v>
      </c>
      <c r="P67" s="366">
        <f t="shared" si="5"/>
        <v>68000</v>
      </c>
      <c r="Q67" s="291">
        <v>0</v>
      </c>
      <c r="R67" s="345"/>
      <c r="S67" s="291">
        <v>0</v>
      </c>
      <c r="T67" s="345"/>
      <c r="U67" s="291" t="s">
        <v>1056</v>
      </c>
      <c r="V67" s="372"/>
      <c r="W67" s="291" t="s">
        <v>1056</v>
      </c>
      <c r="X67" s="372"/>
      <c r="Y67" s="285">
        <f t="shared" si="25"/>
        <v>0</v>
      </c>
      <c r="Z67" s="291">
        <v>0</v>
      </c>
      <c r="AA67" s="291">
        <v>53000</v>
      </c>
      <c r="AB67" s="291" t="s">
        <v>1056</v>
      </c>
      <c r="AC67" s="291" t="s">
        <v>1056</v>
      </c>
      <c r="AD67" s="345"/>
      <c r="AE67" s="285">
        <f t="shared" si="26"/>
        <v>53000</v>
      </c>
      <c r="AF67" s="287">
        <v>0</v>
      </c>
    </row>
    <row r="68" spans="1:32">
      <c r="A68" s="284" t="s">
        <v>1055</v>
      </c>
      <c r="B68" s="283" t="s">
        <v>15</v>
      </c>
      <c r="C68" s="283" t="s">
        <v>8</v>
      </c>
      <c r="D68" s="283" t="s">
        <v>1056</v>
      </c>
      <c r="E68" s="283" t="s">
        <v>1060</v>
      </c>
      <c r="F68" s="1" t="s">
        <v>3</v>
      </c>
      <c r="G68" s="1" t="s">
        <v>51</v>
      </c>
      <c r="H68" s="285">
        <v>0</v>
      </c>
      <c r="I68" s="285">
        <f>I67</f>
        <v>1345178.1924333333</v>
      </c>
      <c r="J68" s="280">
        <f t="shared" ref="J68:J131" si="39">I68*$E$289</f>
        <v>43349.413799797883</v>
      </c>
      <c r="K68" s="288">
        <v>0.99</v>
      </c>
      <c r="L68" s="285">
        <f t="shared" ref="L68:S71" si="40">L67</f>
        <v>1700000</v>
      </c>
      <c r="M68" s="341"/>
      <c r="N68" s="291">
        <f t="shared" ref="N68:O71" si="41">N67</f>
        <v>68000</v>
      </c>
      <c r="O68" s="291">
        <f t="shared" si="41"/>
        <v>0</v>
      </c>
      <c r="P68" s="366">
        <f t="shared" si="5"/>
        <v>68000</v>
      </c>
      <c r="Q68" s="291">
        <f t="shared" si="40"/>
        <v>0</v>
      </c>
      <c r="R68" s="345"/>
      <c r="S68" s="291">
        <f t="shared" si="40"/>
        <v>0</v>
      </c>
      <c r="T68" s="345"/>
      <c r="U68" s="291">
        <v>200</v>
      </c>
      <c r="V68" s="372"/>
      <c r="W68" s="291" t="s">
        <v>1056</v>
      </c>
      <c r="X68" s="372"/>
      <c r="Y68" s="285">
        <f t="shared" si="25"/>
        <v>200</v>
      </c>
      <c r="Z68" s="291">
        <f t="shared" ref="Z68:AA71" si="42">Z67</f>
        <v>0</v>
      </c>
      <c r="AA68" s="291">
        <f t="shared" si="42"/>
        <v>53000</v>
      </c>
      <c r="AB68" s="291">
        <v>16000</v>
      </c>
      <c r="AC68" s="291" t="s">
        <v>1056</v>
      </c>
      <c r="AD68" s="345"/>
      <c r="AE68" s="285">
        <f t="shared" si="26"/>
        <v>69000</v>
      </c>
      <c r="AF68" s="287">
        <v>0</v>
      </c>
    </row>
    <row r="69" spans="1:32">
      <c r="A69" s="284" t="s">
        <v>1055</v>
      </c>
      <c r="B69" s="283" t="s">
        <v>15</v>
      </c>
      <c r="C69" s="283" t="s">
        <v>8</v>
      </c>
      <c r="D69" s="283" t="s">
        <v>1056</v>
      </c>
      <c r="E69" s="283" t="s">
        <v>1060</v>
      </c>
      <c r="F69" s="1" t="s">
        <v>3</v>
      </c>
      <c r="G69" s="1" t="s">
        <v>1062</v>
      </c>
      <c r="H69" s="285">
        <v>0</v>
      </c>
      <c r="I69" s="285">
        <f>I68</f>
        <v>1345178.1924333333</v>
      </c>
      <c r="J69" s="280">
        <f t="shared" si="39"/>
        <v>43349.413799797883</v>
      </c>
      <c r="K69" s="288">
        <v>0.99</v>
      </c>
      <c r="L69" s="285">
        <f t="shared" si="40"/>
        <v>1700000</v>
      </c>
      <c r="M69" s="341"/>
      <c r="N69" s="291">
        <f t="shared" si="41"/>
        <v>68000</v>
      </c>
      <c r="O69" s="291">
        <f t="shared" si="41"/>
        <v>0</v>
      </c>
      <c r="P69" s="366">
        <f t="shared" si="5"/>
        <v>68000</v>
      </c>
      <c r="Q69" s="291">
        <f t="shared" si="40"/>
        <v>0</v>
      </c>
      <c r="R69" s="345"/>
      <c r="S69" s="291">
        <f t="shared" si="40"/>
        <v>0</v>
      </c>
      <c r="T69" s="345"/>
      <c r="U69" s="291">
        <f>U68</f>
        <v>200</v>
      </c>
      <c r="V69" s="372"/>
      <c r="W69" s="291" t="s">
        <v>1056</v>
      </c>
      <c r="X69" s="372"/>
      <c r="Y69" s="285">
        <f t="shared" si="25"/>
        <v>200</v>
      </c>
      <c r="Z69" s="291">
        <f t="shared" si="42"/>
        <v>0</v>
      </c>
      <c r="AA69" s="291">
        <f t="shared" si="42"/>
        <v>53000</v>
      </c>
      <c r="AB69" s="291">
        <f>AB68</f>
        <v>16000</v>
      </c>
      <c r="AC69" s="291">
        <f>AC64</f>
        <v>900000</v>
      </c>
      <c r="AD69" s="363">
        <f>J69*1.2*5</f>
        <v>260096.4827987873</v>
      </c>
      <c r="AE69" s="285">
        <f t="shared" si="26"/>
        <v>1229096.4827987873</v>
      </c>
      <c r="AF69" s="287">
        <v>0</v>
      </c>
    </row>
    <row r="70" spans="1:32">
      <c r="A70" s="284" t="s">
        <v>1055</v>
      </c>
      <c r="B70" s="283" t="s">
        <v>15</v>
      </c>
      <c r="C70" s="283" t="s">
        <v>8</v>
      </c>
      <c r="D70" s="283" t="s">
        <v>1056</v>
      </c>
      <c r="E70" s="283" t="s">
        <v>1060</v>
      </c>
      <c r="F70" s="1" t="s">
        <v>3</v>
      </c>
      <c r="G70" s="1" t="s">
        <v>1063</v>
      </c>
      <c r="H70" s="285">
        <v>0</v>
      </c>
      <c r="I70" s="285">
        <f>I69</f>
        <v>1345178.1924333333</v>
      </c>
      <c r="J70" s="280">
        <f t="shared" si="39"/>
        <v>43349.413799797883</v>
      </c>
      <c r="K70" s="288">
        <v>0</v>
      </c>
      <c r="L70" s="285">
        <f t="shared" si="40"/>
        <v>1700000</v>
      </c>
      <c r="M70" s="341"/>
      <c r="N70" s="291">
        <f t="shared" si="41"/>
        <v>68000</v>
      </c>
      <c r="O70" s="291">
        <f t="shared" si="41"/>
        <v>0</v>
      </c>
      <c r="P70" s="366">
        <f t="shared" si="5"/>
        <v>68000</v>
      </c>
      <c r="Q70" s="291">
        <f t="shared" si="40"/>
        <v>0</v>
      </c>
      <c r="R70" s="345"/>
      <c r="S70" s="291">
        <f t="shared" si="40"/>
        <v>0</v>
      </c>
      <c r="T70" s="345"/>
      <c r="U70" s="291" t="s">
        <v>1056</v>
      </c>
      <c r="V70" s="372"/>
      <c r="W70" s="291">
        <f>W71</f>
        <v>54000000</v>
      </c>
      <c r="X70" s="372"/>
      <c r="Y70" s="285">
        <f t="shared" si="25"/>
        <v>54000000</v>
      </c>
      <c r="Z70" s="291">
        <f t="shared" si="42"/>
        <v>0</v>
      </c>
      <c r="AA70" s="291">
        <f t="shared" si="42"/>
        <v>53000</v>
      </c>
      <c r="AB70" s="291" t="s">
        <v>1056</v>
      </c>
      <c r="AC70" s="291" t="s">
        <v>1056</v>
      </c>
      <c r="AD70" s="345"/>
      <c r="AE70" s="285">
        <f t="shared" si="26"/>
        <v>53000</v>
      </c>
      <c r="AF70" s="287">
        <v>0</v>
      </c>
    </row>
    <row r="71" spans="1:32">
      <c r="A71" s="284" t="s">
        <v>1055</v>
      </c>
      <c r="B71" s="283" t="s">
        <v>15</v>
      </c>
      <c r="C71" s="283" t="s">
        <v>8</v>
      </c>
      <c r="D71" s="283" t="s">
        <v>1056</v>
      </c>
      <c r="E71" s="283" t="s">
        <v>1060</v>
      </c>
      <c r="F71" s="1" t="s">
        <v>3</v>
      </c>
      <c r="G71" s="1" t="s">
        <v>1064</v>
      </c>
      <c r="H71" s="285">
        <v>0</v>
      </c>
      <c r="I71" s="285">
        <f>I70</f>
        <v>1345178.1924333333</v>
      </c>
      <c r="J71" s="280">
        <f t="shared" si="39"/>
        <v>43349.413799797883</v>
      </c>
      <c r="K71" s="288">
        <v>0</v>
      </c>
      <c r="L71" s="285">
        <f t="shared" si="40"/>
        <v>1700000</v>
      </c>
      <c r="M71" s="341"/>
      <c r="N71" s="291">
        <f t="shared" si="41"/>
        <v>68000</v>
      </c>
      <c r="O71" s="291">
        <f t="shared" si="41"/>
        <v>0</v>
      </c>
      <c r="P71" s="366">
        <f t="shared" si="5"/>
        <v>68000</v>
      </c>
      <c r="Q71" s="291">
        <f t="shared" si="40"/>
        <v>0</v>
      </c>
      <c r="R71" s="345"/>
      <c r="S71" s="291">
        <f t="shared" si="40"/>
        <v>0</v>
      </c>
      <c r="T71" s="345"/>
      <c r="U71" s="291" t="s">
        <v>1056</v>
      </c>
      <c r="V71" s="372"/>
      <c r="W71" s="291">
        <v>54000000</v>
      </c>
      <c r="X71" s="372"/>
      <c r="Y71" s="285">
        <f t="shared" si="25"/>
        <v>54000000</v>
      </c>
      <c r="Z71" s="291">
        <f t="shared" si="42"/>
        <v>0</v>
      </c>
      <c r="AA71" s="291">
        <f t="shared" si="42"/>
        <v>53000</v>
      </c>
      <c r="AB71" s="291" t="s">
        <v>1056</v>
      </c>
      <c r="AC71" s="291" t="s">
        <v>1056</v>
      </c>
      <c r="AD71" s="345"/>
      <c r="AE71" s="285">
        <f t="shared" si="26"/>
        <v>53000</v>
      </c>
      <c r="AF71" s="287">
        <v>0</v>
      </c>
    </row>
    <row r="72" spans="1:32">
      <c r="A72" s="284" t="s">
        <v>1055</v>
      </c>
      <c r="B72" s="1" t="s">
        <v>13</v>
      </c>
      <c r="C72" s="283" t="s">
        <v>6</v>
      </c>
      <c r="D72" s="283" t="s">
        <v>1056</v>
      </c>
      <c r="E72" s="283" t="s">
        <v>1057</v>
      </c>
      <c r="F72" s="1" t="s">
        <v>4</v>
      </c>
      <c r="G72" s="1" t="s">
        <v>1061</v>
      </c>
      <c r="H72" s="285">
        <v>21</v>
      </c>
      <c r="I72" s="285">
        <v>409129.20063694264</v>
      </c>
      <c r="J72" s="280">
        <f t="shared" si="39"/>
        <v>13184.506793043574</v>
      </c>
      <c r="K72" s="288">
        <v>0.35</v>
      </c>
      <c r="L72" s="285">
        <v>1000000</v>
      </c>
      <c r="M72" s="341"/>
      <c r="N72" s="291">
        <v>41000</v>
      </c>
      <c r="O72" s="291">
        <v>65000</v>
      </c>
      <c r="P72" s="366">
        <f t="shared" si="5"/>
        <v>106000</v>
      </c>
      <c r="Q72" s="291">
        <v>0</v>
      </c>
      <c r="R72" s="345"/>
      <c r="S72" s="291">
        <v>0</v>
      </c>
      <c r="T72" s="345"/>
      <c r="U72" s="291" t="s">
        <v>1056</v>
      </c>
      <c r="V72" s="372"/>
      <c r="W72" s="291" t="s">
        <v>1056</v>
      </c>
      <c r="X72" s="372"/>
      <c r="Y72" s="285">
        <f t="shared" si="25"/>
        <v>0</v>
      </c>
      <c r="Z72" s="291">
        <v>0</v>
      </c>
      <c r="AA72" s="291">
        <v>32000</v>
      </c>
      <c r="AB72" s="291" t="s">
        <v>1056</v>
      </c>
      <c r="AC72" s="291" t="s">
        <v>1056</v>
      </c>
      <c r="AD72" s="345"/>
      <c r="AE72" s="285">
        <f t="shared" si="26"/>
        <v>32000</v>
      </c>
      <c r="AF72" s="287">
        <v>0</v>
      </c>
    </row>
    <row r="73" spans="1:32">
      <c r="A73" s="284" t="s">
        <v>1055</v>
      </c>
      <c r="B73" s="1" t="s">
        <v>13</v>
      </c>
      <c r="C73" s="283" t="s">
        <v>6</v>
      </c>
      <c r="D73" s="283" t="s">
        <v>1056</v>
      </c>
      <c r="E73" s="283" t="s">
        <v>1057</v>
      </c>
      <c r="F73" s="1" t="s">
        <v>4</v>
      </c>
      <c r="G73" s="1" t="s">
        <v>51</v>
      </c>
      <c r="H73" s="285">
        <v>0</v>
      </c>
      <c r="I73" s="285">
        <f>I72</f>
        <v>409129.20063694264</v>
      </c>
      <c r="J73" s="280">
        <f t="shared" si="39"/>
        <v>13184.506793043574</v>
      </c>
      <c r="K73" s="288">
        <v>0.99</v>
      </c>
      <c r="L73" s="285">
        <f t="shared" ref="L73:S76" si="43">L72</f>
        <v>1000000</v>
      </c>
      <c r="M73" s="341"/>
      <c r="N73" s="291">
        <f t="shared" ref="N73:O76" si="44">N72</f>
        <v>41000</v>
      </c>
      <c r="O73" s="291">
        <f t="shared" si="44"/>
        <v>65000</v>
      </c>
      <c r="P73" s="366">
        <f t="shared" si="5"/>
        <v>106000</v>
      </c>
      <c r="Q73" s="291">
        <f t="shared" si="43"/>
        <v>0</v>
      </c>
      <c r="R73" s="345"/>
      <c r="S73" s="291">
        <f t="shared" si="43"/>
        <v>0</v>
      </c>
      <c r="T73" s="345"/>
      <c r="U73" s="291">
        <v>130</v>
      </c>
      <c r="V73" s="372"/>
      <c r="W73" s="291" t="s">
        <v>1056</v>
      </c>
      <c r="X73" s="372"/>
      <c r="Y73" s="285">
        <f t="shared" si="25"/>
        <v>130</v>
      </c>
      <c r="Z73" s="291">
        <f t="shared" ref="Z73:AA76" si="45">Z72</f>
        <v>0</v>
      </c>
      <c r="AA73" s="291">
        <f t="shared" si="45"/>
        <v>32000</v>
      </c>
      <c r="AB73" s="291">
        <v>9500</v>
      </c>
      <c r="AC73" s="291" t="s">
        <v>1056</v>
      </c>
      <c r="AD73" s="345"/>
      <c r="AE73" s="285">
        <f t="shared" si="26"/>
        <v>41500</v>
      </c>
      <c r="AF73" s="287">
        <v>0</v>
      </c>
    </row>
    <row r="74" spans="1:32">
      <c r="A74" s="284" t="s">
        <v>1055</v>
      </c>
      <c r="B74" s="1" t="s">
        <v>13</v>
      </c>
      <c r="C74" s="283" t="s">
        <v>6</v>
      </c>
      <c r="D74" s="283" t="s">
        <v>1056</v>
      </c>
      <c r="E74" s="283" t="s">
        <v>1057</v>
      </c>
      <c r="F74" s="1" t="s">
        <v>4</v>
      </c>
      <c r="G74" s="1" t="s">
        <v>1062</v>
      </c>
      <c r="H74" s="285">
        <v>0</v>
      </c>
      <c r="I74" s="285">
        <f>I73</f>
        <v>409129.20063694264</v>
      </c>
      <c r="J74" s="280">
        <f t="shared" si="39"/>
        <v>13184.506793043574</v>
      </c>
      <c r="K74" s="288">
        <v>0.99</v>
      </c>
      <c r="L74" s="285">
        <f t="shared" si="43"/>
        <v>1000000</v>
      </c>
      <c r="M74" s="341"/>
      <c r="N74" s="291">
        <f t="shared" si="44"/>
        <v>41000</v>
      </c>
      <c r="O74" s="291">
        <f t="shared" si="44"/>
        <v>65000</v>
      </c>
      <c r="P74" s="366">
        <f t="shared" si="5"/>
        <v>106000</v>
      </c>
      <c r="Q74" s="291">
        <f t="shared" si="43"/>
        <v>0</v>
      </c>
      <c r="R74" s="345"/>
      <c r="S74" s="291">
        <f t="shared" si="43"/>
        <v>0</v>
      </c>
      <c r="T74" s="345"/>
      <c r="U74" s="291">
        <f>U73</f>
        <v>130</v>
      </c>
      <c r="V74" s="372"/>
      <c r="W74" s="291" t="s">
        <v>1056</v>
      </c>
      <c r="X74" s="372"/>
      <c r="Y74" s="285">
        <f t="shared" si="25"/>
        <v>130</v>
      </c>
      <c r="Z74" s="291">
        <f t="shared" si="45"/>
        <v>0</v>
      </c>
      <c r="AA74" s="291">
        <f t="shared" si="45"/>
        <v>32000</v>
      </c>
      <c r="AB74" s="291">
        <f>AB73</f>
        <v>9500</v>
      </c>
      <c r="AC74" s="291">
        <f>AC69</f>
        <v>900000</v>
      </c>
      <c r="AD74" s="363">
        <f>J74*1.2*5</f>
        <v>79107.040758261443</v>
      </c>
      <c r="AE74" s="285">
        <f t="shared" si="26"/>
        <v>1020607.0407582615</v>
      </c>
      <c r="AF74" s="287">
        <v>0</v>
      </c>
    </row>
    <row r="75" spans="1:32">
      <c r="A75" s="284" t="s">
        <v>1055</v>
      </c>
      <c r="B75" s="1" t="s">
        <v>13</v>
      </c>
      <c r="C75" s="283" t="s">
        <v>6</v>
      </c>
      <c r="D75" s="283" t="s">
        <v>1056</v>
      </c>
      <c r="E75" s="283" t="s">
        <v>1057</v>
      </c>
      <c r="F75" s="1" t="s">
        <v>4</v>
      </c>
      <c r="G75" s="1" t="s">
        <v>1063</v>
      </c>
      <c r="H75" s="285">
        <v>0</v>
      </c>
      <c r="I75" s="285">
        <f>I74</f>
        <v>409129.20063694264</v>
      </c>
      <c r="J75" s="280">
        <f t="shared" si="39"/>
        <v>13184.506793043574</v>
      </c>
      <c r="K75" s="288">
        <v>0</v>
      </c>
      <c r="L75" s="285">
        <f t="shared" si="43"/>
        <v>1000000</v>
      </c>
      <c r="M75" s="341"/>
      <c r="N75" s="291">
        <f t="shared" si="44"/>
        <v>41000</v>
      </c>
      <c r="O75" s="291">
        <f t="shared" si="44"/>
        <v>65000</v>
      </c>
      <c r="P75" s="366">
        <f t="shared" si="5"/>
        <v>106000</v>
      </c>
      <c r="Q75" s="291">
        <f t="shared" si="43"/>
        <v>0</v>
      </c>
      <c r="R75" s="345"/>
      <c r="S75" s="291">
        <f t="shared" si="43"/>
        <v>0</v>
      </c>
      <c r="T75" s="345"/>
      <c r="U75" s="291" t="s">
        <v>1056</v>
      </c>
      <c r="V75" s="372"/>
      <c r="W75" s="291">
        <f>W76</f>
        <v>54000000</v>
      </c>
      <c r="X75" s="372"/>
      <c r="Y75" s="285">
        <f t="shared" si="25"/>
        <v>54000000</v>
      </c>
      <c r="Z75" s="291">
        <f t="shared" si="45"/>
        <v>0</v>
      </c>
      <c r="AA75" s="291">
        <f t="shared" si="45"/>
        <v>32000</v>
      </c>
      <c r="AB75" s="291" t="s">
        <v>1056</v>
      </c>
      <c r="AC75" s="291" t="s">
        <v>1056</v>
      </c>
      <c r="AD75" s="345"/>
      <c r="AE75" s="285">
        <f t="shared" si="26"/>
        <v>32000</v>
      </c>
      <c r="AF75" s="287">
        <v>0</v>
      </c>
    </row>
    <row r="76" spans="1:32">
      <c r="A76" s="284" t="s">
        <v>1055</v>
      </c>
      <c r="B76" s="1" t="s">
        <v>13</v>
      </c>
      <c r="C76" s="283" t="s">
        <v>6</v>
      </c>
      <c r="D76" s="283" t="s">
        <v>1056</v>
      </c>
      <c r="E76" s="283" t="s">
        <v>1057</v>
      </c>
      <c r="F76" s="1" t="s">
        <v>4</v>
      </c>
      <c r="G76" s="1" t="s">
        <v>1064</v>
      </c>
      <c r="H76" s="285">
        <v>0</v>
      </c>
      <c r="I76" s="285">
        <f>I75</f>
        <v>409129.20063694264</v>
      </c>
      <c r="J76" s="280">
        <f t="shared" si="39"/>
        <v>13184.506793043574</v>
      </c>
      <c r="K76" s="288">
        <v>0</v>
      </c>
      <c r="L76" s="285">
        <f t="shared" si="43"/>
        <v>1000000</v>
      </c>
      <c r="M76" s="341"/>
      <c r="N76" s="291">
        <f t="shared" si="44"/>
        <v>41000</v>
      </c>
      <c r="O76" s="291">
        <f t="shared" si="44"/>
        <v>65000</v>
      </c>
      <c r="P76" s="366">
        <f t="shared" si="5"/>
        <v>106000</v>
      </c>
      <c r="Q76" s="291">
        <f t="shared" si="43"/>
        <v>0</v>
      </c>
      <c r="R76" s="345"/>
      <c r="S76" s="291">
        <f t="shared" si="43"/>
        <v>0</v>
      </c>
      <c r="T76" s="345"/>
      <c r="U76" s="291" t="s">
        <v>1056</v>
      </c>
      <c r="V76" s="372"/>
      <c r="W76" s="291">
        <v>54000000</v>
      </c>
      <c r="X76" s="372"/>
      <c r="Y76" s="285">
        <f t="shared" ref="Y76:Y107" si="46">SUM(Q76:W76)</f>
        <v>54000000</v>
      </c>
      <c r="Z76" s="291">
        <f t="shared" si="45"/>
        <v>0</v>
      </c>
      <c r="AA76" s="291">
        <f t="shared" si="45"/>
        <v>32000</v>
      </c>
      <c r="AB76" s="291" t="s">
        <v>1056</v>
      </c>
      <c r="AC76" s="291" t="s">
        <v>1056</v>
      </c>
      <c r="AD76" s="345"/>
      <c r="AE76" s="285">
        <f t="shared" ref="AE76:AE107" si="47">SUM(Z76:AD76)</f>
        <v>32000</v>
      </c>
      <c r="AF76" s="287">
        <v>0</v>
      </c>
    </row>
    <row r="77" spans="1:32">
      <c r="A77" s="284" t="s">
        <v>1055</v>
      </c>
      <c r="B77" s="283" t="s">
        <v>13</v>
      </c>
      <c r="C77" s="283" t="s">
        <v>7</v>
      </c>
      <c r="D77" s="283" t="s">
        <v>1056</v>
      </c>
      <c r="E77" s="1" t="s">
        <v>1059</v>
      </c>
      <c r="F77" s="1" t="s">
        <v>4</v>
      </c>
      <c r="G77" s="1" t="s">
        <v>1061</v>
      </c>
      <c r="H77" s="285">
        <v>33</v>
      </c>
      <c r="I77" s="285">
        <v>795458.63157894742</v>
      </c>
      <c r="J77" s="280">
        <f t="shared" si="39"/>
        <v>25634.273269446952</v>
      </c>
      <c r="K77" s="288">
        <v>0.35</v>
      </c>
      <c r="L77" s="285">
        <v>1400000</v>
      </c>
      <c r="M77" s="341"/>
      <c r="N77" s="291">
        <v>58000</v>
      </c>
      <c r="O77" s="291">
        <v>92000</v>
      </c>
      <c r="P77" s="366">
        <f t="shared" ref="P77:P116" si="48">SUM(N77:O77)</f>
        <v>150000</v>
      </c>
      <c r="Q77" s="291">
        <v>0</v>
      </c>
      <c r="R77" s="345"/>
      <c r="S77" s="291">
        <v>0</v>
      </c>
      <c r="T77" s="345"/>
      <c r="U77" s="291" t="s">
        <v>1056</v>
      </c>
      <c r="V77" s="372"/>
      <c r="W77" s="291" t="s">
        <v>1056</v>
      </c>
      <c r="X77" s="372"/>
      <c r="Y77" s="285">
        <f t="shared" si="46"/>
        <v>0</v>
      </c>
      <c r="Z77" s="291">
        <v>0</v>
      </c>
      <c r="AA77" s="291">
        <v>45000</v>
      </c>
      <c r="AB77" s="291" t="s">
        <v>1056</v>
      </c>
      <c r="AC77" s="291" t="s">
        <v>1056</v>
      </c>
      <c r="AD77" s="345"/>
      <c r="AE77" s="285">
        <f t="shared" si="47"/>
        <v>45000</v>
      </c>
      <c r="AF77" s="287">
        <v>0</v>
      </c>
    </row>
    <row r="78" spans="1:32">
      <c r="A78" s="284" t="s">
        <v>1055</v>
      </c>
      <c r="B78" s="283" t="s">
        <v>13</v>
      </c>
      <c r="C78" s="283" t="s">
        <v>7</v>
      </c>
      <c r="D78" s="283" t="s">
        <v>1056</v>
      </c>
      <c r="E78" s="1" t="s">
        <v>1059</v>
      </c>
      <c r="F78" s="1" t="s">
        <v>4</v>
      </c>
      <c r="G78" s="1" t="s">
        <v>51</v>
      </c>
      <c r="H78" s="285">
        <v>0</v>
      </c>
      <c r="I78" s="285">
        <f>I77</f>
        <v>795458.63157894742</v>
      </c>
      <c r="J78" s="280">
        <f t="shared" si="39"/>
        <v>25634.273269446952</v>
      </c>
      <c r="K78" s="288">
        <v>0.99</v>
      </c>
      <c r="L78" s="285">
        <f t="shared" ref="L78:S81" si="49">L77</f>
        <v>1400000</v>
      </c>
      <c r="M78" s="341"/>
      <c r="N78" s="291">
        <f t="shared" ref="N78:O81" si="50">N77</f>
        <v>58000</v>
      </c>
      <c r="O78" s="291">
        <f t="shared" si="50"/>
        <v>92000</v>
      </c>
      <c r="P78" s="366">
        <f t="shared" si="48"/>
        <v>150000</v>
      </c>
      <c r="Q78" s="291">
        <f t="shared" si="49"/>
        <v>0</v>
      </c>
      <c r="R78" s="345"/>
      <c r="S78" s="291">
        <f t="shared" si="49"/>
        <v>0</v>
      </c>
      <c r="T78" s="345"/>
      <c r="U78" s="291">
        <v>130</v>
      </c>
      <c r="V78" s="372"/>
      <c r="W78" s="291" t="s">
        <v>1056</v>
      </c>
      <c r="X78" s="372"/>
      <c r="Y78" s="285">
        <f t="shared" si="46"/>
        <v>130</v>
      </c>
      <c r="Z78" s="291">
        <f t="shared" ref="Z78:AA81" si="51">Z77</f>
        <v>0</v>
      </c>
      <c r="AA78" s="291">
        <f t="shared" si="51"/>
        <v>45000</v>
      </c>
      <c r="AB78" s="291">
        <v>9500</v>
      </c>
      <c r="AC78" s="291" t="s">
        <v>1056</v>
      </c>
      <c r="AD78" s="345"/>
      <c r="AE78" s="285">
        <f t="shared" si="47"/>
        <v>54500</v>
      </c>
      <c r="AF78" s="287">
        <v>0</v>
      </c>
    </row>
    <row r="79" spans="1:32">
      <c r="A79" s="284" t="s">
        <v>1055</v>
      </c>
      <c r="B79" s="283" t="s">
        <v>13</v>
      </c>
      <c r="C79" s="283" t="s">
        <v>7</v>
      </c>
      <c r="D79" s="283" t="s">
        <v>1056</v>
      </c>
      <c r="E79" s="1" t="s">
        <v>1059</v>
      </c>
      <c r="F79" s="1" t="s">
        <v>4</v>
      </c>
      <c r="G79" s="1" t="s">
        <v>1062</v>
      </c>
      <c r="H79" s="285">
        <v>0</v>
      </c>
      <c r="I79" s="285">
        <f>I78</f>
        <v>795458.63157894742</v>
      </c>
      <c r="J79" s="280">
        <f t="shared" si="39"/>
        <v>25634.273269446952</v>
      </c>
      <c r="K79" s="288">
        <v>0.99</v>
      </c>
      <c r="L79" s="285">
        <f t="shared" si="49"/>
        <v>1400000</v>
      </c>
      <c r="M79" s="341"/>
      <c r="N79" s="291">
        <f t="shared" si="50"/>
        <v>58000</v>
      </c>
      <c r="O79" s="291">
        <f t="shared" si="50"/>
        <v>92000</v>
      </c>
      <c r="P79" s="366">
        <f t="shared" si="48"/>
        <v>150000</v>
      </c>
      <c r="Q79" s="291">
        <f t="shared" si="49"/>
        <v>0</v>
      </c>
      <c r="R79" s="345"/>
      <c r="S79" s="291">
        <f t="shared" si="49"/>
        <v>0</v>
      </c>
      <c r="T79" s="345"/>
      <c r="U79" s="291">
        <f>U78</f>
        <v>130</v>
      </c>
      <c r="V79" s="372"/>
      <c r="W79" s="291" t="s">
        <v>1056</v>
      </c>
      <c r="X79" s="372"/>
      <c r="Y79" s="285">
        <f t="shared" si="46"/>
        <v>130</v>
      </c>
      <c r="Z79" s="291">
        <f t="shared" si="51"/>
        <v>0</v>
      </c>
      <c r="AA79" s="291">
        <f t="shared" si="51"/>
        <v>45000</v>
      </c>
      <c r="AB79" s="291">
        <f>AB78</f>
        <v>9500</v>
      </c>
      <c r="AC79" s="291">
        <f>AC74</f>
        <v>900000</v>
      </c>
      <c r="AD79" s="363">
        <f>J79*1.2*5</f>
        <v>153805.6396166817</v>
      </c>
      <c r="AE79" s="285">
        <f t="shared" si="47"/>
        <v>1108305.6396166817</v>
      </c>
      <c r="AF79" s="287">
        <v>0</v>
      </c>
    </row>
    <row r="80" spans="1:32">
      <c r="A80" s="284" t="s">
        <v>1055</v>
      </c>
      <c r="B80" s="283" t="s">
        <v>13</v>
      </c>
      <c r="C80" s="283" t="s">
        <v>7</v>
      </c>
      <c r="D80" s="283" t="s">
        <v>1056</v>
      </c>
      <c r="E80" s="1" t="s">
        <v>1059</v>
      </c>
      <c r="F80" s="1" t="s">
        <v>4</v>
      </c>
      <c r="G80" s="1" t="s">
        <v>1063</v>
      </c>
      <c r="H80" s="285">
        <v>0</v>
      </c>
      <c r="I80" s="285">
        <f>I79</f>
        <v>795458.63157894742</v>
      </c>
      <c r="J80" s="280">
        <f t="shared" si="39"/>
        <v>25634.273269446952</v>
      </c>
      <c r="K80" s="288">
        <v>0</v>
      </c>
      <c r="L80" s="285">
        <f t="shared" si="49"/>
        <v>1400000</v>
      </c>
      <c r="M80" s="341"/>
      <c r="N80" s="291">
        <f t="shared" si="50"/>
        <v>58000</v>
      </c>
      <c r="O80" s="291">
        <f t="shared" si="50"/>
        <v>92000</v>
      </c>
      <c r="P80" s="366">
        <f t="shared" si="48"/>
        <v>150000</v>
      </c>
      <c r="Q80" s="291">
        <f t="shared" si="49"/>
        <v>0</v>
      </c>
      <c r="R80" s="345"/>
      <c r="S80" s="291">
        <f t="shared" si="49"/>
        <v>0</v>
      </c>
      <c r="T80" s="345"/>
      <c r="U80" s="291" t="s">
        <v>1056</v>
      </c>
      <c r="V80" s="372"/>
      <c r="W80" s="291">
        <f>W81</f>
        <v>54000000</v>
      </c>
      <c r="X80" s="372"/>
      <c r="Y80" s="285">
        <f t="shared" si="46"/>
        <v>54000000</v>
      </c>
      <c r="Z80" s="291">
        <f t="shared" si="51"/>
        <v>0</v>
      </c>
      <c r="AA80" s="291">
        <f t="shared" si="51"/>
        <v>45000</v>
      </c>
      <c r="AB80" s="291" t="s">
        <v>1056</v>
      </c>
      <c r="AC80" s="291" t="s">
        <v>1056</v>
      </c>
      <c r="AD80" s="345"/>
      <c r="AE80" s="285">
        <f t="shared" si="47"/>
        <v>45000</v>
      </c>
      <c r="AF80" s="287">
        <v>0</v>
      </c>
    </row>
    <row r="81" spans="1:32">
      <c r="A81" s="284" t="s">
        <v>1055</v>
      </c>
      <c r="B81" s="283" t="s">
        <v>13</v>
      </c>
      <c r="C81" s="283" t="s">
        <v>7</v>
      </c>
      <c r="D81" s="283" t="s">
        <v>1056</v>
      </c>
      <c r="E81" s="1" t="s">
        <v>1059</v>
      </c>
      <c r="F81" s="1" t="s">
        <v>4</v>
      </c>
      <c r="G81" s="1" t="s">
        <v>1064</v>
      </c>
      <c r="H81" s="285">
        <v>0</v>
      </c>
      <c r="I81" s="285">
        <f>I80</f>
        <v>795458.63157894742</v>
      </c>
      <c r="J81" s="280">
        <f t="shared" si="39"/>
        <v>25634.273269446952</v>
      </c>
      <c r="K81" s="288">
        <v>0</v>
      </c>
      <c r="L81" s="285">
        <f t="shared" si="49"/>
        <v>1400000</v>
      </c>
      <c r="M81" s="341"/>
      <c r="N81" s="291">
        <f t="shared" si="50"/>
        <v>58000</v>
      </c>
      <c r="O81" s="291">
        <f t="shared" si="50"/>
        <v>92000</v>
      </c>
      <c r="P81" s="366">
        <f t="shared" si="48"/>
        <v>150000</v>
      </c>
      <c r="Q81" s="291">
        <f t="shared" si="49"/>
        <v>0</v>
      </c>
      <c r="R81" s="345"/>
      <c r="S81" s="291">
        <f t="shared" si="49"/>
        <v>0</v>
      </c>
      <c r="T81" s="345"/>
      <c r="U81" s="291" t="s">
        <v>1056</v>
      </c>
      <c r="V81" s="372"/>
      <c r="W81" s="291">
        <v>54000000</v>
      </c>
      <c r="X81" s="372"/>
      <c r="Y81" s="285">
        <f t="shared" si="46"/>
        <v>54000000</v>
      </c>
      <c r="Z81" s="291">
        <f t="shared" si="51"/>
        <v>0</v>
      </c>
      <c r="AA81" s="291">
        <f t="shared" si="51"/>
        <v>45000</v>
      </c>
      <c r="AB81" s="291" t="s">
        <v>1056</v>
      </c>
      <c r="AC81" s="291" t="s">
        <v>1056</v>
      </c>
      <c r="AD81" s="345"/>
      <c r="AE81" s="285">
        <f t="shared" si="47"/>
        <v>45000</v>
      </c>
      <c r="AF81" s="287">
        <v>0</v>
      </c>
    </row>
    <row r="82" spans="1:32">
      <c r="A82" s="284" t="s">
        <v>1055</v>
      </c>
      <c r="B82" s="283" t="s">
        <v>13</v>
      </c>
      <c r="C82" s="283" t="s">
        <v>8</v>
      </c>
      <c r="D82" s="283" t="s">
        <v>1056</v>
      </c>
      <c r="E82" s="1" t="s">
        <v>1060</v>
      </c>
      <c r="F82" s="1" t="s">
        <v>4</v>
      </c>
      <c r="G82" s="1" t="s">
        <v>1061</v>
      </c>
      <c r="H82" s="285">
        <v>37</v>
      </c>
      <c r="I82" s="285">
        <v>2255984.782051282</v>
      </c>
      <c r="J82" s="280">
        <f t="shared" si="39"/>
        <v>72700.864757763004</v>
      </c>
      <c r="K82" s="288">
        <v>0.35</v>
      </c>
      <c r="L82" s="285">
        <v>3000000</v>
      </c>
      <c r="M82" s="341"/>
      <c r="N82" s="291">
        <v>120000</v>
      </c>
      <c r="O82" s="291">
        <v>190000</v>
      </c>
      <c r="P82" s="366">
        <f t="shared" si="48"/>
        <v>310000</v>
      </c>
      <c r="Q82" s="291">
        <v>0</v>
      </c>
      <c r="R82" s="345"/>
      <c r="S82" s="291">
        <v>0</v>
      </c>
      <c r="T82" s="345"/>
      <c r="U82" s="291" t="s">
        <v>1056</v>
      </c>
      <c r="V82" s="372"/>
      <c r="W82" s="291" t="s">
        <v>1056</v>
      </c>
      <c r="X82" s="372"/>
      <c r="Y82" s="285">
        <f t="shared" si="46"/>
        <v>0</v>
      </c>
      <c r="Z82" s="291">
        <v>0</v>
      </c>
      <c r="AA82" s="291">
        <v>94000</v>
      </c>
      <c r="AB82" s="291" t="s">
        <v>1056</v>
      </c>
      <c r="AC82" s="291" t="s">
        <v>1056</v>
      </c>
      <c r="AD82" s="345"/>
      <c r="AE82" s="285">
        <f t="shared" si="47"/>
        <v>94000</v>
      </c>
      <c r="AF82" s="287">
        <v>0</v>
      </c>
    </row>
    <row r="83" spans="1:32">
      <c r="A83" s="284" t="s">
        <v>1055</v>
      </c>
      <c r="B83" s="283" t="s">
        <v>13</v>
      </c>
      <c r="C83" s="283" t="s">
        <v>8</v>
      </c>
      <c r="D83" s="283" t="s">
        <v>1056</v>
      </c>
      <c r="E83" s="283" t="s">
        <v>1060</v>
      </c>
      <c r="F83" s="1" t="s">
        <v>4</v>
      </c>
      <c r="G83" s="1" t="s">
        <v>51</v>
      </c>
      <c r="H83" s="285">
        <v>0</v>
      </c>
      <c r="I83" s="285">
        <f>I82</f>
        <v>2255984.782051282</v>
      </c>
      <c r="J83" s="280">
        <f t="shared" si="39"/>
        <v>72700.864757763004</v>
      </c>
      <c r="K83" s="288">
        <v>0.99</v>
      </c>
      <c r="L83" s="285">
        <f t="shared" ref="L83:S86" si="52">L82</f>
        <v>3000000</v>
      </c>
      <c r="M83" s="341"/>
      <c r="N83" s="291">
        <f t="shared" ref="N83:O86" si="53">N82</f>
        <v>120000</v>
      </c>
      <c r="O83" s="291">
        <f t="shared" si="53"/>
        <v>190000</v>
      </c>
      <c r="P83" s="366">
        <f t="shared" si="48"/>
        <v>310000</v>
      </c>
      <c r="Q83" s="291">
        <f t="shared" si="52"/>
        <v>0</v>
      </c>
      <c r="R83" s="345"/>
      <c r="S83" s="291">
        <f t="shared" si="52"/>
        <v>0</v>
      </c>
      <c r="T83" s="345"/>
      <c r="U83" s="291">
        <v>200</v>
      </c>
      <c r="V83" s="372"/>
      <c r="W83" s="291" t="s">
        <v>1056</v>
      </c>
      <c r="X83" s="372"/>
      <c r="Y83" s="285">
        <f t="shared" si="46"/>
        <v>200</v>
      </c>
      <c r="Z83" s="291">
        <f t="shared" ref="Z83:AA86" si="54">Z82</f>
        <v>0</v>
      </c>
      <c r="AA83" s="291">
        <f t="shared" si="54"/>
        <v>94000</v>
      </c>
      <c r="AB83" s="291">
        <v>16000</v>
      </c>
      <c r="AC83" s="291" t="s">
        <v>1056</v>
      </c>
      <c r="AD83" s="345"/>
      <c r="AE83" s="285">
        <f t="shared" si="47"/>
        <v>110000</v>
      </c>
      <c r="AF83" s="287">
        <v>0</v>
      </c>
    </row>
    <row r="84" spans="1:32">
      <c r="A84" s="284" t="s">
        <v>1055</v>
      </c>
      <c r="B84" s="283" t="s">
        <v>13</v>
      </c>
      <c r="C84" s="283" t="s">
        <v>8</v>
      </c>
      <c r="D84" s="283" t="s">
        <v>1056</v>
      </c>
      <c r="E84" s="283" t="s">
        <v>1060</v>
      </c>
      <c r="F84" s="1" t="s">
        <v>4</v>
      </c>
      <c r="G84" s="1" t="s">
        <v>1062</v>
      </c>
      <c r="H84" s="285">
        <v>0</v>
      </c>
      <c r="I84" s="285">
        <f>I83</f>
        <v>2255984.782051282</v>
      </c>
      <c r="J84" s="280">
        <f t="shared" si="39"/>
        <v>72700.864757763004</v>
      </c>
      <c r="K84" s="288">
        <v>0.99</v>
      </c>
      <c r="L84" s="285">
        <f t="shared" si="52"/>
        <v>3000000</v>
      </c>
      <c r="M84" s="341"/>
      <c r="N84" s="291">
        <f t="shared" si="53"/>
        <v>120000</v>
      </c>
      <c r="O84" s="291">
        <f t="shared" si="53"/>
        <v>190000</v>
      </c>
      <c r="P84" s="366">
        <f t="shared" si="48"/>
        <v>310000</v>
      </c>
      <c r="Q84" s="291">
        <f t="shared" si="52"/>
        <v>0</v>
      </c>
      <c r="R84" s="345"/>
      <c r="S84" s="291">
        <f t="shared" si="52"/>
        <v>0</v>
      </c>
      <c r="T84" s="345"/>
      <c r="U84" s="291">
        <f>U83</f>
        <v>200</v>
      </c>
      <c r="V84" s="372"/>
      <c r="W84" s="291" t="s">
        <v>1056</v>
      </c>
      <c r="X84" s="372"/>
      <c r="Y84" s="285">
        <f t="shared" si="46"/>
        <v>200</v>
      </c>
      <c r="Z84" s="291">
        <f t="shared" si="54"/>
        <v>0</v>
      </c>
      <c r="AA84" s="291">
        <f t="shared" si="54"/>
        <v>94000</v>
      </c>
      <c r="AB84" s="291">
        <f>AB83</f>
        <v>16000</v>
      </c>
      <c r="AC84" s="291">
        <f>AC79</f>
        <v>900000</v>
      </c>
      <c r="AD84" s="363">
        <f>J84*1.2*5</f>
        <v>436205.18854657799</v>
      </c>
      <c r="AE84" s="285">
        <f t="shared" si="47"/>
        <v>1446205.1885465779</v>
      </c>
      <c r="AF84" s="287">
        <v>0</v>
      </c>
    </row>
    <row r="85" spans="1:32">
      <c r="A85" s="284" t="s">
        <v>1055</v>
      </c>
      <c r="B85" s="283" t="s">
        <v>13</v>
      </c>
      <c r="C85" s="283" t="s">
        <v>8</v>
      </c>
      <c r="D85" s="283" t="s">
        <v>1056</v>
      </c>
      <c r="E85" s="283" t="s">
        <v>1060</v>
      </c>
      <c r="F85" s="1" t="s">
        <v>4</v>
      </c>
      <c r="G85" s="1" t="s">
        <v>1063</v>
      </c>
      <c r="H85" s="285">
        <v>0</v>
      </c>
      <c r="I85" s="285">
        <f>I84</f>
        <v>2255984.782051282</v>
      </c>
      <c r="J85" s="280">
        <f t="shared" si="39"/>
        <v>72700.864757763004</v>
      </c>
      <c r="K85" s="288">
        <v>0</v>
      </c>
      <c r="L85" s="285">
        <f t="shared" si="52"/>
        <v>3000000</v>
      </c>
      <c r="M85" s="341"/>
      <c r="N85" s="291">
        <f t="shared" si="53"/>
        <v>120000</v>
      </c>
      <c r="O85" s="291">
        <f t="shared" si="53"/>
        <v>190000</v>
      </c>
      <c r="P85" s="366">
        <f t="shared" si="48"/>
        <v>310000</v>
      </c>
      <c r="Q85" s="291">
        <f t="shared" si="52"/>
        <v>0</v>
      </c>
      <c r="R85" s="345"/>
      <c r="S85" s="291">
        <f t="shared" si="52"/>
        <v>0</v>
      </c>
      <c r="T85" s="345"/>
      <c r="U85" s="291" t="s">
        <v>1056</v>
      </c>
      <c r="V85" s="372"/>
      <c r="W85" s="291">
        <f>W86</f>
        <v>54000000</v>
      </c>
      <c r="X85" s="372"/>
      <c r="Y85" s="285">
        <f t="shared" si="46"/>
        <v>54000000</v>
      </c>
      <c r="Z85" s="291">
        <f t="shared" si="54"/>
        <v>0</v>
      </c>
      <c r="AA85" s="291">
        <f t="shared" si="54"/>
        <v>94000</v>
      </c>
      <c r="AB85" s="291" t="s">
        <v>1056</v>
      </c>
      <c r="AC85" s="291" t="s">
        <v>1056</v>
      </c>
      <c r="AD85" s="345"/>
      <c r="AE85" s="285">
        <f t="shared" si="47"/>
        <v>94000</v>
      </c>
      <c r="AF85" s="287">
        <v>0</v>
      </c>
    </row>
    <row r="86" spans="1:32">
      <c r="A86" s="284" t="s">
        <v>1055</v>
      </c>
      <c r="B86" s="283" t="s">
        <v>13</v>
      </c>
      <c r="C86" s="283" t="s">
        <v>8</v>
      </c>
      <c r="D86" s="283" t="s">
        <v>1056</v>
      </c>
      <c r="E86" s="283" t="s">
        <v>1060</v>
      </c>
      <c r="F86" s="1" t="s">
        <v>4</v>
      </c>
      <c r="G86" s="1" t="s">
        <v>1064</v>
      </c>
      <c r="H86" s="285">
        <v>0</v>
      </c>
      <c r="I86" s="285">
        <f>I85</f>
        <v>2255984.782051282</v>
      </c>
      <c r="J86" s="280">
        <f t="shared" si="39"/>
        <v>72700.864757763004</v>
      </c>
      <c r="K86" s="288">
        <v>0</v>
      </c>
      <c r="L86" s="285">
        <f t="shared" si="52"/>
        <v>3000000</v>
      </c>
      <c r="M86" s="341"/>
      <c r="N86" s="291">
        <f t="shared" si="53"/>
        <v>120000</v>
      </c>
      <c r="O86" s="291">
        <f t="shared" si="53"/>
        <v>190000</v>
      </c>
      <c r="P86" s="366">
        <f t="shared" si="48"/>
        <v>310000</v>
      </c>
      <c r="Q86" s="291">
        <f t="shared" si="52"/>
        <v>0</v>
      </c>
      <c r="R86" s="345"/>
      <c r="S86" s="291">
        <f t="shared" si="52"/>
        <v>0</v>
      </c>
      <c r="T86" s="345"/>
      <c r="U86" s="291" t="s">
        <v>1056</v>
      </c>
      <c r="V86" s="372"/>
      <c r="W86" s="291">
        <v>54000000</v>
      </c>
      <c r="X86" s="372"/>
      <c r="Y86" s="285">
        <f t="shared" si="46"/>
        <v>54000000</v>
      </c>
      <c r="Z86" s="291">
        <f t="shared" si="54"/>
        <v>0</v>
      </c>
      <c r="AA86" s="291">
        <f t="shared" si="54"/>
        <v>94000</v>
      </c>
      <c r="AB86" s="291" t="s">
        <v>1056</v>
      </c>
      <c r="AC86" s="291" t="s">
        <v>1056</v>
      </c>
      <c r="AD86" s="345"/>
      <c r="AE86" s="285">
        <f t="shared" si="47"/>
        <v>94000</v>
      </c>
      <c r="AF86" s="287">
        <v>0</v>
      </c>
    </row>
    <row r="87" spans="1:32">
      <c r="A87" s="284" t="s">
        <v>1055</v>
      </c>
      <c r="B87" s="1" t="s">
        <v>15</v>
      </c>
      <c r="C87" s="283" t="s">
        <v>6</v>
      </c>
      <c r="D87" s="283" t="s">
        <v>1056</v>
      </c>
      <c r="E87" s="283" t="s">
        <v>1057</v>
      </c>
      <c r="F87" s="1" t="s">
        <v>4</v>
      </c>
      <c r="G87" s="1" t="s">
        <v>1061</v>
      </c>
      <c r="H87" s="285">
        <v>0</v>
      </c>
      <c r="I87" s="285">
        <v>156587.2535217391</v>
      </c>
      <c r="J87" s="280">
        <f t="shared" si="39"/>
        <v>5046.1460696212825</v>
      </c>
      <c r="K87" s="288">
        <v>0.35</v>
      </c>
      <c r="L87" s="285">
        <v>730000</v>
      </c>
      <c r="M87" s="341"/>
      <c r="N87" s="291">
        <v>29000</v>
      </c>
      <c r="O87" s="291">
        <v>0</v>
      </c>
      <c r="P87" s="366">
        <f t="shared" si="48"/>
        <v>29000</v>
      </c>
      <c r="Q87" s="291">
        <v>0</v>
      </c>
      <c r="R87" s="345"/>
      <c r="S87" s="291">
        <v>0</v>
      </c>
      <c r="T87" s="345"/>
      <c r="U87" s="291" t="s">
        <v>1056</v>
      </c>
      <c r="V87" s="372"/>
      <c r="W87" s="291" t="s">
        <v>1056</v>
      </c>
      <c r="X87" s="372"/>
      <c r="Y87" s="285">
        <f t="shared" si="46"/>
        <v>0</v>
      </c>
      <c r="Z87" s="291">
        <v>0</v>
      </c>
      <c r="AA87" s="291">
        <v>23000</v>
      </c>
      <c r="AB87" s="291" t="s">
        <v>1056</v>
      </c>
      <c r="AC87" s="291" t="s">
        <v>1056</v>
      </c>
      <c r="AD87" s="345"/>
      <c r="AE87" s="285">
        <f t="shared" si="47"/>
        <v>23000</v>
      </c>
      <c r="AF87" s="287">
        <v>0</v>
      </c>
    </row>
    <row r="88" spans="1:32">
      <c r="A88" s="284" t="s">
        <v>1055</v>
      </c>
      <c r="B88" s="1" t="s">
        <v>15</v>
      </c>
      <c r="C88" s="283" t="s">
        <v>6</v>
      </c>
      <c r="D88" s="283" t="s">
        <v>1056</v>
      </c>
      <c r="E88" s="283" t="s">
        <v>1057</v>
      </c>
      <c r="F88" s="1" t="s">
        <v>4</v>
      </c>
      <c r="G88" s="1" t="s">
        <v>51</v>
      </c>
      <c r="H88" s="285">
        <v>0</v>
      </c>
      <c r="I88" s="285">
        <f>I87</f>
        <v>156587.2535217391</v>
      </c>
      <c r="J88" s="280">
        <f t="shared" si="39"/>
        <v>5046.1460696212825</v>
      </c>
      <c r="K88" s="288">
        <v>0.99</v>
      </c>
      <c r="L88" s="285">
        <f t="shared" ref="L88:S91" si="55">L87</f>
        <v>730000</v>
      </c>
      <c r="M88" s="341"/>
      <c r="N88" s="291">
        <f t="shared" ref="N88:O91" si="56">N87</f>
        <v>29000</v>
      </c>
      <c r="O88" s="291">
        <f t="shared" si="56"/>
        <v>0</v>
      </c>
      <c r="P88" s="366">
        <f t="shared" si="48"/>
        <v>29000</v>
      </c>
      <c r="Q88" s="291">
        <f t="shared" si="55"/>
        <v>0</v>
      </c>
      <c r="R88" s="345"/>
      <c r="S88" s="291">
        <f t="shared" si="55"/>
        <v>0</v>
      </c>
      <c r="T88" s="345"/>
      <c r="U88" s="291">
        <v>130</v>
      </c>
      <c r="V88" s="372"/>
      <c r="W88" s="291" t="s">
        <v>1056</v>
      </c>
      <c r="X88" s="372"/>
      <c r="Y88" s="285">
        <f t="shared" si="46"/>
        <v>130</v>
      </c>
      <c r="Z88" s="291">
        <f t="shared" ref="Z88:AA91" si="57">Z87</f>
        <v>0</v>
      </c>
      <c r="AA88" s="291">
        <f t="shared" si="57"/>
        <v>23000</v>
      </c>
      <c r="AB88" s="291">
        <v>9500</v>
      </c>
      <c r="AC88" s="291" t="s">
        <v>1056</v>
      </c>
      <c r="AD88" s="345"/>
      <c r="AE88" s="285">
        <f t="shared" si="47"/>
        <v>32500</v>
      </c>
      <c r="AF88" s="287">
        <v>0</v>
      </c>
    </row>
    <row r="89" spans="1:32">
      <c r="A89" s="284" t="s">
        <v>1055</v>
      </c>
      <c r="B89" s="1" t="s">
        <v>15</v>
      </c>
      <c r="C89" s="283" t="s">
        <v>6</v>
      </c>
      <c r="D89" s="283" t="s">
        <v>1056</v>
      </c>
      <c r="E89" s="283" t="s">
        <v>1057</v>
      </c>
      <c r="F89" s="1" t="s">
        <v>4</v>
      </c>
      <c r="G89" s="1" t="s">
        <v>1062</v>
      </c>
      <c r="H89" s="285">
        <v>0</v>
      </c>
      <c r="I89" s="285">
        <f>I88</f>
        <v>156587.2535217391</v>
      </c>
      <c r="J89" s="280">
        <f t="shared" si="39"/>
        <v>5046.1460696212825</v>
      </c>
      <c r="K89" s="288">
        <v>0.99</v>
      </c>
      <c r="L89" s="285">
        <f t="shared" si="55"/>
        <v>730000</v>
      </c>
      <c r="M89" s="341"/>
      <c r="N89" s="291">
        <f t="shared" si="56"/>
        <v>29000</v>
      </c>
      <c r="O89" s="291">
        <f t="shared" si="56"/>
        <v>0</v>
      </c>
      <c r="P89" s="366">
        <f t="shared" si="48"/>
        <v>29000</v>
      </c>
      <c r="Q89" s="291">
        <f t="shared" si="55"/>
        <v>0</v>
      </c>
      <c r="R89" s="345"/>
      <c r="S89" s="291">
        <f t="shared" si="55"/>
        <v>0</v>
      </c>
      <c r="T89" s="345"/>
      <c r="U89" s="291">
        <f>U88</f>
        <v>130</v>
      </c>
      <c r="V89" s="372"/>
      <c r="W89" s="291" t="s">
        <v>1056</v>
      </c>
      <c r="X89" s="372"/>
      <c r="Y89" s="285">
        <f t="shared" si="46"/>
        <v>130</v>
      </c>
      <c r="Z89" s="291">
        <f t="shared" si="57"/>
        <v>0</v>
      </c>
      <c r="AA89" s="291">
        <f t="shared" si="57"/>
        <v>23000</v>
      </c>
      <c r="AB89" s="291">
        <f>AB88</f>
        <v>9500</v>
      </c>
      <c r="AC89" s="291">
        <f>AC84</f>
        <v>900000</v>
      </c>
      <c r="AD89" s="363">
        <f>J89*1.2*5</f>
        <v>30276.876417727693</v>
      </c>
      <c r="AE89" s="285">
        <f t="shared" si="47"/>
        <v>962776.87641772768</v>
      </c>
      <c r="AF89" s="287">
        <v>0</v>
      </c>
    </row>
    <row r="90" spans="1:32">
      <c r="A90" s="284" t="s">
        <v>1055</v>
      </c>
      <c r="B90" s="1" t="s">
        <v>15</v>
      </c>
      <c r="C90" s="283" t="s">
        <v>6</v>
      </c>
      <c r="D90" s="283" t="s">
        <v>1056</v>
      </c>
      <c r="E90" s="283" t="s">
        <v>1057</v>
      </c>
      <c r="F90" s="1" t="s">
        <v>4</v>
      </c>
      <c r="G90" s="1" t="s">
        <v>1063</v>
      </c>
      <c r="H90" s="285">
        <v>0</v>
      </c>
      <c r="I90" s="285">
        <f>I89</f>
        <v>156587.2535217391</v>
      </c>
      <c r="J90" s="280">
        <f t="shared" si="39"/>
        <v>5046.1460696212825</v>
      </c>
      <c r="K90" s="288">
        <v>0</v>
      </c>
      <c r="L90" s="285">
        <f t="shared" si="55"/>
        <v>730000</v>
      </c>
      <c r="M90" s="341"/>
      <c r="N90" s="291">
        <f t="shared" si="56"/>
        <v>29000</v>
      </c>
      <c r="O90" s="291">
        <f t="shared" si="56"/>
        <v>0</v>
      </c>
      <c r="P90" s="366">
        <f t="shared" si="48"/>
        <v>29000</v>
      </c>
      <c r="Q90" s="291">
        <f t="shared" si="55"/>
        <v>0</v>
      </c>
      <c r="R90" s="345"/>
      <c r="S90" s="291">
        <f t="shared" si="55"/>
        <v>0</v>
      </c>
      <c r="T90" s="345"/>
      <c r="U90" s="291" t="s">
        <v>1056</v>
      </c>
      <c r="V90" s="372"/>
      <c r="W90" s="291">
        <f>W91</f>
        <v>54000000</v>
      </c>
      <c r="X90" s="372"/>
      <c r="Y90" s="285">
        <f t="shared" si="46"/>
        <v>54000000</v>
      </c>
      <c r="Z90" s="291">
        <f t="shared" si="57"/>
        <v>0</v>
      </c>
      <c r="AA90" s="291">
        <f t="shared" si="57"/>
        <v>23000</v>
      </c>
      <c r="AB90" s="291" t="s">
        <v>1056</v>
      </c>
      <c r="AC90" s="291" t="s">
        <v>1056</v>
      </c>
      <c r="AD90" s="345"/>
      <c r="AE90" s="285">
        <f t="shared" si="47"/>
        <v>23000</v>
      </c>
      <c r="AF90" s="287">
        <v>0</v>
      </c>
    </row>
    <row r="91" spans="1:32">
      <c r="A91" s="284" t="s">
        <v>1055</v>
      </c>
      <c r="B91" s="1" t="s">
        <v>15</v>
      </c>
      <c r="C91" s="283" t="s">
        <v>6</v>
      </c>
      <c r="D91" s="283" t="s">
        <v>1056</v>
      </c>
      <c r="E91" s="283" t="s">
        <v>1057</v>
      </c>
      <c r="F91" s="1" t="s">
        <v>4</v>
      </c>
      <c r="G91" s="1" t="s">
        <v>1064</v>
      </c>
      <c r="H91" s="285">
        <v>0</v>
      </c>
      <c r="I91" s="285">
        <f>I90</f>
        <v>156587.2535217391</v>
      </c>
      <c r="J91" s="280">
        <f t="shared" si="39"/>
        <v>5046.1460696212825</v>
      </c>
      <c r="K91" s="288">
        <v>0</v>
      </c>
      <c r="L91" s="285">
        <f t="shared" si="55"/>
        <v>730000</v>
      </c>
      <c r="M91" s="341"/>
      <c r="N91" s="291">
        <f t="shared" si="56"/>
        <v>29000</v>
      </c>
      <c r="O91" s="291">
        <f t="shared" si="56"/>
        <v>0</v>
      </c>
      <c r="P91" s="366">
        <f t="shared" si="48"/>
        <v>29000</v>
      </c>
      <c r="Q91" s="291">
        <f t="shared" si="55"/>
        <v>0</v>
      </c>
      <c r="R91" s="345"/>
      <c r="S91" s="291">
        <f t="shared" si="55"/>
        <v>0</v>
      </c>
      <c r="T91" s="345"/>
      <c r="U91" s="291" t="s">
        <v>1056</v>
      </c>
      <c r="V91" s="372"/>
      <c r="W91" s="291">
        <v>54000000</v>
      </c>
      <c r="X91" s="372"/>
      <c r="Y91" s="285">
        <f t="shared" si="46"/>
        <v>54000000</v>
      </c>
      <c r="Z91" s="291">
        <f t="shared" si="57"/>
        <v>0</v>
      </c>
      <c r="AA91" s="291">
        <f t="shared" si="57"/>
        <v>23000</v>
      </c>
      <c r="AB91" s="291" t="s">
        <v>1056</v>
      </c>
      <c r="AC91" s="291" t="s">
        <v>1056</v>
      </c>
      <c r="AD91" s="345"/>
      <c r="AE91" s="285">
        <f t="shared" si="47"/>
        <v>23000</v>
      </c>
      <c r="AF91" s="287">
        <v>0</v>
      </c>
    </row>
    <row r="92" spans="1:32">
      <c r="A92" s="284" t="s">
        <v>1055</v>
      </c>
      <c r="B92" s="283" t="s">
        <v>15</v>
      </c>
      <c r="C92" s="283" t="s">
        <v>7</v>
      </c>
      <c r="D92" s="283" t="s">
        <v>1056</v>
      </c>
      <c r="E92" s="1" t="s">
        <v>1059</v>
      </c>
      <c r="F92" s="1" t="s">
        <v>4</v>
      </c>
      <c r="G92" s="1" t="s">
        <v>1061</v>
      </c>
      <c r="H92" s="285">
        <v>2</v>
      </c>
      <c r="I92" s="285">
        <v>306421.90986363631</v>
      </c>
      <c r="J92" s="280">
        <f t="shared" si="39"/>
        <v>9874.6844416015556</v>
      </c>
      <c r="K92" s="288">
        <v>0.35</v>
      </c>
      <c r="L92" s="285">
        <v>870000</v>
      </c>
      <c r="M92" s="341"/>
      <c r="N92" s="291">
        <v>35000</v>
      </c>
      <c r="O92" s="291">
        <v>0</v>
      </c>
      <c r="P92" s="366">
        <f t="shared" si="48"/>
        <v>35000</v>
      </c>
      <c r="Q92" s="291">
        <v>0</v>
      </c>
      <c r="R92" s="345"/>
      <c r="S92" s="291">
        <v>0</v>
      </c>
      <c r="T92" s="345"/>
      <c r="U92" s="291" t="s">
        <v>1056</v>
      </c>
      <c r="V92" s="372"/>
      <c r="W92" s="291" t="s">
        <v>1056</v>
      </c>
      <c r="X92" s="372"/>
      <c r="Y92" s="285">
        <f t="shared" si="46"/>
        <v>0</v>
      </c>
      <c r="Z92" s="291">
        <v>0</v>
      </c>
      <c r="AA92" s="291">
        <v>27000</v>
      </c>
      <c r="AB92" s="291" t="s">
        <v>1056</v>
      </c>
      <c r="AC92" s="291" t="s">
        <v>1056</v>
      </c>
      <c r="AD92" s="345"/>
      <c r="AE92" s="285">
        <f t="shared" si="47"/>
        <v>27000</v>
      </c>
      <c r="AF92" s="287">
        <v>0</v>
      </c>
    </row>
    <row r="93" spans="1:32">
      <c r="A93" s="284" t="s">
        <v>1055</v>
      </c>
      <c r="B93" s="283" t="s">
        <v>15</v>
      </c>
      <c r="C93" s="283" t="s">
        <v>7</v>
      </c>
      <c r="D93" s="283" t="s">
        <v>1056</v>
      </c>
      <c r="E93" s="1" t="s">
        <v>1059</v>
      </c>
      <c r="F93" s="1" t="s">
        <v>4</v>
      </c>
      <c r="G93" s="1" t="s">
        <v>51</v>
      </c>
      <c r="H93" s="285">
        <v>0</v>
      </c>
      <c r="I93" s="285">
        <f>I92</f>
        <v>306421.90986363631</v>
      </c>
      <c r="J93" s="280">
        <f t="shared" si="39"/>
        <v>9874.6844416015556</v>
      </c>
      <c r="K93" s="288">
        <v>0.99</v>
      </c>
      <c r="L93" s="285">
        <f t="shared" ref="L93:S96" si="58">L92</f>
        <v>870000</v>
      </c>
      <c r="M93" s="341"/>
      <c r="N93" s="291">
        <f t="shared" ref="N93:O96" si="59">N92</f>
        <v>35000</v>
      </c>
      <c r="O93" s="291">
        <f t="shared" si="59"/>
        <v>0</v>
      </c>
      <c r="P93" s="366">
        <f t="shared" si="48"/>
        <v>35000</v>
      </c>
      <c r="Q93" s="291">
        <f t="shared" si="58"/>
        <v>0</v>
      </c>
      <c r="R93" s="345"/>
      <c r="S93" s="291">
        <f t="shared" si="58"/>
        <v>0</v>
      </c>
      <c r="T93" s="345"/>
      <c r="U93" s="291">
        <v>130</v>
      </c>
      <c r="V93" s="372"/>
      <c r="W93" s="291" t="s">
        <v>1056</v>
      </c>
      <c r="X93" s="372"/>
      <c r="Y93" s="285">
        <f t="shared" si="46"/>
        <v>130</v>
      </c>
      <c r="Z93" s="291">
        <f t="shared" ref="Z93:AA96" si="60">Z92</f>
        <v>0</v>
      </c>
      <c r="AA93" s="291">
        <f t="shared" si="60"/>
        <v>27000</v>
      </c>
      <c r="AB93" s="291">
        <v>9500</v>
      </c>
      <c r="AC93" s="291" t="s">
        <v>1056</v>
      </c>
      <c r="AD93" s="345"/>
      <c r="AE93" s="285">
        <f t="shared" si="47"/>
        <v>36500</v>
      </c>
      <c r="AF93" s="287">
        <v>0</v>
      </c>
    </row>
    <row r="94" spans="1:32">
      <c r="A94" s="284" t="s">
        <v>1055</v>
      </c>
      <c r="B94" s="283" t="s">
        <v>15</v>
      </c>
      <c r="C94" s="283" t="s">
        <v>7</v>
      </c>
      <c r="D94" s="283" t="s">
        <v>1056</v>
      </c>
      <c r="E94" s="1" t="s">
        <v>1059</v>
      </c>
      <c r="F94" s="1" t="s">
        <v>4</v>
      </c>
      <c r="G94" s="1" t="s">
        <v>1062</v>
      </c>
      <c r="H94" s="285">
        <v>0</v>
      </c>
      <c r="I94" s="285">
        <f>I93</f>
        <v>306421.90986363631</v>
      </c>
      <c r="J94" s="280">
        <f t="shared" si="39"/>
        <v>9874.6844416015556</v>
      </c>
      <c r="K94" s="288">
        <v>0.99</v>
      </c>
      <c r="L94" s="285">
        <f t="shared" si="58"/>
        <v>870000</v>
      </c>
      <c r="M94" s="341"/>
      <c r="N94" s="291">
        <f t="shared" si="59"/>
        <v>35000</v>
      </c>
      <c r="O94" s="291">
        <f t="shared" si="59"/>
        <v>0</v>
      </c>
      <c r="P94" s="366">
        <f t="shared" si="48"/>
        <v>35000</v>
      </c>
      <c r="Q94" s="291">
        <f t="shared" si="58"/>
        <v>0</v>
      </c>
      <c r="R94" s="345"/>
      <c r="S94" s="291">
        <f t="shared" si="58"/>
        <v>0</v>
      </c>
      <c r="T94" s="345"/>
      <c r="U94" s="291">
        <f>U93</f>
        <v>130</v>
      </c>
      <c r="V94" s="372"/>
      <c r="W94" s="291" t="s">
        <v>1056</v>
      </c>
      <c r="X94" s="372"/>
      <c r="Y94" s="285">
        <f t="shared" si="46"/>
        <v>130</v>
      </c>
      <c r="Z94" s="291">
        <f t="shared" si="60"/>
        <v>0</v>
      </c>
      <c r="AA94" s="291">
        <f t="shared" si="60"/>
        <v>27000</v>
      </c>
      <c r="AB94" s="291">
        <f>AB93</f>
        <v>9500</v>
      </c>
      <c r="AC94" s="291">
        <f>AC89</f>
        <v>900000</v>
      </c>
      <c r="AD94" s="363">
        <f>J94*1.2*5</f>
        <v>59248.106649609334</v>
      </c>
      <c r="AE94" s="285">
        <f t="shared" si="47"/>
        <v>995748.10664960928</v>
      </c>
      <c r="AF94" s="287">
        <v>0</v>
      </c>
    </row>
    <row r="95" spans="1:32">
      <c r="A95" s="284" t="s">
        <v>1055</v>
      </c>
      <c r="B95" s="283" t="s">
        <v>15</v>
      </c>
      <c r="C95" s="283" t="s">
        <v>7</v>
      </c>
      <c r="D95" s="283" t="s">
        <v>1056</v>
      </c>
      <c r="E95" s="1" t="s">
        <v>1059</v>
      </c>
      <c r="F95" s="1" t="s">
        <v>4</v>
      </c>
      <c r="G95" s="1" t="s">
        <v>1063</v>
      </c>
      <c r="H95" s="285">
        <v>0</v>
      </c>
      <c r="I95" s="285">
        <f>I94</f>
        <v>306421.90986363631</v>
      </c>
      <c r="J95" s="280">
        <f t="shared" si="39"/>
        <v>9874.6844416015556</v>
      </c>
      <c r="K95" s="288">
        <v>0</v>
      </c>
      <c r="L95" s="285">
        <f t="shared" si="58"/>
        <v>870000</v>
      </c>
      <c r="M95" s="341"/>
      <c r="N95" s="291">
        <f t="shared" si="59"/>
        <v>35000</v>
      </c>
      <c r="O95" s="291">
        <f t="shared" si="59"/>
        <v>0</v>
      </c>
      <c r="P95" s="366">
        <f t="shared" si="48"/>
        <v>35000</v>
      </c>
      <c r="Q95" s="291">
        <f t="shared" si="58"/>
        <v>0</v>
      </c>
      <c r="R95" s="345"/>
      <c r="S95" s="291">
        <f t="shared" si="58"/>
        <v>0</v>
      </c>
      <c r="T95" s="345"/>
      <c r="U95" s="291" t="s">
        <v>1056</v>
      </c>
      <c r="V95" s="372"/>
      <c r="W95" s="291">
        <f>W96</f>
        <v>54000000</v>
      </c>
      <c r="X95" s="372"/>
      <c r="Y95" s="285">
        <f t="shared" si="46"/>
        <v>54000000</v>
      </c>
      <c r="Z95" s="291">
        <f t="shared" si="60"/>
        <v>0</v>
      </c>
      <c r="AA95" s="291">
        <f t="shared" si="60"/>
        <v>27000</v>
      </c>
      <c r="AB95" s="291" t="s">
        <v>1056</v>
      </c>
      <c r="AC95" s="291" t="s">
        <v>1056</v>
      </c>
      <c r="AD95" s="345"/>
      <c r="AE95" s="285">
        <f t="shared" si="47"/>
        <v>27000</v>
      </c>
      <c r="AF95" s="287">
        <v>0</v>
      </c>
    </row>
    <row r="96" spans="1:32">
      <c r="A96" s="284" t="s">
        <v>1055</v>
      </c>
      <c r="B96" s="283" t="s">
        <v>15</v>
      </c>
      <c r="C96" s="283" t="s">
        <v>7</v>
      </c>
      <c r="D96" s="283" t="s">
        <v>1056</v>
      </c>
      <c r="E96" s="1" t="s">
        <v>1059</v>
      </c>
      <c r="F96" s="1" t="s">
        <v>4</v>
      </c>
      <c r="G96" s="1" t="s">
        <v>1064</v>
      </c>
      <c r="H96" s="285">
        <v>0</v>
      </c>
      <c r="I96" s="285">
        <f>I95</f>
        <v>306421.90986363631</v>
      </c>
      <c r="J96" s="280">
        <f t="shared" si="39"/>
        <v>9874.6844416015556</v>
      </c>
      <c r="K96" s="288">
        <v>0</v>
      </c>
      <c r="L96" s="285">
        <f t="shared" si="58"/>
        <v>870000</v>
      </c>
      <c r="M96" s="341"/>
      <c r="N96" s="291">
        <f t="shared" si="59"/>
        <v>35000</v>
      </c>
      <c r="O96" s="291">
        <f t="shared" si="59"/>
        <v>0</v>
      </c>
      <c r="P96" s="366">
        <f t="shared" si="48"/>
        <v>35000</v>
      </c>
      <c r="Q96" s="291">
        <f t="shared" si="58"/>
        <v>0</v>
      </c>
      <c r="R96" s="345"/>
      <c r="S96" s="291">
        <f t="shared" si="58"/>
        <v>0</v>
      </c>
      <c r="T96" s="345"/>
      <c r="U96" s="291" t="s">
        <v>1056</v>
      </c>
      <c r="V96" s="372"/>
      <c r="W96" s="291">
        <v>54000000</v>
      </c>
      <c r="X96" s="372"/>
      <c r="Y96" s="285">
        <f t="shared" si="46"/>
        <v>54000000</v>
      </c>
      <c r="Z96" s="291">
        <f t="shared" si="60"/>
        <v>0</v>
      </c>
      <c r="AA96" s="291">
        <f t="shared" si="60"/>
        <v>27000</v>
      </c>
      <c r="AB96" s="291" t="s">
        <v>1056</v>
      </c>
      <c r="AC96" s="291" t="s">
        <v>1056</v>
      </c>
      <c r="AD96" s="345"/>
      <c r="AE96" s="285">
        <f t="shared" si="47"/>
        <v>27000</v>
      </c>
      <c r="AF96" s="287">
        <v>0</v>
      </c>
    </row>
    <row r="97" spans="1:32">
      <c r="A97" s="284" t="s">
        <v>1055</v>
      </c>
      <c r="B97" s="283" t="s">
        <v>15</v>
      </c>
      <c r="C97" s="283" t="s">
        <v>8</v>
      </c>
      <c r="D97" s="283" t="s">
        <v>1056</v>
      </c>
      <c r="E97" s="1" t="s">
        <v>1060</v>
      </c>
      <c r="F97" s="1" t="s">
        <v>4</v>
      </c>
      <c r="G97" s="1" t="s">
        <v>1061</v>
      </c>
      <c r="H97" s="285">
        <v>3</v>
      </c>
      <c r="I97" s="285">
        <v>1345178.1924333333</v>
      </c>
      <c r="J97" s="280">
        <f t="shared" si="39"/>
        <v>43349.413799797883</v>
      </c>
      <c r="K97" s="288">
        <v>0.35</v>
      </c>
      <c r="L97" s="285">
        <v>2100000</v>
      </c>
      <c r="M97" s="341"/>
      <c r="N97" s="291">
        <v>83000</v>
      </c>
      <c r="O97" s="291">
        <v>0</v>
      </c>
      <c r="P97" s="366">
        <f t="shared" si="48"/>
        <v>83000</v>
      </c>
      <c r="Q97" s="291">
        <v>0</v>
      </c>
      <c r="R97" s="345"/>
      <c r="S97" s="291">
        <v>0</v>
      </c>
      <c r="T97" s="345"/>
      <c r="U97" s="291" t="s">
        <v>1056</v>
      </c>
      <c r="V97" s="372"/>
      <c r="W97" s="291" t="s">
        <v>1056</v>
      </c>
      <c r="X97" s="372"/>
      <c r="Y97" s="285">
        <f t="shared" si="46"/>
        <v>0</v>
      </c>
      <c r="Z97" s="291">
        <v>0</v>
      </c>
      <c r="AA97" s="291">
        <v>65000</v>
      </c>
      <c r="AB97" s="291" t="s">
        <v>1056</v>
      </c>
      <c r="AC97" s="291" t="s">
        <v>1056</v>
      </c>
      <c r="AD97" s="345"/>
      <c r="AE97" s="285">
        <f t="shared" si="47"/>
        <v>65000</v>
      </c>
      <c r="AF97" s="287">
        <v>0</v>
      </c>
    </row>
    <row r="98" spans="1:32">
      <c r="A98" s="284" t="s">
        <v>1055</v>
      </c>
      <c r="B98" s="283" t="s">
        <v>15</v>
      </c>
      <c r="C98" s="283" t="s">
        <v>8</v>
      </c>
      <c r="D98" s="283" t="s">
        <v>1056</v>
      </c>
      <c r="E98" s="283" t="s">
        <v>1060</v>
      </c>
      <c r="F98" s="1" t="s">
        <v>4</v>
      </c>
      <c r="G98" s="1" t="s">
        <v>51</v>
      </c>
      <c r="H98" s="285">
        <v>0</v>
      </c>
      <c r="I98" s="285">
        <f>I97</f>
        <v>1345178.1924333333</v>
      </c>
      <c r="J98" s="280">
        <f t="shared" si="39"/>
        <v>43349.413799797883</v>
      </c>
      <c r="K98" s="288">
        <v>0.99</v>
      </c>
      <c r="L98" s="285">
        <f t="shared" ref="L98:S101" si="61">L97</f>
        <v>2100000</v>
      </c>
      <c r="M98" s="341"/>
      <c r="N98" s="291">
        <f t="shared" ref="N98:O101" si="62">N97</f>
        <v>83000</v>
      </c>
      <c r="O98" s="291">
        <f t="shared" si="62"/>
        <v>0</v>
      </c>
      <c r="P98" s="366">
        <f t="shared" si="48"/>
        <v>83000</v>
      </c>
      <c r="Q98" s="291">
        <f t="shared" si="61"/>
        <v>0</v>
      </c>
      <c r="R98" s="345"/>
      <c r="S98" s="291">
        <f t="shared" si="61"/>
        <v>0</v>
      </c>
      <c r="T98" s="345"/>
      <c r="U98" s="291">
        <v>200</v>
      </c>
      <c r="V98" s="372"/>
      <c r="W98" s="291" t="s">
        <v>1056</v>
      </c>
      <c r="X98" s="372"/>
      <c r="Y98" s="285">
        <f t="shared" si="46"/>
        <v>200</v>
      </c>
      <c r="Z98" s="291">
        <f t="shared" ref="Z98:AA101" si="63">Z97</f>
        <v>0</v>
      </c>
      <c r="AA98" s="291">
        <f t="shared" si="63"/>
        <v>65000</v>
      </c>
      <c r="AB98" s="291">
        <v>16000</v>
      </c>
      <c r="AC98" s="291" t="s">
        <v>1056</v>
      </c>
      <c r="AD98" s="345"/>
      <c r="AE98" s="285">
        <f t="shared" si="47"/>
        <v>81000</v>
      </c>
      <c r="AF98" s="287">
        <v>0</v>
      </c>
    </row>
    <row r="99" spans="1:32">
      <c r="A99" s="284" t="s">
        <v>1055</v>
      </c>
      <c r="B99" s="283" t="s">
        <v>15</v>
      </c>
      <c r="C99" s="283" t="s">
        <v>8</v>
      </c>
      <c r="D99" s="283" t="s">
        <v>1056</v>
      </c>
      <c r="E99" s="283" t="s">
        <v>1060</v>
      </c>
      <c r="F99" s="1" t="s">
        <v>4</v>
      </c>
      <c r="G99" s="1" t="s">
        <v>1062</v>
      </c>
      <c r="H99" s="285">
        <v>0</v>
      </c>
      <c r="I99" s="285">
        <f>I98</f>
        <v>1345178.1924333333</v>
      </c>
      <c r="J99" s="280">
        <f t="shared" si="39"/>
        <v>43349.413799797883</v>
      </c>
      <c r="K99" s="288">
        <v>0.99</v>
      </c>
      <c r="L99" s="285">
        <f t="shared" si="61"/>
        <v>2100000</v>
      </c>
      <c r="M99" s="341"/>
      <c r="N99" s="291">
        <f t="shared" si="62"/>
        <v>83000</v>
      </c>
      <c r="O99" s="291">
        <f t="shared" si="62"/>
        <v>0</v>
      </c>
      <c r="P99" s="366">
        <f t="shared" si="48"/>
        <v>83000</v>
      </c>
      <c r="Q99" s="291">
        <f t="shared" si="61"/>
        <v>0</v>
      </c>
      <c r="R99" s="345"/>
      <c r="S99" s="291">
        <f t="shared" si="61"/>
        <v>0</v>
      </c>
      <c r="T99" s="345"/>
      <c r="U99" s="291">
        <f>U98</f>
        <v>200</v>
      </c>
      <c r="V99" s="372"/>
      <c r="W99" s="291" t="s">
        <v>1056</v>
      </c>
      <c r="X99" s="372"/>
      <c r="Y99" s="285">
        <f t="shared" si="46"/>
        <v>200</v>
      </c>
      <c r="Z99" s="291">
        <f t="shared" si="63"/>
        <v>0</v>
      </c>
      <c r="AA99" s="291">
        <f t="shared" si="63"/>
        <v>65000</v>
      </c>
      <c r="AB99" s="291">
        <f>AB98</f>
        <v>16000</v>
      </c>
      <c r="AC99" s="291">
        <f>AC94</f>
        <v>900000</v>
      </c>
      <c r="AD99" s="363">
        <f>J99*1.2*5</f>
        <v>260096.4827987873</v>
      </c>
      <c r="AE99" s="285">
        <f t="shared" si="47"/>
        <v>1241096.4827987873</v>
      </c>
      <c r="AF99" s="287">
        <v>0</v>
      </c>
    </row>
    <row r="100" spans="1:32">
      <c r="A100" s="284" t="s">
        <v>1055</v>
      </c>
      <c r="B100" s="283" t="s">
        <v>15</v>
      </c>
      <c r="C100" s="283" t="s">
        <v>8</v>
      </c>
      <c r="D100" s="283" t="s">
        <v>1056</v>
      </c>
      <c r="E100" s="283" t="s">
        <v>1060</v>
      </c>
      <c r="F100" s="1" t="s">
        <v>4</v>
      </c>
      <c r="G100" s="1" t="s">
        <v>1063</v>
      </c>
      <c r="H100" s="285">
        <v>0</v>
      </c>
      <c r="I100" s="285">
        <f>I99</f>
        <v>1345178.1924333333</v>
      </c>
      <c r="J100" s="280">
        <f t="shared" si="39"/>
        <v>43349.413799797883</v>
      </c>
      <c r="K100" s="288">
        <v>0</v>
      </c>
      <c r="L100" s="285">
        <f t="shared" si="61"/>
        <v>2100000</v>
      </c>
      <c r="M100" s="341"/>
      <c r="N100" s="291">
        <f t="shared" si="62"/>
        <v>83000</v>
      </c>
      <c r="O100" s="291">
        <f t="shared" si="62"/>
        <v>0</v>
      </c>
      <c r="P100" s="366">
        <f t="shared" si="48"/>
        <v>83000</v>
      </c>
      <c r="Q100" s="291">
        <f t="shared" si="61"/>
        <v>0</v>
      </c>
      <c r="R100" s="345"/>
      <c r="S100" s="291">
        <f t="shared" si="61"/>
        <v>0</v>
      </c>
      <c r="T100" s="345"/>
      <c r="U100" s="291" t="s">
        <v>1056</v>
      </c>
      <c r="V100" s="372"/>
      <c r="W100" s="291">
        <f>W101</f>
        <v>54000000</v>
      </c>
      <c r="X100" s="372"/>
      <c r="Y100" s="285">
        <f t="shared" si="46"/>
        <v>54000000</v>
      </c>
      <c r="Z100" s="291">
        <f t="shared" si="63"/>
        <v>0</v>
      </c>
      <c r="AA100" s="291">
        <f t="shared" si="63"/>
        <v>65000</v>
      </c>
      <c r="AB100" s="291" t="s">
        <v>1056</v>
      </c>
      <c r="AC100" s="291" t="s">
        <v>1056</v>
      </c>
      <c r="AD100" s="345"/>
      <c r="AE100" s="285">
        <f t="shared" si="47"/>
        <v>65000</v>
      </c>
      <c r="AF100" s="287">
        <v>0</v>
      </c>
    </row>
    <row r="101" spans="1:32">
      <c r="A101" s="284" t="s">
        <v>1055</v>
      </c>
      <c r="B101" s="283" t="s">
        <v>15</v>
      </c>
      <c r="C101" s="283" t="s">
        <v>8</v>
      </c>
      <c r="D101" s="283" t="s">
        <v>1056</v>
      </c>
      <c r="E101" s="283" t="s">
        <v>1060</v>
      </c>
      <c r="F101" s="1" t="s">
        <v>4</v>
      </c>
      <c r="G101" s="1" t="s">
        <v>1064</v>
      </c>
      <c r="H101" s="285">
        <v>0</v>
      </c>
      <c r="I101" s="285">
        <f>I100</f>
        <v>1345178.1924333333</v>
      </c>
      <c r="J101" s="280">
        <f t="shared" si="39"/>
        <v>43349.413799797883</v>
      </c>
      <c r="K101" s="288">
        <v>0</v>
      </c>
      <c r="L101" s="285">
        <f t="shared" si="61"/>
        <v>2100000</v>
      </c>
      <c r="M101" s="341"/>
      <c r="N101" s="291">
        <f t="shared" si="62"/>
        <v>83000</v>
      </c>
      <c r="O101" s="291">
        <f t="shared" si="62"/>
        <v>0</v>
      </c>
      <c r="P101" s="366">
        <f t="shared" si="48"/>
        <v>83000</v>
      </c>
      <c r="Q101" s="291">
        <f t="shared" si="61"/>
        <v>0</v>
      </c>
      <c r="R101" s="345"/>
      <c r="S101" s="291">
        <f t="shared" si="61"/>
        <v>0</v>
      </c>
      <c r="T101" s="345"/>
      <c r="U101" s="291" t="s">
        <v>1056</v>
      </c>
      <c r="V101" s="372"/>
      <c r="W101" s="291">
        <v>54000000</v>
      </c>
      <c r="X101" s="372"/>
      <c r="Y101" s="285">
        <f t="shared" si="46"/>
        <v>54000000</v>
      </c>
      <c r="Z101" s="291">
        <f t="shared" si="63"/>
        <v>0</v>
      </c>
      <c r="AA101" s="291">
        <f t="shared" si="63"/>
        <v>65000</v>
      </c>
      <c r="AB101" s="291" t="s">
        <v>1056</v>
      </c>
      <c r="AC101" s="291" t="s">
        <v>1056</v>
      </c>
      <c r="AD101" s="345"/>
      <c r="AE101" s="285">
        <f t="shared" si="47"/>
        <v>65000</v>
      </c>
      <c r="AF101" s="287">
        <v>0</v>
      </c>
    </row>
    <row r="102" spans="1:32">
      <c r="A102" s="284" t="s">
        <v>1055</v>
      </c>
      <c r="B102" s="1" t="s">
        <v>16</v>
      </c>
      <c r="C102" s="283" t="s">
        <v>6</v>
      </c>
      <c r="D102" s="283" t="s">
        <v>1056</v>
      </c>
      <c r="E102" s="283" t="s">
        <v>1057</v>
      </c>
      <c r="F102" s="1" t="s">
        <v>4</v>
      </c>
      <c r="G102" s="1" t="s">
        <v>1061</v>
      </c>
      <c r="H102" s="285">
        <v>0</v>
      </c>
      <c r="I102" s="285">
        <v>72065.531914893611</v>
      </c>
      <c r="J102" s="280">
        <f t="shared" si="39"/>
        <v>2322.3678329412764</v>
      </c>
      <c r="K102" s="288">
        <v>0.35</v>
      </c>
      <c r="L102" s="285">
        <v>700000</v>
      </c>
      <c r="M102" s="341"/>
      <c r="N102" s="291">
        <v>28000</v>
      </c>
      <c r="O102" s="291">
        <v>45000</v>
      </c>
      <c r="P102" s="366">
        <f t="shared" si="48"/>
        <v>73000</v>
      </c>
      <c r="Q102" s="291">
        <v>0</v>
      </c>
      <c r="R102" s="345"/>
      <c r="S102" s="291">
        <v>0</v>
      </c>
      <c r="T102" s="345"/>
      <c r="U102" s="291" t="s">
        <v>1056</v>
      </c>
      <c r="V102" s="372"/>
      <c r="W102" s="291" t="s">
        <v>1056</v>
      </c>
      <c r="X102" s="372"/>
      <c r="Y102" s="285">
        <f t="shared" si="46"/>
        <v>0</v>
      </c>
      <c r="Z102" s="291">
        <v>0</v>
      </c>
      <c r="AA102" s="291">
        <v>22000</v>
      </c>
      <c r="AB102" s="291" t="s">
        <v>1056</v>
      </c>
      <c r="AC102" s="291" t="s">
        <v>1056</v>
      </c>
      <c r="AD102" s="345"/>
      <c r="AE102" s="285">
        <f t="shared" si="47"/>
        <v>22000</v>
      </c>
      <c r="AF102" s="287">
        <v>0</v>
      </c>
    </row>
    <row r="103" spans="1:32">
      <c r="A103" s="284" t="s">
        <v>1055</v>
      </c>
      <c r="B103" s="1" t="s">
        <v>16</v>
      </c>
      <c r="C103" s="283" t="s">
        <v>6</v>
      </c>
      <c r="D103" s="283" t="s">
        <v>1056</v>
      </c>
      <c r="E103" s="283" t="s">
        <v>1057</v>
      </c>
      <c r="F103" s="1" t="s">
        <v>4</v>
      </c>
      <c r="G103" s="1" t="s">
        <v>51</v>
      </c>
      <c r="H103" s="285">
        <v>0</v>
      </c>
      <c r="I103" s="285">
        <f>I102</f>
        <v>72065.531914893611</v>
      </c>
      <c r="J103" s="280">
        <f t="shared" si="39"/>
        <v>2322.3678329412764</v>
      </c>
      <c r="K103" s="288">
        <v>0.99</v>
      </c>
      <c r="L103" s="285">
        <f t="shared" ref="L103:S106" si="64">L102</f>
        <v>700000</v>
      </c>
      <c r="M103" s="341"/>
      <c r="N103" s="291">
        <f t="shared" ref="N103:O106" si="65">N102</f>
        <v>28000</v>
      </c>
      <c r="O103" s="291">
        <f t="shared" si="65"/>
        <v>45000</v>
      </c>
      <c r="P103" s="366">
        <f t="shared" si="48"/>
        <v>73000</v>
      </c>
      <c r="Q103" s="291">
        <f t="shared" si="64"/>
        <v>0</v>
      </c>
      <c r="R103" s="345"/>
      <c r="S103" s="291">
        <f t="shared" si="64"/>
        <v>0</v>
      </c>
      <c r="T103" s="345"/>
      <c r="U103" s="291">
        <v>130</v>
      </c>
      <c r="V103" s="372"/>
      <c r="W103" s="291" t="s">
        <v>1056</v>
      </c>
      <c r="X103" s="372"/>
      <c r="Y103" s="285">
        <f t="shared" si="46"/>
        <v>130</v>
      </c>
      <c r="Z103" s="291">
        <f t="shared" ref="Z103:AA106" si="66">Z102</f>
        <v>0</v>
      </c>
      <c r="AA103" s="291">
        <f t="shared" si="66"/>
        <v>22000</v>
      </c>
      <c r="AB103" s="291">
        <v>9500</v>
      </c>
      <c r="AC103" s="291" t="s">
        <v>1056</v>
      </c>
      <c r="AD103" s="345"/>
      <c r="AE103" s="285">
        <f t="shared" si="47"/>
        <v>31500</v>
      </c>
      <c r="AF103" s="287">
        <v>0</v>
      </c>
    </row>
    <row r="104" spans="1:32">
      <c r="A104" s="284" t="s">
        <v>1055</v>
      </c>
      <c r="B104" s="1" t="s">
        <v>16</v>
      </c>
      <c r="C104" s="283" t="s">
        <v>6</v>
      </c>
      <c r="D104" s="283" t="s">
        <v>1056</v>
      </c>
      <c r="E104" s="283" t="s">
        <v>1057</v>
      </c>
      <c r="F104" s="1" t="s">
        <v>4</v>
      </c>
      <c r="G104" s="1" t="s">
        <v>1062</v>
      </c>
      <c r="H104" s="285">
        <v>0</v>
      </c>
      <c r="I104" s="285">
        <f>I103</f>
        <v>72065.531914893611</v>
      </c>
      <c r="J104" s="280">
        <f t="shared" si="39"/>
        <v>2322.3678329412764</v>
      </c>
      <c r="K104" s="288">
        <v>0.99</v>
      </c>
      <c r="L104" s="285">
        <f t="shared" si="64"/>
        <v>700000</v>
      </c>
      <c r="M104" s="341"/>
      <c r="N104" s="291">
        <f t="shared" si="65"/>
        <v>28000</v>
      </c>
      <c r="O104" s="291">
        <f t="shared" si="65"/>
        <v>45000</v>
      </c>
      <c r="P104" s="366">
        <f t="shared" si="48"/>
        <v>73000</v>
      </c>
      <c r="Q104" s="291">
        <f t="shared" si="64"/>
        <v>0</v>
      </c>
      <c r="R104" s="345"/>
      <c r="S104" s="291">
        <f t="shared" si="64"/>
        <v>0</v>
      </c>
      <c r="T104" s="345"/>
      <c r="U104" s="291">
        <f>U103</f>
        <v>130</v>
      </c>
      <c r="V104" s="372"/>
      <c r="W104" s="291" t="s">
        <v>1056</v>
      </c>
      <c r="X104" s="372"/>
      <c r="Y104" s="285">
        <f t="shared" si="46"/>
        <v>130</v>
      </c>
      <c r="Z104" s="291">
        <f t="shared" si="66"/>
        <v>0</v>
      </c>
      <c r="AA104" s="291">
        <f t="shared" si="66"/>
        <v>22000</v>
      </c>
      <c r="AB104" s="291">
        <f>AB103</f>
        <v>9500</v>
      </c>
      <c r="AC104" s="291">
        <f>AC99</f>
        <v>900000</v>
      </c>
      <c r="AD104" s="363">
        <f>J104*1.2*5</f>
        <v>13934.20699764766</v>
      </c>
      <c r="AE104" s="285">
        <f t="shared" si="47"/>
        <v>945434.20699764765</v>
      </c>
      <c r="AF104" s="287">
        <v>0</v>
      </c>
    </row>
    <row r="105" spans="1:32">
      <c r="A105" s="284" t="s">
        <v>1055</v>
      </c>
      <c r="B105" s="1" t="s">
        <v>16</v>
      </c>
      <c r="C105" s="283" t="s">
        <v>6</v>
      </c>
      <c r="D105" s="283" t="s">
        <v>1056</v>
      </c>
      <c r="E105" s="283" t="s">
        <v>1057</v>
      </c>
      <c r="F105" s="1" t="s">
        <v>4</v>
      </c>
      <c r="G105" s="1" t="s">
        <v>1063</v>
      </c>
      <c r="H105" s="285">
        <v>0</v>
      </c>
      <c r="I105" s="285">
        <f>I104</f>
        <v>72065.531914893611</v>
      </c>
      <c r="J105" s="280">
        <f t="shared" si="39"/>
        <v>2322.3678329412764</v>
      </c>
      <c r="K105" s="288">
        <v>0</v>
      </c>
      <c r="L105" s="285">
        <f t="shared" si="64"/>
        <v>700000</v>
      </c>
      <c r="M105" s="341"/>
      <c r="N105" s="291">
        <f t="shared" si="65"/>
        <v>28000</v>
      </c>
      <c r="O105" s="291">
        <f t="shared" si="65"/>
        <v>45000</v>
      </c>
      <c r="P105" s="366">
        <f t="shared" si="48"/>
        <v>73000</v>
      </c>
      <c r="Q105" s="291">
        <f t="shared" si="64"/>
        <v>0</v>
      </c>
      <c r="R105" s="345"/>
      <c r="S105" s="291">
        <f t="shared" si="64"/>
        <v>0</v>
      </c>
      <c r="T105" s="345"/>
      <c r="U105" s="291" t="s">
        <v>1056</v>
      </c>
      <c r="V105" s="372"/>
      <c r="W105" s="291">
        <f>W106</f>
        <v>54000000</v>
      </c>
      <c r="X105" s="372"/>
      <c r="Y105" s="285">
        <f t="shared" si="46"/>
        <v>54000000</v>
      </c>
      <c r="Z105" s="291">
        <f t="shared" si="66"/>
        <v>0</v>
      </c>
      <c r="AA105" s="291">
        <f t="shared" si="66"/>
        <v>22000</v>
      </c>
      <c r="AB105" s="291" t="s">
        <v>1056</v>
      </c>
      <c r="AC105" s="291" t="s">
        <v>1056</v>
      </c>
      <c r="AD105" s="345"/>
      <c r="AE105" s="285">
        <f t="shared" si="47"/>
        <v>22000</v>
      </c>
      <c r="AF105" s="287">
        <v>0</v>
      </c>
    </row>
    <row r="106" spans="1:32">
      <c r="A106" s="284" t="s">
        <v>1055</v>
      </c>
      <c r="B106" s="1" t="s">
        <v>16</v>
      </c>
      <c r="C106" s="283" t="s">
        <v>6</v>
      </c>
      <c r="D106" s="283" t="s">
        <v>1056</v>
      </c>
      <c r="E106" s="283" t="s">
        <v>1057</v>
      </c>
      <c r="F106" s="1" t="s">
        <v>4</v>
      </c>
      <c r="G106" s="1" t="s">
        <v>1064</v>
      </c>
      <c r="H106" s="285">
        <v>0</v>
      </c>
      <c r="I106" s="285">
        <f>I105</f>
        <v>72065.531914893611</v>
      </c>
      <c r="J106" s="280">
        <f t="shared" si="39"/>
        <v>2322.3678329412764</v>
      </c>
      <c r="K106" s="288">
        <v>0</v>
      </c>
      <c r="L106" s="285">
        <f t="shared" si="64"/>
        <v>700000</v>
      </c>
      <c r="M106" s="341"/>
      <c r="N106" s="291">
        <f t="shared" si="65"/>
        <v>28000</v>
      </c>
      <c r="O106" s="291">
        <f t="shared" si="65"/>
        <v>45000</v>
      </c>
      <c r="P106" s="366">
        <f t="shared" si="48"/>
        <v>73000</v>
      </c>
      <c r="Q106" s="291">
        <f t="shared" si="64"/>
        <v>0</v>
      </c>
      <c r="R106" s="345"/>
      <c r="S106" s="291">
        <f t="shared" si="64"/>
        <v>0</v>
      </c>
      <c r="T106" s="345"/>
      <c r="U106" s="291" t="s">
        <v>1056</v>
      </c>
      <c r="V106" s="372"/>
      <c r="W106" s="291">
        <v>54000000</v>
      </c>
      <c r="X106" s="372"/>
      <c r="Y106" s="285">
        <f t="shared" si="46"/>
        <v>54000000</v>
      </c>
      <c r="Z106" s="291">
        <f t="shared" si="66"/>
        <v>0</v>
      </c>
      <c r="AA106" s="291">
        <f t="shared" si="66"/>
        <v>22000</v>
      </c>
      <c r="AB106" s="291" t="s">
        <v>1056</v>
      </c>
      <c r="AC106" s="291" t="s">
        <v>1056</v>
      </c>
      <c r="AD106" s="345"/>
      <c r="AE106" s="285">
        <f t="shared" si="47"/>
        <v>22000</v>
      </c>
      <c r="AF106" s="287">
        <v>0</v>
      </c>
    </row>
    <row r="107" spans="1:32">
      <c r="A107" s="284" t="s">
        <v>1055</v>
      </c>
      <c r="B107" s="283" t="s">
        <v>16</v>
      </c>
      <c r="C107" s="283" t="s">
        <v>7</v>
      </c>
      <c r="D107" s="283" t="s">
        <v>1056</v>
      </c>
      <c r="E107" s="1" t="s">
        <v>1059</v>
      </c>
      <c r="F107" s="1" t="s">
        <v>4</v>
      </c>
      <c r="G107" s="1" t="s">
        <v>1061</v>
      </c>
      <c r="H107" s="285">
        <v>0</v>
      </c>
      <c r="I107" s="285">
        <v>141934.78095238094</v>
      </c>
      <c r="J107" s="280">
        <f t="shared" si="39"/>
        <v>4573.9587414500575</v>
      </c>
      <c r="K107" s="288">
        <v>0.35</v>
      </c>
      <c r="L107" s="285">
        <v>820000</v>
      </c>
      <c r="M107" s="341"/>
      <c r="N107" s="291">
        <v>33000</v>
      </c>
      <c r="O107" s="291">
        <v>53000</v>
      </c>
      <c r="P107" s="366">
        <f t="shared" si="48"/>
        <v>86000</v>
      </c>
      <c r="Q107" s="291">
        <v>0</v>
      </c>
      <c r="R107" s="345"/>
      <c r="S107" s="291">
        <v>0</v>
      </c>
      <c r="T107" s="345"/>
      <c r="U107" s="291" t="s">
        <v>1056</v>
      </c>
      <c r="V107" s="372"/>
      <c r="W107" s="291" t="s">
        <v>1056</v>
      </c>
      <c r="X107" s="372"/>
      <c r="Y107" s="285">
        <f t="shared" si="46"/>
        <v>0</v>
      </c>
      <c r="Z107" s="291">
        <v>0</v>
      </c>
      <c r="AA107" s="291">
        <v>26000</v>
      </c>
      <c r="AB107" s="291" t="s">
        <v>1056</v>
      </c>
      <c r="AC107" s="291" t="s">
        <v>1056</v>
      </c>
      <c r="AD107" s="345"/>
      <c r="AE107" s="285">
        <f t="shared" si="47"/>
        <v>26000</v>
      </c>
      <c r="AF107" s="287">
        <v>0</v>
      </c>
    </row>
    <row r="108" spans="1:32">
      <c r="A108" s="284" t="s">
        <v>1055</v>
      </c>
      <c r="B108" s="283" t="s">
        <v>16</v>
      </c>
      <c r="C108" s="283" t="s">
        <v>7</v>
      </c>
      <c r="D108" s="283" t="s">
        <v>1056</v>
      </c>
      <c r="E108" s="1" t="s">
        <v>1059</v>
      </c>
      <c r="F108" s="1" t="s">
        <v>4</v>
      </c>
      <c r="G108" s="1" t="s">
        <v>51</v>
      </c>
      <c r="H108" s="285">
        <v>0</v>
      </c>
      <c r="I108" s="285">
        <f>I107</f>
        <v>141934.78095238094</v>
      </c>
      <c r="J108" s="280">
        <f t="shared" si="39"/>
        <v>4573.9587414500575</v>
      </c>
      <c r="K108" s="288">
        <v>0.99</v>
      </c>
      <c r="L108" s="285">
        <f t="shared" ref="L108:S111" si="67">L107</f>
        <v>820000</v>
      </c>
      <c r="M108" s="341"/>
      <c r="N108" s="291">
        <f t="shared" ref="N108:O111" si="68">N107</f>
        <v>33000</v>
      </c>
      <c r="O108" s="291">
        <f t="shared" si="68"/>
        <v>53000</v>
      </c>
      <c r="P108" s="366">
        <f t="shared" si="48"/>
        <v>86000</v>
      </c>
      <c r="Q108" s="291">
        <f t="shared" si="67"/>
        <v>0</v>
      </c>
      <c r="R108" s="345"/>
      <c r="S108" s="291">
        <f t="shared" si="67"/>
        <v>0</v>
      </c>
      <c r="T108" s="345"/>
      <c r="U108" s="291">
        <v>130</v>
      </c>
      <c r="V108" s="372"/>
      <c r="W108" s="291" t="s">
        <v>1056</v>
      </c>
      <c r="X108" s="372"/>
      <c r="Y108" s="285">
        <f t="shared" ref="Y108:Y116" si="69">SUM(Q108:W108)</f>
        <v>130</v>
      </c>
      <c r="Z108" s="291">
        <f t="shared" ref="Z108:AA111" si="70">Z107</f>
        <v>0</v>
      </c>
      <c r="AA108" s="291">
        <f t="shared" si="70"/>
        <v>26000</v>
      </c>
      <c r="AB108" s="291">
        <v>9500</v>
      </c>
      <c r="AC108" s="291" t="s">
        <v>1056</v>
      </c>
      <c r="AD108" s="345"/>
      <c r="AE108" s="285">
        <f t="shared" ref="AE108:AE116" si="71">SUM(Z108:AD108)</f>
        <v>35500</v>
      </c>
      <c r="AF108" s="287">
        <v>0</v>
      </c>
    </row>
    <row r="109" spans="1:32">
      <c r="A109" s="284" t="s">
        <v>1055</v>
      </c>
      <c r="B109" s="283" t="s">
        <v>16</v>
      </c>
      <c r="C109" s="283" t="s">
        <v>7</v>
      </c>
      <c r="D109" s="283" t="s">
        <v>1056</v>
      </c>
      <c r="E109" s="1" t="s">
        <v>1059</v>
      </c>
      <c r="F109" s="1" t="s">
        <v>4</v>
      </c>
      <c r="G109" s="1" t="s">
        <v>1062</v>
      </c>
      <c r="H109" s="285">
        <v>0</v>
      </c>
      <c r="I109" s="285">
        <f>I108</f>
        <v>141934.78095238094</v>
      </c>
      <c r="J109" s="280">
        <f t="shared" si="39"/>
        <v>4573.9587414500575</v>
      </c>
      <c r="K109" s="288">
        <v>0.99</v>
      </c>
      <c r="L109" s="285">
        <f t="shared" si="67"/>
        <v>820000</v>
      </c>
      <c r="M109" s="341"/>
      <c r="N109" s="291">
        <f t="shared" si="68"/>
        <v>33000</v>
      </c>
      <c r="O109" s="291">
        <f t="shared" si="68"/>
        <v>53000</v>
      </c>
      <c r="P109" s="366">
        <f t="shared" si="48"/>
        <v>86000</v>
      </c>
      <c r="Q109" s="291">
        <f t="shared" si="67"/>
        <v>0</v>
      </c>
      <c r="R109" s="345"/>
      <c r="S109" s="291">
        <f t="shared" si="67"/>
        <v>0</v>
      </c>
      <c r="T109" s="345"/>
      <c r="U109" s="291">
        <f>U108</f>
        <v>130</v>
      </c>
      <c r="V109" s="372"/>
      <c r="W109" s="291" t="s">
        <v>1056</v>
      </c>
      <c r="X109" s="372"/>
      <c r="Y109" s="285">
        <f t="shared" si="69"/>
        <v>130</v>
      </c>
      <c r="Z109" s="291">
        <f t="shared" si="70"/>
        <v>0</v>
      </c>
      <c r="AA109" s="291">
        <f t="shared" si="70"/>
        <v>26000</v>
      </c>
      <c r="AB109" s="291">
        <f>AB108</f>
        <v>9500</v>
      </c>
      <c r="AC109" s="291">
        <f>AC104</f>
        <v>900000</v>
      </c>
      <c r="AD109" s="363">
        <f>J109*1.2*5</f>
        <v>27443.752448700343</v>
      </c>
      <c r="AE109" s="285">
        <f t="shared" si="71"/>
        <v>962943.75244870037</v>
      </c>
      <c r="AF109" s="287">
        <v>0</v>
      </c>
    </row>
    <row r="110" spans="1:32">
      <c r="A110" s="284" t="s">
        <v>1055</v>
      </c>
      <c r="B110" s="283" t="s">
        <v>16</v>
      </c>
      <c r="C110" s="283" t="s">
        <v>7</v>
      </c>
      <c r="D110" s="283" t="s">
        <v>1056</v>
      </c>
      <c r="E110" s="1" t="s">
        <v>1059</v>
      </c>
      <c r="F110" s="1" t="s">
        <v>4</v>
      </c>
      <c r="G110" s="1" t="s">
        <v>1063</v>
      </c>
      <c r="H110" s="285">
        <v>0</v>
      </c>
      <c r="I110" s="285">
        <f>I109</f>
        <v>141934.78095238094</v>
      </c>
      <c r="J110" s="280">
        <f t="shared" si="39"/>
        <v>4573.9587414500575</v>
      </c>
      <c r="K110" s="288">
        <v>0</v>
      </c>
      <c r="L110" s="285">
        <f t="shared" si="67"/>
        <v>820000</v>
      </c>
      <c r="M110" s="341"/>
      <c r="N110" s="291">
        <f t="shared" si="68"/>
        <v>33000</v>
      </c>
      <c r="O110" s="291">
        <f t="shared" si="68"/>
        <v>53000</v>
      </c>
      <c r="P110" s="366">
        <f t="shared" si="48"/>
        <v>86000</v>
      </c>
      <c r="Q110" s="291">
        <f t="shared" si="67"/>
        <v>0</v>
      </c>
      <c r="R110" s="345"/>
      <c r="S110" s="291">
        <f t="shared" si="67"/>
        <v>0</v>
      </c>
      <c r="T110" s="345"/>
      <c r="U110" s="291" t="s">
        <v>1056</v>
      </c>
      <c r="V110" s="372"/>
      <c r="W110" s="291">
        <f>W111</f>
        <v>54000000</v>
      </c>
      <c r="X110" s="372"/>
      <c r="Y110" s="285">
        <f t="shared" si="69"/>
        <v>54000000</v>
      </c>
      <c r="Z110" s="291">
        <f t="shared" si="70"/>
        <v>0</v>
      </c>
      <c r="AA110" s="291">
        <f t="shared" si="70"/>
        <v>26000</v>
      </c>
      <c r="AB110" s="291" t="s">
        <v>1056</v>
      </c>
      <c r="AC110" s="291" t="s">
        <v>1056</v>
      </c>
      <c r="AD110" s="345"/>
      <c r="AE110" s="285">
        <f t="shared" si="71"/>
        <v>26000</v>
      </c>
      <c r="AF110" s="287">
        <v>0</v>
      </c>
    </row>
    <row r="111" spans="1:32">
      <c r="A111" s="284" t="s">
        <v>1055</v>
      </c>
      <c r="B111" s="283" t="s">
        <v>16</v>
      </c>
      <c r="C111" s="283" t="s">
        <v>7</v>
      </c>
      <c r="D111" s="283" t="s">
        <v>1056</v>
      </c>
      <c r="E111" s="1" t="s">
        <v>1059</v>
      </c>
      <c r="F111" s="1" t="s">
        <v>4</v>
      </c>
      <c r="G111" s="1" t="s">
        <v>1064</v>
      </c>
      <c r="H111" s="285">
        <v>0</v>
      </c>
      <c r="I111" s="285">
        <f>I110</f>
        <v>141934.78095238094</v>
      </c>
      <c r="J111" s="280">
        <f t="shared" si="39"/>
        <v>4573.9587414500575</v>
      </c>
      <c r="K111" s="288">
        <v>0</v>
      </c>
      <c r="L111" s="285">
        <f t="shared" si="67"/>
        <v>820000</v>
      </c>
      <c r="M111" s="341"/>
      <c r="N111" s="291">
        <f t="shared" si="68"/>
        <v>33000</v>
      </c>
      <c r="O111" s="291">
        <f t="shared" si="68"/>
        <v>53000</v>
      </c>
      <c r="P111" s="366">
        <f t="shared" si="48"/>
        <v>86000</v>
      </c>
      <c r="Q111" s="291">
        <f t="shared" si="67"/>
        <v>0</v>
      </c>
      <c r="R111" s="345"/>
      <c r="S111" s="291">
        <f t="shared" si="67"/>
        <v>0</v>
      </c>
      <c r="T111" s="345"/>
      <c r="U111" s="291" t="s">
        <v>1056</v>
      </c>
      <c r="V111" s="372"/>
      <c r="W111" s="291">
        <v>54000000</v>
      </c>
      <c r="X111" s="372"/>
      <c r="Y111" s="285">
        <f t="shared" si="69"/>
        <v>54000000</v>
      </c>
      <c r="Z111" s="291">
        <f t="shared" si="70"/>
        <v>0</v>
      </c>
      <c r="AA111" s="291">
        <f t="shared" si="70"/>
        <v>26000</v>
      </c>
      <c r="AB111" s="291" t="s">
        <v>1056</v>
      </c>
      <c r="AC111" s="291" t="s">
        <v>1056</v>
      </c>
      <c r="AD111" s="345"/>
      <c r="AE111" s="285">
        <f t="shared" si="71"/>
        <v>26000</v>
      </c>
      <c r="AF111" s="287">
        <v>0</v>
      </c>
    </row>
    <row r="112" spans="1:32" s="283" customFormat="1">
      <c r="A112" s="284" t="s">
        <v>1055</v>
      </c>
      <c r="B112" s="283" t="s">
        <v>16</v>
      </c>
      <c r="C112" s="283" t="s">
        <v>8</v>
      </c>
      <c r="D112" s="283" t="s">
        <v>1056</v>
      </c>
      <c r="E112" s="1" t="s">
        <v>1060</v>
      </c>
      <c r="F112" s="1" t="s">
        <v>4</v>
      </c>
      <c r="G112" s="1" t="s">
        <v>1061</v>
      </c>
      <c r="H112" s="285">
        <v>4</v>
      </c>
      <c r="I112" s="285">
        <v>349292.625</v>
      </c>
      <c r="J112" s="280">
        <f t="shared" si="39"/>
        <v>11256.226590287251</v>
      </c>
      <c r="K112" s="288">
        <v>0.35</v>
      </c>
      <c r="L112" s="285">
        <v>1500000</v>
      </c>
      <c r="M112" s="341"/>
      <c r="N112" s="291">
        <v>60000</v>
      </c>
      <c r="O112" s="291">
        <v>96000</v>
      </c>
      <c r="P112" s="366">
        <f t="shared" si="48"/>
        <v>156000</v>
      </c>
      <c r="Q112" s="291">
        <v>0</v>
      </c>
      <c r="R112" s="345"/>
      <c r="S112" s="291">
        <v>0</v>
      </c>
      <c r="T112" s="345"/>
      <c r="U112" s="291" t="s">
        <v>1056</v>
      </c>
      <c r="V112" s="372"/>
      <c r="W112" s="291" t="s">
        <v>1056</v>
      </c>
      <c r="X112" s="372"/>
      <c r="Y112" s="285">
        <f t="shared" si="69"/>
        <v>0</v>
      </c>
      <c r="Z112" s="291">
        <v>0</v>
      </c>
      <c r="AA112" s="291">
        <v>46000</v>
      </c>
      <c r="AB112" s="291" t="s">
        <v>1056</v>
      </c>
      <c r="AC112" s="291" t="s">
        <v>1056</v>
      </c>
      <c r="AD112" s="345"/>
      <c r="AE112" s="285">
        <f t="shared" si="71"/>
        <v>46000</v>
      </c>
      <c r="AF112" s="287">
        <v>0</v>
      </c>
    </row>
    <row r="113" spans="1:32" s="283" customFormat="1">
      <c r="A113" s="284" t="s">
        <v>1055</v>
      </c>
      <c r="B113" s="283" t="s">
        <v>16</v>
      </c>
      <c r="C113" s="283" t="s">
        <v>8</v>
      </c>
      <c r="D113" s="283" t="s">
        <v>1056</v>
      </c>
      <c r="E113" s="283" t="s">
        <v>1060</v>
      </c>
      <c r="F113" s="1" t="s">
        <v>4</v>
      </c>
      <c r="G113" s="1" t="s">
        <v>51</v>
      </c>
      <c r="H113" s="285">
        <v>0</v>
      </c>
      <c r="I113" s="285">
        <f>I112</f>
        <v>349292.625</v>
      </c>
      <c r="J113" s="280">
        <f t="shared" si="39"/>
        <v>11256.226590287251</v>
      </c>
      <c r="K113" s="288">
        <v>0.99</v>
      </c>
      <c r="L113" s="285">
        <f t="shared" ref="L113:S116" si="72">L112</f>
        <v>1500000</v>
      </c>
      <c r="M113" s="341"/>
      <c r="N113" s="291">
        <f t="shared" ref="N113:O116" si="73">N112</f>
        <v>60000</v>
      </c>
      <c r="O113" s="291">
        <f t="shared" si="73"/>
        <v>96000</v>
      </c>
      <c r="P113" s="366">
        <f t="shared" si="48"/>
        <v>156000</v>
      </c>
      <c r="Q113" s="291">
        <f t="shared" si="72"/>
        <v>0</v>
      </c>
      <c r="R113" s="345"/>
      <c r="S113" s="291">
        <f t="shared" si="72"/>
        <v>0</v>
      </c>
      <c r="T113" s="345"/>
      <c r="U113" s="291">
        <v>200</v>
      </c>
      <c r="V113" s="372"/>
      <c r="W113" s="291" t="s">
        <v>1056</v>
      </c>
      <c r="X113" s="372"/>
      <c r="Y113" s="285">
        <f t="shared" si="69"/>
        <v>200</v>
      </c>
      <c r="Z113" s="291">
        <f t="shared" ref="Z113:AA116" si="74">Z112</f>
        <v>0</v>
      </c>
      <c r="AA113" s="291">
        <f t="shared" si="74"/>
        <v>46000</v>
      </c>
      <c r="AB113" s="291">
        <v>16000</v>
      </c>
      <c r="AC113" s="291" t="s">
        <v>1056</v>
      </c>
      <c r="AD113" s="345"/>
      <c r="AE113" s="285">
        <f t="shared" si="71"/>
        <v>62000</v>
      </c>
      <c r="AF113" s="287">
        <v>0</v>
      </c>
    </row>
    <row r="114" spans="1:32" s="283" customFormat="1">
      <c r="A114" s="284" t="s">
        <v>1055</v>
      </c>
      <c r="B114" s="283" t="s">
        <v>16</v>
      </c>
      <c r="C114" s="283" t="s">
        <v>8</v>
      </c>
      <c r="D114" s="283" t="s">
        <v>1056</v>
      </c>
      <c r="E114" s="283" t="s">
        <v>1060</v>
      </c>
      <c r="F114" s="1" t="s">
        <v>4</v>
      </c>
      <c r="G114" s="1" t="s">
        <v>1062</v>
      </c>
      <c r="H114" s="285">
        <v>0</v>
      </c>
      <c r="I114" s="285">
        <f>I113</f>
        <v>349292.625</v>
      </c>
      <c r="J114" s="280">
        <f t="shared" si="39"/>
        <v>11256.226590287251</v>
      </c>
      <c r="K114" s="288">
        <v>0.99</v>
      </c>
      <c r="L114" s="285">
        <f t="shared" si="72"/>
        <v>1500000</v>
      </c>
      <c r="M114" s="341"/>
      <c r="N114" s="291">
        <f t="shared" si="73"/>
        <v>60000</v>
      </c>
      <c r="O114" s="291">
        <f t="shared" si="73"/>
        <v>96000</v>
      </c>
      <c r="P114" s="366">
        <f t="shared" si="48"/>
        <v>156000</v>
      </c>
      <c r="Q114" s="291">
        <f t="shared" si="72"/>
        <v>0</v>
      </c>
      <c r="R114" s="345"/>
      <c r="S114" s="291">
        <f t="shared" si="72"/>
        <v>0</v>
      </c>
      <c r="T114" s="345"/>
      <c r="U114" s="291">
        <f>U113</f>
        <v>200</v>
      </c>
      <c r="V114" s="372"/>
      <c r="W114" s="291" t="s">
        <v>1056</v>
      </c>
      <c r="X114" s="372"/>
      <c r="Y114" s="285">
        <f t="shared" si="69"/>
        <v>200</v>
      </c>
      <c r="Z114" s="291">
        <f t="shared" si="74"/>
        <v>0</v>
      </c>
      <c r="AA114" s="291">
        <f t="shared" si="74"/>
        <v>46000</v>
      </c>
      <c r="AB114" s="291">
        <f>AB113</f>
        <v>16000</v>
      </c>
      <c r="AC114" s="291">
        <f>AC109</f>
        <v>900000</v>
      </c>
      <c r="AD114" s="363">
        <f>J114*1.2*5</f>
        <v>67537.359541723505</v>
      </c>
      <c r="AE114" s="285">
        <f t="shared" si="71"/>
        <v>1029537.3595417235</v>
      </c>
      <c r="AF114" s="287">
        <v>0</v>
      </c>
    </row>
    <row r="115" spans="1:32" s="283" customFormat="1">
      <c r="A115" s="284" t="s">
        <v>1055</v>
      </c>
      <c r="B115" s="283" t="s">
        <v>16</v>
      </c>
      <c r="C115" s="283" t="s">
        <v>8</v>
      </c>
      <c r="D115" s="283" t="s">
        <v>1056</v>
      </c>
      <c r="E115" s="283" t="s">
        <v>1060</v>
      </c>
      <c r="F115" s="1" t="s">
        <v>4</v>
      </c>
      <c r="G115" s="1" t="s">
        <v>1063</v>
      </c>
      <c r="H115" s="285">
        <v>0</v>
      </c>
      <c r="I115" s="285">
        <f>I114</f>
        <v>349292.625</v>
      </c>
      <c r="J115" s="280">
        <f t="shared" si="39"/>
        <v>11256.226590287251</v>
      </c>
      <c r="K115" s="288">
        <v>0</v>
      </c>
      <c r="L115" s="285">
        <f t="shared" si="72"/>
        <v>1500000</v>
      </c>
      <c r="M115" s="341"/>
      <c r="N115" s="291">
        <f t="shared" si="73"/>
        <v>60000</v>
      </c>
      <c r="O115" s="291">
        <f t="shared" si="73"/>
        <v>96000</v>
      </c>
      <c r="P115" s="366">
        <f t="shared" si="48"/>
        <v>156000</v>
      </c>
      <c r="Q115" s="291">
        <f t="shared" si="72"/>
        <v>0</v>
      </c>
      <c r="R115" s="345"/>
      <c r="S115" s="291">
        <f t="shared" si="72"/>
        <v>0</v>
      </c>
      <c r="T115" s="345"/>
      <c r="U115" s="291" t="s">
        <v>1056</v>
      </c>
      <c r="V115" s="372"/>
      <c r="W115" s="291">
        <f>W116</f>
        <v>54000000</v>
      </c>
      <c r="X115" s="372"/>
      <c r="Y115" s="285">
        <f t="shared" si="69"/>
        <v>54000000</v>
      </c>
      <c r="Z115" s="291">
        <f t="shared" si="74"/>
        <v>0</v>
      </c>
      <c r="AA115" s="291">
        <f t="shared" si="74"/>
        <v>46000</v>
      </c>
      <c r="AB115" s="291" t="s">
        <v>1056</v>
      </c>
      <c r="AC115" s="291" t="s">
        <v>1056</v>
      </c>
      <c r="AD115" s="345"/>
      <c r="AE115" s="285">
        <f t="shared" si="71"/>
        <v>46000</v>
      </c>
      <c r="AF115" s="287">
        <v>0</v>
      </c>
    </row>
    <row r="116" spans="1:32" s="283" customFormat="1">
      <c r="A116" s="292" t="s">
        <v>1055</v>
      </c>
      <c r="B116" s="293" t="s">
        <v>16</v>
      </c>
      <c r="C116" s="293" t="s">
        <v>8</v>
      </c>
      <c r="D116" s="293" t="s">
        <v>1056</v>
      </c>
      <c r="E116" s="293" t="s">
        <v>1060</v>
      </c>
      <c r="F116" s="294" t="s">
        <v>4</v>
      </c>
      <c r="G116" s="294" t="s">
        <v>1064</v>
      </c>
      <c r="H116" s="295">
        <v>0</v>
      </c>
      <c r="I116" s="295">
        <f>I115</f>
        <v>349292.625</v>
      </c>
      <c r="J116" s="296">
        <f t="shared" si="39"/>
        <v>11256.226590287251</v>
      </c>
      <c r="K116" s="297">
        <v>0</v>
      </c>
      <c r="L116" s="295">
        <f t="shared" si="72"/>
        <v>1500000</v>
      </c>
      <c r="M116" s="342"/>
      <c r="N116" s="298">
        <f t="shared" si="73"/>
        <v>60000</v>
      </c>
      <c r="O116" s="298">
        <f t="shared" si="73"/>
        <v>96000</v>
      </c>
      <c r="P116" s="367">
        <f t="shared" si="48"/>
        <v>156000</v>
      </c>
      <c r="Q116" s="298">
        <f t="shared" si="72"/>
        <v>0</v>
      </c>
      <c r="R116" s="346"/>
      <c r="S116" s="298">
        <f t="shared" si="72"/>
        <v>0</v>
      </c>
      <c r="T116" s="346"/>
      <c r="U116" s="298" t="s">
        <v>1056</v>
      </c>
      <c r="V116" s="374"/>
      <c r="W116" s="298">
        <v>54000000</v>
      </c>
      <c r="X116" s="374"/>
      <c r="Y116" s="295">
        <f t="shared" si="69"/>
        <v>54000000</v>
      </c>
      <c r="Z116" s="298">
        <f t="shared" si="74"/>
        <v>0</v>
      </c>
      <c r="AA116" s="298">
        <f t="shared" si="74"/>
        <v>46000</v>
      </c>
      <c r="AB116" s="298" t="s">
        <v>1056</v>
      </c>
      <c r="AC116" s="298" t="s">
        <v>1056</v>
      </c>
      <c r="AD116" s="346"/>
      <c r="AE116" s="295">
        <f t="shared" si="71"/>
        <v>46000</v>
      </c>
      <c r="AF116" s="299">
        <v>0</v>
      </c>
    </row>
    <row r="117" spans="1:32">
      <c r="A117" s="300" t="s">
        <v>1065</v>
      </c>
      <c r="B117" s="301" t="s">
        <v>1066</v>
      </c>
      <c r="C117" s="1" t="s">
        <v>754</v>
      </c>
      <c r="D117" s="1" t="s">
        <v>1067</v>
      </c>
      <c r="E117" s="1" t="s">
        <v>1068</v>
      </c>
      <c r="F117" s="302" t="s">
        <v>1056</v>
      </c>
      <c r="G117" s="1" t="s">
        <v>1056</v>
      </c>
      <c r="H117" s="285" t="s">
        <v>1069</v>
      </c>
      <c r="I117" s="285">
        <v>4</v>
      </c>
      <c r="J117" s="280">
        <f t="shared" si="39"/>
        <v>0.12890311200000001</v>
      </c>
      <c r="K117" s="288" t="s">
        <v>1056</v>
      </c>
      <c r="L117" s="285" t="s">
        <v>1056</v>
      </c>
      <c r="M117" s="340"/>
      <c r="N117" s="286" t="s">
        <v>1056</v>
      </c>
      <c r="O117" s="286" t="s">
        <v>1056</v>
      </c>
      <c r="P117" s="366" t="s">
        <v>1056</v>
      </c>
      <c r="Q117" s="286" t="s">
        <v>1056</v>
      </c>
      <c r="R117" s="344"/>
      <c r="S117" s="286" t="s">
        <v>1056</v>
      </c>
      <c r="T117" s="344"/>
      <c r="U117" s="286" t="s">
        <v>1056</v>
      </c>
      <c r="V117" s="371"/>
      <c r="W117" s="286" t="s">
        <v>1056</v>
      </c>
      <c r="X117" s="371"/>
      <c r="Y117" s="285" t="s">
        <v>1056</v>
      </c>
      <c r="Z117" s="286" t="s">
        <v>1056</v>
      </c>
      <c r="AA117" s="286" t="s">
        <v>1056</v>
      </c>
      <c r="AB117" s="286" t="s">
        <v>1056</v>
      </c>
      <c r="AC117" s="286" t="s">
        <v>1056</v>
      </c>
      <c r="AD117" s="344"/>
      <c r="AE117" s="285" t="s">
        <v>1056</v>
      </c>
      <c r="AF117" s="287" t="s">
        <v>1056</v>
      </c>
    </row>
    <row r="118" spans="1:32">
      <c r="A118" s="300" t="s">
        <v>1065</v>
      </c>
      <c r="B118" s="301" t="s">
        <v>1066</v>
      </c>
      <c r="C118" s="1" t="s">
        <v>758</v>
      </c>
      <c r="D118" s="1" t="s">
        <v>1067</v>
      </c>
      <c r="E118" s="1" t="s">
        <v>1070</v>
      </c>
      <c r="F118" s="302" t="s">
        <v>1056</v>
      </c>
      <c r="G118" s="1" t="s">
        <v>1056</v>
      </c>
      <c r="H118" s="285" t="s">
        <v>1069</v>
      </c>
      <c r="I118" s="285">
        <v>6</v>
      </c>
      <c r="J118" s="280">
        <f t="shared" si="39"/>
        <v>0.19335466800000001</v>
      </c>
      <c r="K118" s="288" t="s">
        <v>1056</v>
      </c>
      <c r="L118" s="285" t="s">
        <v>1056</v>
      </c>
      <c r="M118" s="340"/>
      <c r="N118" s="286" t="s">
        <v>1056</v>
      </c>
      <c r="O118" s="286" t="s">
        <v>1056</v>
      </c>
      <c r="P118" s="366" t="s">
        <v>1056</v>
      </c>
      <c r="Q118" s="286" t="s">
        <v>1056</v>
      </c>
      <c r="R118" s="344"/>
      <c r="S118" s="286" t="s">
        <v>1056</v>
      </c>
      <c r="T118" s="344"/>
      <c r="U118" s="286" t="s">
        <v>1056</v>
      </c>
      <c r="V118" s="371"/>
      <c r="W118" s="286" t="s">
        <v>1056</v>
      </c>
      <c r="X118" s="371"/>
      <c r="Y118" s="285" t="s">
        <v>1056</v>
      </c>
      <c r="Z118" s="286" t="s">
        <v>1056</v>
      </c>
      <c r="AA118" s="286" t="s">
        <v>1056</v>
      </c>
      <c r="AB118" s="286" t="s">
        <v>1056</v>
      </c>
      <c r="AC118" s="286" t="s">
        <v>1056</v>
      </c>
      <c r="AD118" s="344"/>
      <c r="AE118" s="285" t="s">
        <v>1056</v>
      </c>
      <c r="AF118" s="287" t="s">
        <v>1056</v>
      </c>
    </row>
    <row r="119" spans="1:32">
      <c r="A119" s="300" t="s">
        <v>1065</v>
      </c>
      <c r="B119" s="301" t="s">
        <v>1071</v>
      </c>
      <c r="C119" s="1" t="s">
        <v>754</v>
      </c>
      <c r="D119" s="1" t="s">
        <v>1067</v>
      </c>
      <c r="E119" s="1" t="s">
        <v>1068</v>
      </c>
      <c r="F119" s="302" t="s">
        <v>1056</v>
      </c>
      <c r="G119" s="1" t="s">
        <v>1056</v>
      </c>
      <c r="H119" s="285" t="s">
        <v>1069</v>
      </c>
      <c r="I119" s="285">
        <v>4</v>
      </c>
      <c r="J119" s="280">
        <f t="shared" si="39"/>
        <v>0.12890311200000001</v>
      </c>
      <c r="K119" s="288" t="s">
        <v>1056</v>
      </c>
      <c r="L119" s="285" t="s">
        <v>1056</v>
      </c>
      <c r="M119" s="340"/>
      <c r="N119" s="286" t="s">
        <v>1056</v>
      </c>
      <c r="O119" s="286" t="s">
        <v>1056</v>
      </c>
      <c r="P119" s="366" t="s">
        <v>1056</v>
      </c>
      <c r="Q119" s="286" t="s">
        <v>1056</v>
      </c>
      <c r="R119" s="344"/>
      <c r="S119" s="286" t="s">
        <v>1056</v>
      </c>
      <c r="T119" s="344"/>
      <c r="U119" s="286" t="s">
        <v>1056</v>
      </c>
      <c r="V119" s="371"/>
      <c r="W119" s="286" t="s">
        <v>1056</v>
      </c>
      <c r="X119" s="371"/>
      <c r="Y119" s="285" t="s">
        <v>1056</v>
      </c>
      <c r="Z119" s="286" t="s">
        <v>1056</v>
      </c>
      <c r="AA119" s="286" t="s">
        <v>1056</v>
      </c>
      <c r="AB119" s="286" t="s">
        <v>1056</v>
      </c>
      <c r="AC119" s="286" t="s">
        <v>1056</v>
      </c>
      <c r="AD119" s="344"/>
      <c r="AE119" s="285" t="s">
        <v>1056</v>
      </c>
      <c r="AF119" s="287" t="s">
        <v>1056</v>
      </c>
    </row>
    <row r="120" spans="1:32">
      <c r="A120" s="300" t="s">
        <v>1065</v>
      </c>
      <c r="B120" s="301" t="s">
        <v>1071</v>
      </c>
      <c r="C120" s="1" t="s">
        <v>758</v>
      </c>
      <c r="D120" s="1" t="s">
        <v>1067</v>
      </c>
      <c r="E120" s="1" t="s">
        <v>1070</v>
      </c>
      <c r="F120" s="302" t="s">
        <v>1056</v>
      </c>
      <c r="G120" s="1" t="s">
        <v>1056</v>
      </c>
      <c r="H120" s="285" t="s">
        <v>1069</v>
      </c>
      <c r="I120" s="285">
        <v>6</v>
      </c>
      <c r="J120" s="280">
        <f t="shared" si="39"/>
        <v>0.19335466800000001</v>
      </c>
      <c r="K120" s="288" t="s">
        <v>1056</v>
      </c>
      <c r="L120" s="285" t="s">
        <v>1056</v>
      </c>
      <c r="M120" s="340"/>
      <c r="N120" s="289" t="s">
        <v>1056</v>
      </c>
      <c r="O120" s="289" t="s">
        <v>1056</v>
      </c>
      <c r="P120" s="366" t="s">
        <v>1056</v>
      </c>
      <c r="Q120" s="289" t="s">
        <v>1056</v>
      </c>
      <c r="R120" s="345"/>
      <c r="S120" s="289" t="s">
        <v>1056</v>
      </c>
      <c r="T120" s="345"/>
      <c r="U120" s="289" t="s">
        <v>1056</v>
      </c>
      <c r="V120" s="372"/>
      <c r="W120" s="289" t="s">
        <v>1056</v>
      </c>
      <c r="X120" s="372"/>
      <c r="Y120" s="285" t="s">
        <v>1056</v>
      </c>
      <c r="Z120" s="289" t="s">
        <v>1056</v>
      </c>
      <c r="AA120" s="289" t="s">
        <v>1056</v>
      </c>
      <c r="AB120" s="289" t="s">
        <v>1056</v>
      </c>
      <c r="AC120" s="289" t="s">
        <v>1056</v>
      </c>
      <c r="AD120" s="345"/>
      <c r="AE120" s="285" t="s">
        <v>1056</v>
      </c>
      <c r="AF120" s="287" t="s">
        <v>1056</v>
      </c>
    </row>
    <row r="121" spans="1:32">
      <c r="A121" s="300" t="s">
        <v>1065</v>
      </c>
      <c r="B121" s="301" t="s">
        <v>1066</v>
      </c>
      <c r="C121" s="1" t="s">
        <v>754</v>
      </c>
      <c r="D121" s="1" t="s">
        <v>1072</v>
      </c>
      <c r="E121" s="1" t="s">
        <v>1068</v>
      </c>
      <c r="F121" s="302" t="s">
        <v>1056</v>
      </c>
      <c r="G121" s="1" t="s">
        <v>1056</v>
      </c>
      <c r="H121" s="285" t="s">
        <v>1069</v>
      </c>
      <c r="I121" s="285">
        <v>5</v>
      </c>
      <c r="J121" s="280">
        <f t="shared" si="39"/>
        <v>0.16112889000000002</v>
      </c>
      <c r="K121" s="288" t="s">
        <v>1056</v>
      </c>
      <c r="L121" s="285" t="s">
        <v>1056</v>
      </c>
      <c r="M121" s="340"/>
      <c r="N121" s="286" t="s">
        <v>1056</v>
      </c>
      <c r="O121" s="286" t="s">
        <v>1056</v>
      </c>
      <c r="P121" s="366" t="s">
        <v>1056</v>
      </c>
      <c r="Q121" s="286" t="s">
        <v>1056</v>
      </c>
      <c r="R121" s="344"/>
      <c r="S121" s="286" t="s">
        <v>1056</v>
      </c>
      <c r="T121" s="344"/>
      <c r="U121" s="286" t="s">
        <v>1056</v>
      </c>
      <c r="V121" s="371"/>
      <c r="W121" s="286" t="s">
        <v>1056</v>
      </c>
      <c r="X121" s="371"/>
      <c r="Y121" s="285" t="s">
        <v>1056</v>
      </c>
      <c r="Z121" s="286" t="s">
        <v>1056</v>
      </c>
      <c r="AA121" s="286" t="s">
        <v>1056</v>
      </c>
      <c r="AB121" s="286" t="s">
        <v>1056</v>
      </c>
      <c r="AC121" s="286" t="s">
        <v>1056</v>
      </c>
      <c r="AD121" s="344"/>
      <c r="AE121" s="285" t="s">
        <v>1056</v>
      </c>
      <c r="AF121" s="287" t="s">
        <v>1056</v>
      </c>
    </row>
    <row r="122" spans="1:32">
      <c r="A122" s="300" t="s">
        <v>1065</v>
      </c>
      <c r="B122" s="301" t="s">
        <v>1066</v>
      </c>
      <c r="C122" s="1" t="s">
        <v>758</v>
      </c>
      <c r="D122" s="1" t="s">
        <v>1072</v>
      </c>
      <c r="E122" s="1" t="s">
        <v>1070</v>
      </c>
      <c r="F122" s="302" t="s">
        <v>1056</v>
      </c>
      <c r="G122" s="1" t="s">
        <v>1056</v>
      </c>
      <c r="H122" s="285" t="s">
        <v>1069</v>
      </c>
      <c r="I122" s="285">
        <v>7</v>
      </c>
      <c r="J122" s="280">
        <f t="shared" si="39"/>
        <v>0.22558044600000002</v>
      </c>
      <c r="K122" s="288" t="s">
        <v>1056</v>
      </c>
      <c r="L122" s="285" t="s">
        <v>1056</v>
      </c>
      <c r="M122" s="340"/>
      <c r="N122" s="286" t="s">
        <v>1056</v>
      </c>
      <c r="O122" s="286" t="s">
        <v>1056</v>
      </c>
      <c r="P122" s="366" t="s">
        <v>1056</v>
      </c>
      <c r="Q122" s="286" t="s">
        <v>1056</v>
      </c>
      <c r="R122" s="344"/>
      <c r="S122" s="286" t="s">
        <v>1056</v>
      </c>
      <c r="T122" s="344"/>
      <c r="U122" s="286" t="s">
        <v>1056</v>
      </c>
      <c r="V122" s="371"/>
      <c r="W122" s="286" t="s">
        <v>1056</v>
      </c>
      <c r="X122" s="371"/>
      <c r="Y122" s="285" t="s">
        <v>1056</v>
      </c>
      <c r="Z122" s="286" t="s">
        <v>1056</v>
      </c>
      <c r="AA122" s="286" t="s">
        <v>1056</v>
      </c>
      <c r="AB122" s="286" t="s">
        <v>1056</v>
      </c>
      <c r="AC122" s="286" t="s">
        <v>1056</v>
      </c>
      <c r="AD122" s="344"/>
      <c r="AE122" s="285" t="s">
        <v>1056</v>
      </c>
      <c r="AF122" s="287" t="s">
        <v>1056</v>
      </c>
    </row>
    <row r="123" spans="1:32">
      <c r="A123" s="300" t="s">
        <v>1065</v>
      </c>
      <c r="B123" s="301" t="s">
        <v>1071</v>
      </c>
      <c r="C123" s="1" t="s">
        <v>754</v>
      </c>
      <c r="D123" s="1" t="s">
        <v>1072</v>
      </c>
      <c r="E123" s="1" t="s">
        <v>1068</v>
      </c>
      <c r="F123" s="302" t="s">
        <v>1056</v>
      </c>
      <c r="G123" s="1" t="s">
        <v>1056</v>
      </c>
      <c r="H123" s="285" t="s">
        <v>1069</v>
      </c>
      <c r="I123" s="285">
        <v>5</v>
      </c>
      <c r="J123" s="280">
        <f t="shared" si="39"/>
        <v>0.16112889000000002</v>
      </c>
      <c r="K123" s="288" t="s">
        <v>1056</v>
      </c>
      <c r="L123" s="285" t="s">
        <v>1056</v>
      </c>
      <c r="M123" s="340"/>
      <c r="N123" s="286" t="s">
        <v>1056</v>
      </c>
      <c r="O123" s="286" t="s">
        <v>1056</v>
      </c>
      <c r="P123" s="366" t="s">
        <v>1056</v>
      </c>
      <c r="Q123" s="286" t="s">
        <v>1056</v>
      </c>
      <c r="R123" s="344"/>
      <c r="S123" s="286" t="s">
        <v>1056</v>
      </c>
      <c r="T123" s="344"/>
      <c r="U123" s="286" t="s">
        <v>1056</v>
      </c>
      <c r="V123" s="371"/>
      <c r="W123" s="286" t="s">
        <v>1056</v>
      </c>
      <c r="X123" s="371"/>
      <c r="Y123" s="285" t="s">
        <v>1056</v>
      </c>
      <c r="Z123" s="286" t="s">
        <v>1056</v>
      </c>
      <c r="AA123" s="286" t="s">
        <v>1056</v>
      </c>
      <c r="AB123" s="286" t="s">
        <v>1056</v>
      </c>
      <c r="AC123" s="286" t="s">
        <v>1056</v>
      </c>
      <c r="AD123" s="344"/>
      <c r="AE123" s="285" t="s">
        <v>1056</v>
      </c>
      <c r="AF123" s="287" t="s">
        <v>1056</v>
      </c>
    </row>
    <row r="124" spans="1:32">
      <c r="A124" s="300" t="s">
        <v>1065</v>
      </c>
      <c r="B124" s="301" t="s">
        <v>1071</v>
      </c>
      <c r="C124" s="1" t="s">
        <v>758</v>
      </c>
      <c r="D124" s="1" t="s">
        <v>1072</v>
      </c>
      <c r="E124" s="1" t="s">
        <v>1070</v>
      </c>
      <c r="F124" s="302" t="s">
        <v>1056</v>
      </c>
      <c r="G124" s="1" t="s">
        <v>1056</v>
      </c>
      <c r="H124" s="285" t="s">
        <v>1069</v>
      </c>
      <c r="I124" s="285">
        <v>7</v>
      </c>
      <c r="J124" s="280">
        <f t="shared" si="39"/>
        <v>0.22558044600000002</v>
      </c>
      <c r="K124" s="288" t="s">
        <v>1056</v>
      </c>
      <c r="L124" s="285" t="s">
        <v>1056</v>
      </c>
      <c r="M124" s="340"/>
      <c r="N124" s="289" t="s">
        <v>1056</v>
      </c>
      <c r="O124" s="289" t="s">
        <v>1056</v>
      </c>
      <c r="P124" s="366" t="s">
        <v>1056</v>
      </c>
      <c r="Q124" s="289" t="s">
        <v>1056</v>
      </c>
      <c r="R124" s="345"/>
      <c r="S124" s="289" t="s">
        <v>1056</v>
      </c>
      <c r="T124" s="345"/>
      <c r="U124" s="289" t="s">
        <v>1056</v>
      </c>
      <c r="V124" s="372"/>
      <c r="W124" s="289" t="s">
        <v>1056</v>
      </c>
      <c r="X124" s="372"/>
      <c r="Y124" s="285" t="s">
        <v>1056</v>
      </c>
      <c r="Z124" s="289" t="s">
        <v>1056</v>
      </c>
      <c r="AA124" s="289" t="s">
        <v>1056</v>
      </c>
      <c r="AB124" s="289" t="s">
        <v>1056</v>
      </c>
      <c r="AC124" s="289" t="s">
        <v>1056</v>
      </c>
      <c r="AD124" s="345"/>
      <c r="AE124" s="285" t="s">
        <v>1056</v>
      </c>
      <c r="AF124" s="287" t="s">
        <v>1056</v>
      </c>
    </row>
    <row r="125" spans="1:32">
      <c r="A125" s="300" t="s">
        <v>1065</v>
      </c>
      <c r="B125" s="301" t="s">
        <v>1073</v>
      </c>
      <c r="C125" s="1" t="s">
        <v>754</v>
      </c>
      <c r="D125" s="1" t="s">
        <v>1067</v>
      </c>
      <c r="E125" s="1" t="s">
        <v>1068</v>
      </c>
      <c r="F125" s="302" t="s">
        <v>1056</v>
      </c>
      <c r="G125" s="1" t="s">
        <v>1061</v>
      </c>
      <c r="H125" s="285" t="s">
        <v>1069</v>
      </c>
      <c r="I125" s="285">
        <v>4</v>
      </c>
      <c r="J125" s="280">
        <f t="shared" si="39"/>
        <v>0.12890311200000001</v>
      </c>
      <c r="K125" s="288">
        <v>0.35</v>
      </c>
      <c r="L125" s="285" t="s">
        <v>1056</v>
      </c>
      <c r="M125" s="340"/>
      <c r="N125" s="289" t="s">
        <v>1056</v>
      </c>
      <c r="O125" s="289" t="s">
        <v>1056</v>
      </c>
      <c r="P125" s="366" t="s">
        <v>1056</v>
      </c>
      <c r="Q125" s="289" t="s">
        <v>1056</v>
      </c>
      <c r="R125" s="345"/>
      <c r="S125" s="289">
        <v>3000000</v>
      </c>
      <c r="T125" s="345"/>
      <c r="U125" s="289" t="s">
        <v>1056</v>
      </c>
      <c r="V125" s="372"/>
      <c r="W125" s="289" t="s">
        <v>1056</v>
      </c>
      <c r="X125" s="372"/>
      <c r="Y125" s="285">
        <f t="shared" ref="Y125:Y164" si="75">SUM(Q125:W125)</f>
        <v>3000000</v>
      </c>
      <c r="Z125" s="289" t="s">
        <v>1056</v>
      </c>
      <c r="AA125" s="289">
        <v>130000</v>
      </c>
      <c r="AB125" s="289" t="s">
        <v>1056</v>
      </c>
      <c r="AC125" s="289" t="s">
        <v>1056</v>
      </c>
      <c r="AD125" s="345"/>
      <c r="AE125" s="285">
        <f t="shared" ref="AE125:AE164" si="76">SUM(Z125:AD125)</f>
        <v>130000</v>
      </c>
      <c r="AF125" s="287">
        <v>0</v>
      </c>
    </row>
    <row r="126" spans="1:32">
      <c r="A126" s="300" t="s">
        <v>1065</v>
      </c>
      <c r="B126" s="301" t="s">
        <v>1073</v>
      </c>
      <c r="C126" s="1" t="s">
        <v>754</v>
      </c>
      <c r="D126" s="1" t="s">
        <v>1067</v>
      </c>
      <c r="E126" s="1" t="s">
        <v>1068</v>
      </c>
      <c r="F126" s="302" t="s">
        <v>1056</v>
      </c>
      <c r="G126" s="1" t="s">
        <v>51</v>
      </c>
      <c r="H126" s="285" t="s">
        <v>1069</v>
      </c>
      <c r="I126" s="285">
        <f>I125</f>
        <v>4</v>
      </c>
      <c r="J126" s="280">
        <f t="shared" si="39"/>
        <v>0.12890311200000001</v>
      </c>
      <c r="K126" s="288">
        <v>0.99</v>
      </c>
      <c r="L126" s="285" t="s">
        <v>1056</v>
      </c>
      <c r="M126" s="340"/>
      <c r="N126" s="289" t="s">
        <v>1056</v>
      </c>
      <c r="O126" s="289" t="s">
        <v>1056</v>
      </c>
      <c r="P126" s="366" t="s">
        <v>1056</v>
      </c>
      <c r="Q126" s="289" t="s">
        <v>1056</v>
      </c>
      <c r="R126" s="345"/>
      <c r="S126" s="289">
        <f>S125</f>
        <v>3000000</v>
      </c>
      <c r="T126" s="345"/>
      <c r="U126" s="289">
        <v>230000</v>
      </c>
      <c r="V126" s="372"/>
      <c r="W126" s="289" t="s">
        <v>1056</v>
      </c>
      <c r="X126" s="372"/>
      <c r="Y126" s="285">
        <f t="shared" si="75"/>
        <v>3230000</v>
      </c>
      <c r="Z126" s="289" t="s">
        <v>1056</v>
      </c>
      <c r="AA126" s="289">
        <v>130000</v>
      </c>
      <c r="AB126" s="289">
        <v>46000</v>
      </c>
      <c r="AC126" s="289" t="s">
        <v>1056</v>
      </c>
      <c r="AD126" s="345"/>
      <c r="AE126" s="285">
        <f t="shared" si="76"/>
        <v>176000</v>
      </c>
      <c r="AF126" s="287">
        <v>0</v>
      </c>
    </row>
    <row r="127" spans="1:32">
      <c r="A127" s="300" t="s">
        <v>1065</v>
      </c>
      <c r="B127" s="301" t="s">
        <v>1073</v>
      </c>
      <c r="C127" s="1" t="s">
        <v>754</v>
      </c>
      <c r="D127" s="1" t="s">
        <v>1067</v>
      </c>
      <c r="E127" s="1" t="s">
        <v>1068</v>
      </c>
      <c r="F127" s="302" t="s">
        <v>1056</v>
      </c>
      <c r="G127" s="1" t="s">
        <v>1062</v>
      </c>
      <c r="H127" s="285" t="s">
        <v>1069</v>
      </c>
      <c r="I127" s="285">
        <f>I126</f>
        <v>4</v>
      </c>
      <c r="J127" s="280">
        <f t="shared" si="39"/>
        <v>0.12890311200000001</v>
      </c>
      <c r="K127" s="288">
        <v>0.99</v>
      </c>
      <c r="L127" s="285" t="s">
        <v>1056</v>
      </c>
      <c r="M127" s="340"/>
      <c r="N127" s="289" t="s">
        <v>1056</v>
      </c>
      <c r="O127" s="289" t="s">
        <v>1056</v>
      </c>
      <c r="P127" s="366" t="s">
        <v>1056</v>
      </c>
      <c r="Q127" s="289" t="s">
        <v>1056</v>
      </c>
      <c r="R127" s="345"/>
      <c r="S127" s="289">
        <f>S126</f>
        <v>3000000</v>
      </c>
      <c r="T127" s="345"/>
      <c r="U127" s="289">
        <v>450000</v>
      </c>
      <c r="V127" s="372"/>
      <c r="W127" s="289" t="s">
        <v>1056</v>
      </c>
      <c r="X127" s="372"/>
      <c r="Y127" s="285">
        <f t="shared" si="75"/>
        <v>3450000</v>
      </c>
      <c r="Z127" s="289" t="s">
        <v>1056</v>
      </c>
      <c r="AA127" s="289">
        <v>130000</v>
      </c>
      <c r="AB127" s="289">
        <v>46000</v>
      </c>
      <c r="AC127" s="286" t="s">
        <v>1069</v>
      </c>
      <c r="AD127" s="345"/>
      <c r="AE127" s="285">
        <f t="shared" si="76"/>
        <v>176000</v>
      </c>
      <c r="AF127" s="287">
        <v>0</v>
      </c>
    </row>
    <row r="128" spans="1:32">
      <c r="A128" s="300" t="s">
        <v>1065</v>
      </c>
      <c r="B128" s="301" t="s">
        <v>1073</v>
      </c>
      <c r="C128" s="1" t="s">
        <v>754</v>
      </c>
      <c r="D128" s="1" t="s">
        <v>1067</v>
      </c>
      <c r="E128" s="1" t="s">
        <v>1068</v>
      </c>
      <c r="F128" s="302" t="s">
        <v>1056</v>
      </c>
      <c r="G128" s="1" t="s">
        <v>1063</v>
      </c>
      <c r="H128" s="285" t="s">
        <v>1069</v>
      </c>
      <c r="I128" s="285">
        <f>I127</f>
        <v>4</v>
      </c>
      <c r="J128" s="280">
        <f t="shared" si="39"/>
        <v>0.12890311200000001</v>
      </c>
      <c r="K128" s="288">
        <v>0</v>
      </c>
      <c r="L128" s="285" t="s">
        <v>1056</v>
      </c>
      <c r="M128" s="340"/>
      <c r="N128" s="289" t="s">
        <v>1056</v>
      </c>
      <c r="O128" s="289" t="s">
        <v>1056</v>
      </c>
      <c r="P128" s="366" t="s">
        <v>1056</v>
      </c>
      <c r="Q128" s="289" t="s">
        <v>1056</v>
      </c>
      <c r="R128" s="345"/>
      <c r="S128" s="289">
        <f>S127</f>
        <v>3000000</v>
      </c>
      <c r="T128" s="345"/>
      <c r="U128" s="289" t="s">
        <v>1056</v>
      </c>
      <c r="V128" s="372"/>
      <c r="W128" s="289">
        <f>W129</f>
        <v>54000000</v>
      </c>
      <c r="X128" s="372"/>
      <c r="Y128" s="285">
        <f t="shared" si="75"/>
        <v>57000000</v>
      </c>
      <c r="Z128" s="289" t="s">
        <v>1056</v>
      </c>
      <c r="AA128" s="289">
        <v>130000</v>
      </c>
      <c r="AB128" s="289" t="s">
        <v>1056</v>
      </c>
      <c r="AC128" s="289" t="s">
        <v>1056</v>
      </c>
      <c r="AD128" s="345"/>
      <c r="AE128" s="285">
        <f t="shared" si="76"/>
        <v>130000</v>
      </c>
      <c r="AF128" s="287">
        <v>0</v>
      </c>
    </row>
    <row r="129" spans="1:32">
      <c r="A129" s="300" t="s">
        <v>1065</v>
      </c>
      <c r="B129" s="301" t="s">
        <v>1073</v>
      </c>
      <c r="C129" s="1" t="s">
        <v>754</v>
      </c>
      <c r="D129" s="1" t="s">
        <v>1067</v>
      </c>
      <c r="E129" s="1" t="s">
        <v>1068</v>
      </c>
      <c r="F129" s="302" t="s">
        <v>1056</v>
      </c>
      <c r="G129" s="1" t="s">
        <v>1064</v>
      </c>
      <c r="H129" s="285" t="s">
        <v>1069</v>
      </c>
      <c r="I129" s="285">
        <f>I128</f>
        <v>4</v>
      </c>
      <c r="J129" s="280">
        <f t="shared" si="39"/>
        <v>0.12890311200000001</v>
      </c>
      <c r="K129" s="288">
        <v>0</v>
      </c>
      <c r="L129" s="285" t="s">
        <v>1056</v>
      </c>
      <c r="M129" s="340"/>
      <c r="N129" s="289" t="s">
        <v>1056</v>
      </c>
      <c r="O129" s="289" t="s">
        <v>1056</v>
      </c>
      <c r="P129" s="366" t="s">
        <v>1056</v>
      </c>
      <c r="Q129" s="289" t="s">
        <v>1056</v>
      </c>
      <c r="R129" s="345"/>
      <c r="S129" s="289">
        <f>S128</f>
        <v>3000000</v>
      </c>
      <c r="T129" s="345"/>
      <c r="U129" s="289" t="s">
        <v>1056</v>
      </c>
      <c r="V129" s="372"/>
      <c r="W129" s="289">
        <v>54000000</v>
      </c>
      <c r="X129" s="372"/>
      <c r="Y129" s="285">
        <f t="shared" si="75"/>
        <v>57000000</v>
      </c>
      <c r="Z129" s="289" t="s">
        <v>1056</v>
      </c>
      <c r="AA129" s="289">
        <v>130000</v>
      </c>
      <c r="AB129" s="289" t="s">
        <v>1056</v>
      </c>
      <c r="AC129" s="289" t="s">
        <v>1056</v>
      </c>
      <c r="AD129" s="345"/>
      <c r="AE129" s="285">
        <f t="shared" si="76"/>
        <v>130000</v>
      </c>
      <c r="AF129" s="287">
        <v>0</v>
      </c>
    </row>
    <row r="130" spans="1:32">
      <c r="A130" s="300" t="s">
        <v>1065</v>
      </c>
      <c r="B130" s="301" t="s">
        <v>1073</v>
      </c>
      <c r="C130" s="1" t="s">
        <v>758</v>
      </c>
      <c r="D130" s="1" t="s">
        <v>1067</v>
      </c>
      <c r="E130" s="1" t="s">
        <v>1070</v>
      </c>
      <c r="F130" s="302" t="s">
        <v>1056</v>
      </c>
      <c r="G130" s="1" t="s">
        <v>1061</v>
      </c>
      <c r="H130" s="285" t="s">
        <v>1069</v>
      </c>
      <c r="I130" s="285">
        <v>6</v>
      </c>
      <c r="J130" s="280">
        <f t="shared" si="39"/>
        <v>0.19335466800000001</v>
      </c>
      <c r="K130" s="288">
        <v>0.35</v>
      </c>
      <c r="L130" s="285" t="s">
        <v>1056</v>
      </c>
      <c r="M130" s="340"/>
      <c r="N130" s="289" t="s">
        <v>1056</v>
      </c>
      <c r="O130" s="289" t="s">
        <v>1056</v>
      </c>
      <c r="P130" s="366" t="s">
        <v>1056</v>
      </c>
      <c r="Q130" s="289" t="s">
        <v>1056</v>
      </c>
      <c r="R130" s="345"/>
      <c r="S130" s="289">
        <v>5200000</v>
      </c>
      <c r="T130" s="345"/>
      <c r="U130" s="289" t="s">
        <v>1056</v>
      </c>
      <c r="V130" s="372"/>
      <c r="W130" s="289" t="s">
        <v>1056</v>
      </c>
      <c r="X130" s="372"/>
      <c r="Y130" s="285">
        <f t="shared" si="75"/>
        <v>5200000</v>
      </c>
      <c r="Z130" s="289" t="s">
        <v>1056</v>
      </c>
      <c r="AA130" s="289">
        <v>530000</v>
      </c>
      <c r="AB130" s="289" t="s">
        <v>1056</v>
      </c>
      <c r="AC130" s="289" t="s">
        <v>1056</v>
      </c>
      <c r="AD130" s="345"/>
      <c r="AE130" s="285">
        <f t="shared" si="76"/>
        <v>530000</v>
      </c>
      <c r="AF130" s="287">
        <v>0</v>
      </c>
    </row>
    <row r="131" spans="1:32">
      <c r="A131" s="300" t="s">
        <v>1065</v>
      </c>
      <c r="B131" s="301" t="s">
        <v>1073</v>
      </c>
      <c r="C131" s="1" t="s">
        <v>758</v>
      </c>
      <c r="D131" s="1" t="s">
        <v>1067</v>
      </c>
      <c r="E131" s="1" t="s">
        <v>1070</v>
      </c>
      <c r="F131" s="302" t="s">
        <v>1056</v>
      </c>
      <c r="G131" s="1" t="s">
        <v>51</v>
      </c>
      <c r="H131" s="285" t="s">
        <v>1069</v>
      </c>
      <c r="I131" s="285">
        <f>I130</f>
        <v>6</v>
      </c>
      <c r="J131" s="280">
        <f t="shared" si="39"/>
        <v>0.19335466800000001</v>
      </c>
      <c r="K131" s="288">
        <v>0.99</v>
      </c>
      <c r="L131" s="285" t="s">
        <v>1056</v>
      </c>
      <c r="M131" s="340"/>
      <c r="N131" s="289" t="s">
        <v>1056</v>
      </c>
      <c r="O131" s="289" t="s">
        <v>1056</v>
      </c>
      <c r="P131" s="366" t="s">
        <v>1056</v>
      </c>
      <c r="Q131" s="289" t="s">
        <v>1056</v>
      </c>
      <c r="R131" s="345"/>
      <c r="S131" s="289">
        <f>S130</f>
        <v>5200000</v>
      </c>
      <c r="T131" s="345"/>
      <c r="U131" s="289">
        <v>230000</v>
      </c>
      <c r="V131" s="372"/>
      <c r="W131" s="289" t="s">
        <v>1056</v>
      </c>
      <c r="X131" s="372"/>
      <c r="Y131" s="285">
        <f t="shared" si="75"/>
        <v>5430000</v>
      </c>
      <c r="Z131" s="289" t="s">
        <v>1056</v>
      </c>
      <c r="AA131" s="289">
        <v>530000</v>
      </c>
      <c r="AB131" s="289">
        <v>190000</v>
      </c>
      <c r="AC131" s="289" t="s">
        <v>1056</v>
      </c>
      <c r="AD131" s="345"/>
      <c r="AE131" s="285">
        <f t="shared" si="76"/>
        <v>720000</v>
      </c>
      <c r="AF131" s="287">
        <v>0</v>
      </c>
    </row>
    <row r="132" spans="1:32">
      <c r="A132" s="300" t="s">
        <v>1065</v>
      </c>
      <c r="B132" s="301" t="s">
        <v>1073</v>
      </c>
      <c r="C132" s="1" t="s">
        <v>758</v>
      </c>
      <c r="D132" s="1" t="s">
        <v>1067</v>
      </c>
      <c r="E132" s="1" t="s">
        <v>1070</v>
      </c>
      <c r="F132" s="302" t="s">
        <v>1056</v>
      </c>
      <c r="G132" s="1" t="s">
        <v>1062</v>
      </c>
      <c r="H132" s="285" t="s">
        <v>1069</v>
      </c>
      <c r="I132" s="285">
        <f>I131</f>
        <v>6</v>
      </c>
      <c r="J132" s="280">
        <f t="shared" ref="J132:J195" si="77">I132*$E$289</f>
        <v>0.19335466800000001</v>
      </c>
      <c r="K132" s="288">
        <v>0.99</v>
      </c>
      <c r="L132" s="285" t="s">
        <v>1056</v>
      </c>
      <c r="M132" s="340"/>
      <c r="N132" s="289" t="s">
        <v>1056</v>
      </c>
      <c r="O132" s="289" t="s">
        <v>1056</v>
      </c>
      <c r="P132" s="366" t="s">
        <v>1056</v>
      </c>
      <c r="Q132" s="289" t="s">
        <v>1056</v>
      </c>
      <c r="R132" s="345"/>
      <c r="S132" s="289">
        <f>S131</f>
        <v>5200000</v>
      </c>
      <c r="T132" s="345"/>
      <c r="U132" s="289">
        <v>450000</v>
      </c>
      <c r="V132" s="372"/>
      <c r="W132" s="289" t="s">
        <v>1056</v>
      </c>
      <c r="X132" s="372"/>
      <c r="Y132" s="285">
        <f t="shared" si="75"/>
        <v>5650000</v>
      </c>
      <c r="Z132" s="289" t="s">
        <v>1056</v>
      </c>
      <c r="AA132" s="289">
        <v>530000</v>
      </c>
      <c r="AB132" s="289">
        <v>190000</v>
      </c>
      <c r="AC132" s="286" t="s">
        <v>1069</v>
      </c>
      <c r="AD132" s="345"/>
      <c r="AE132" s="285">
        <f t="shared" si="76"/>
        <v>720000</v>
      </c>
      <c r="AF132" s="287">
        <v>0</v>
      </c>
    </row>
    <row r="133" spans="1:32">
      <c r="A133" s="300" t="s">
        <v>1065</v>
      </c>
      <c r="B133" s="301" t="s">
        <v>1073</v>
      </c>
      <c r="C133" s="1" t="s">
        <v>758</v>
      </c>
      <c r="D133" s="1" t="s">
        <v>1067</v>
      </c>
      <c r="E133" s="1" t="s">
        <v>1070</v>
      </c>
      <c r="F133" s="302" t="s">
        <v>1056</v>
      </c>
      <c r="G133" s="1" t="s">
        <v>1063</v>
      </c>
      <c r="H133" s="285" t="s">
        <v>1069</v>
      </c>
      <c r="I133" s="285">
        <f>I132</f>
        <v>6</v>
      </c>
      <c r="J133" s="280">
        <f t="shared" si="77"/>
        <v>0.19335466800000001</v>
      </c>
      <c r="K133" s="288">
        <v>0</v>
      </c>
      <c r="L133" s="285" t="s">
        <v>1056</v>
      </c>
      <c r="M133" s="340"/>
      <c r="N133" s="289" t="s">
        <v>1056</v>
      </c>
      <c r="O133" s="289" t="s">
        <v>1056</v>
      </c>
      <c r="P133" s="366" t="s">
        <v>1056</v>
      </c>
      <c r="Q133" s="289" t="s">
        <v>1056</v>
      </c>
      <c r="R133" s="345"/>
      <c r="S133" s="289">
        <f>S132</f>
        <v>5200000</v>
      </c>
      <c r="T133" s="345"/>
      <c r="U133" s="289" t="s">
        <v>1056</v>
      </c>
      <c r="V133" s="372"/>
      <c r="W133" s="289">
        <f>W134</f>
        <v>54000000</v>
      </c>
      <c r="X133" s="372"/>
      <c r="Y133" s="285">
        <f t="shared" si="75"/>
        <v>59200000</v>
      </c>
      <c r="Z133" s="289" t="s">
        <v>1056</v>
      </c>
      <c r="AA133" s="289">
        <v>530000</v>
      </c>
      <c r="AB133" s="289" t="s">
        <v>1056</v>
      </c>
      <c r="AC133" s="289" t="s">
        <v>1056</v>
      </c>
      <c r="AD133" s="345"/>
      <c r="AE133" s="285">
        <f t="shared" si="76"/>
        <v>530000</v>
      </c>
      <c r="AF133" s="287">
        <v>0</v>
      </c>
    </row>
    <row r="134" spans="1:32">
      <c r="A134" s="300" t="s">
        <v>1065</v>
      </c>
      <c r="B134" s="301" t="s">
        <v>1073</v>
      </c>
      <c r="C134" s="1" t="s">
        <v>758</v>
      </c>
      <c r="D134" s="1" t="s">
        <v>1067</v>
      </c>
      <c r="E134" s="1" t="s">
        <v>1070</v>
      </c>
      <c r="F134" s="302" t="s">
        <v>1056</v>
      </c>
      <c r="G134" s="1" t="s">
        <v>1064</v>
      </c>
      <c r="H134" s="285" t="s">
        <v>1069</v>
      </c>
      <c r="I134" s="285">
        <f>I133</f>
        <v>6</v>
      </c>
      <c r="J134" s="280">
        <f t="shared" si="77"/>
        <v>0.19335466800000001</v>
      </c>
      <c r="K134" s="288">
        <v>0</v>
      </c>
      <c r="L134" s="285" t="s">
        <v>1056</v>
      </c>
      <c r="M134" s="340"/>
      <c r="N134" s="289" t="s">
        <v>1056</v>
      </c>
      <c r="O134" s="289" t="s">
        <v>1056</v>
      </c>
      <c r="P134" s="366" t="s">
        <v>1056</v>
      </c>
      <c r="Q134" s="289" t="s">
        <v>1056</v>
      </c>
      <c r="R134" s="345"/>
      <c r="S134" s="289">
        <f>S133</f>
        <v>5200000</v>
      </c>
      <c r="T134" s="345"/>
      <c r="U134" s="289" t="s">
        <v>1056</v>
      </c>
      <c r="V134" s="372"/>
      <c r="W134" s="289">
        <v>54000000</v>
      </c>
      <c r="X134" s="372"/>
      <c r="Y134" s="285">
        <f t="shared" si="75"/>
        <v>59200000</v>
      </c>
      <c r="Z134" s="289" t="s">
        <v>1056</v>
      </c>
      <c r="AA134" s="289">
        <v>530000</v>
      </c>
      <c r="AB134" s="289" t="s">
        <v>1056</v>
      </c>
      <c r="AC134" s="289" t="s">
        <v>1056</v>
      </c>
      <c r="AD134" s="345"/>
      <c r="AE134" s="285">
        <f t="shared" si="76"/>
        <v>530000</v>
      </c>
      <c r="AF134" s="287">
        <v>0</v>
      </c>
    </row>
    <row r="135" spans="1:32">
      <c r="A135" s="300" t="s">
        <v>1065</v>
      </c>
      <c r="B135" s="301" t="s">
        <v>1074</v>
      </c>
      <c r="C135" s="1" t="s">
        <v>754</v>
      </c>
      <c r="D135" s="1" t="s">
        <v>1067</v>
      </c>
      <c r="E135" s="1" t="s">
        <v>1068</v>
      </c>
      <c r="F135" s="302" t="s">
        <v>1056</v>
      </c>
      <c r="G135" s="1" t="s">
        <v>1061</v>
      </c>
      <c r="H135" s="285" t="s">
        <v>1069</v>
      </c>
      <c r="I135" s="285">
        <v>4</v>
      </c>
      <c r="J135" s="280">
        <f t="shared" si="77"/>
        <v>0.12890311200000001</v>
      </c>
      <c r="K135" s="288">
        <v>0.35</v>
      </c>
      <c r="L135" s="285" t="s">
        <v>1056</v>
      </c>
      <c r="M135" s="340"/>
      <c r="N135" s="289" t="s">
        <v>1056</v>
      </c>
      <c r="O135" s="289" t="s">
        <v>1056</v>
      </c>
      <c r="P135" s="366" t="s">
        <v>1056</v>
      </c>
      <c r="Q135" s="289">
        <v>1200000</v>
      </c>
      <c r="R135" s="345"/>
      <c r="S135" s="289">
        <v>3000000</v>
      </c>
      <c r="T135" s="345"/>
      <c r="U135" s="289" t="s">
        <v>1056</v>
      </c>
      <c r="V135" s="372"/>
      <c r="W135" s="289" t="s">
        <v>1056</v>
      </c>
      <c r="X135" s="372"/>
      <c r="Y135" s="285">
        <f t="shared" si="75"/>
        <v>4200000</v>
      </c>
      <c r="Z135" s="289">
        <v>55000</v>
      </c>
      <c r="AA135" s="289">
        <v>130000</v>
      </c>
      <c r="AB135" s="289" t="s">
        <v>1056</v>
      </c>
      <c r="AC135" s="289" t="s">
        <v>1056</v>
      </c>
      <c r="AD135" s="345"/>
      <c r="AE135" s="285">
        <f t="shared" si="76"/>
        <v>185000</v>
      </c>
      <c r="AF135" s="287">
        <v>0</v>
      </c>
    </row>
    <row r="136" spans="1:32">
      <c r="A136" s="300" t="s">
        <v>1065</v>
      </c>
      <c r="B136" s="301" t="s">
        <v>1074</v>
      </c>
      <c r="C136" s="1" t="s">
        <v>754</v>
      </c>
      <c r="D136" s="1" t="s">
        <v>1067</v>
      </c>
      <c r="E136" s="1" t="s">
        <v>1068</v>
      </c>
      <c r="F136" s="302" t="s">
        <v>1056</v>
      </c>
      <c r="G136" s="1" t="s">
        <v>51</v>
      </c>
      <c r="H136" s="285" t="s">
        <v>1069</v>
      </c>
      <c r="I136" s="285">
        <f>I135</f>
        <v>4</v>
      </c>
      <c r="J136" s="280">
        <f t="shared" si="77"/>
        <v>0.12890311200000001</v>
      </c>
      <c r="K136" s="288">
        <v>0.99</v>
      </c>
      <c r="L136" s="285" t="s">
        <v>1056</v>
      </c>
      <c r="M136" s="340"/>
      <c r="N136" s="289" t="s">
        <v>1056</v>
      </c>
      <c r="O136" s="289" t="s">
        <v>1056</v>
      </c>
      <c r="P136" s="366" t="s">
        <v>1056</v>
      </c>
      <c r="Q136" s="289">
        <v>1200000</v>
      </c>
      <c r="R136" s="345"/>
      <c r="S136" s="289">
        <v>3000000</v>
      </c>
      <c r="T136" s="345"/>
      <c r="U136" s="289">
        <v>230000</v>
      </c>
      <c r="V136" s="372"/>
      <c r="W136" s="289" t="s">
        <v>1056</v>
      </c>
      <c r="X136" s="372"/>
      <c r="Y136" s="285">
        <f t="shared" si="75"/>
        <v>4430000</v>
      </c>
      <c r="Z136" s="289">
        <v>55000</v>
      </c>
      <c r="AA136" s="289">
        <v>130000</v>
      </c>
      <c r="AB136" s="289">
        <v>46000</v>
      </c>
      <c r="AC136" s="289" t="s">
        <v>1056</v>
      </c>
      <c r="AD136" s="345"/>
      <c r="AE136" s="285">
        <f t="shared" si="76"/>
        <v>231000</v>
      </c>
      <c r="AF136" s="287">
        <v>0</v>
      </c>
    </row>
    <row r="137" spans="1:32">
      <c r="A137" s="300" t="s">
        <v>1065</v>
      </c>
      <c r="B137" s="301" t="s">
        <v>1074</v>
      </c>
      <c r="C137" s="1" t="s">
        <v>754</v>
      </c>
      <c r="D137" s="1" t="s">
        <v>1067</v>
      </c>
      <c r="E137" s="1" t="s">
        <v>1068</v>
      </c>
      <c r="F137" s="302" t="s">
        <v>1056</v>
      </c>
      <c r="G137" s="1" t="s">
        <v>1062</v>
      </c>
      <c r="H137" s="285" t="s">
        <v>1069</v>
      </c>
      <c r="I137" s="285">
        <f>I136</f>
        <v>4</v>
      </c>
      <c r="J137" s="280">
        <f t="shared" si="77"/>
        <v>0.12890311200000001</v>
      </c>
      <c r="K137" s="288">
        <v>0.99</v>
      </c>
      <c r="L137" s="285" t="s">
        <v>1056</v>
      </c>
      <c r="M137" s="340"/>
      <c r="N137" s="289" t="s">
        <v>1056</v>
      </c>
      <c r="O137" s="289" t="s">
        <v>1056</v>
      </c>
      <c r="P137" s="366" t="s">
        <v>1056</v>
      </c>
      <c r="Q137" s="289">
        <v>1200000</v>
      </c>
      <c r="R137" s="345"/>
      <c r="S137" s="289">
        <v>3000000</v>
      </c>
      <c r="T137" s="345"/>
      <c r="U137" s="289">
        <v>450000</v>
      </c>
      <c r="V137" s="372"/>
      <c r="W137" s="289" t="s">
        <v>1056</v>
      </c>
      <c r="X137" s="372"/>
      <c r="Y137" s="285">
        <f t="shared" si="75"/>
        <v>4650000</v>
      </c>
      <c r="Z137" s="289">
        <v>55000</v>
      </c>
      <c r="AA137" s="289">
        <v>130000</v>
      </c>
      <c r="AB137" s="289">
        <v>46000</v>
      </c>
      <c r="AC137" s="286" t="s">
        <v>1069</v>
      </c>
      <c r="AD137" s="345"/>
      <c r="AE137" s="285">
        <f t="shared" si="76"/>
        <v>231000</v>
      </c>
      <c r="AF137" s="287">
        <v>0</v>
      </c>
    </row>
    <row r="138" spans="1:32">
      <c r="A138" s="300" t="s">
        <v>1065</v>
      </c>
      <c r="B138" s="301" t="s">
        <v>1074</v>
      </c>
      <c r="C138" s="1" t="s">
        <v>754</v>
      </c>
      <c r="D138" s="1" t="s">
        <v>1067</v>
      </c>
      <c r="E138" s="1" t="s">
        <v>1068</v>
      </c>
      <c r="F138" s="302" t="s">
        <v>1056</v>
      </c>
      <c r="G138" s="1" t="s">
        <v>1063</v>
      </c>
      <c r="H138" s="285" t="s">
        <v>1069</v>
      </c>
      <c r="I138" s="285">
        <f>I137</f>
        <v>4</v>
      </c>
      <c r="J138" s="280">
        <f t="shared" si="77"/>
        <v>0.12890311200000001</v>
      </c>
      <c r="K138" s="288">
        <v>0</v>
      </c>
      <c r="L138" s="285" t="s">
        <v>1056</v>
      </c>
      <c r="M138" s="340"/>
      <c r="N138" s="289" t="s">
        <v>1056</v>
      </c>
      <c r="O138" s="289" t="s">
        <v>1056</v>
      </c>
      <c r="P138" s="366" t="s">
        <v>1056</v>
      </c>
      <c r="Q138" s="289">
        <v>1200000</v>
      </c>
      <c r="R138" s="345"/>
      <c r="S138" s="289">
        <v>3000000</v>
      </c>
      <c r="T138" s="345"/>
      <c r="U138" s="289" t="s">
        <v>1056</v>
      </c>
      <c r="V138" s="372"/>
      <c r="W138" s="289">
        <f>W139</f>
        <v>54000000</v>
      </c>
      <c r="X138" s="372"/>
      <c r="Y138" s="285">
        <f t="shared" si="75"/>
        <v>58200000</v>
      </c>
      <c r="Z138" s="289">
        <v>55000</v>
      </c>
      <c r="AA138" s="289">
        <v>130000</v>
      </c>
      <c r="AB138" s="289" t="s">
        <v>1056</v>
      </c>
      <c r="AC138" s="289" t="s">
        <v>1056</v>
      </c>
      <c r="AD138" s="345"/>
      <c r="AE138" s="285">
        <f t="shared" si="76"/>
        <v>185000</v>
      </c>
      <c r="AF138" s="287">
        <v>0</v>
      </c>
    </row>
    <row r="139" spans="1:32">
      <c r="A139" s="300" t="s">
        <v>1065</v>
      </c>
      <c r="B139" s="301" t="s">
        <v>1074</v>
      </c>
      <c r="C139" s="1" t="s">
        <v>754</v>
      </c>
      <c r="D139" s="1" t="s">
        <v>1067</v>
      </c>
      <c r="E139" s="1" t="s">
        <v>1068</v>
      </c>
      <c r="F139" s="302" t="s">
        <v>1056</v>
      </c>
      <c r="G139" s="1" t="s">
        <v>1064</v>
      </c>
      <c r="H139" s="285" t="s">
        <v>1069</v>
      </c>
      <c r="I139" s="285">
        <f>I138</f>
        <v>4</v>
      </c>
      <c r="J139" s="280">
        <f t="shared" si="77"/>
        <v>0.12890311200000001</v>
      </c>
      <c r="K139" s="288">
        <v>0</v>
      </c>
      <c r="L139" s="285" t="s">
        <v>1056</v>
      </c>
      <c r="M139" s="340"/>
      <c r="N139" s="289" t="s">
        <v>1056</v>
      </c>
      <c r="O139" s="289" t="s">
        <v>1056</v>
      </c>
      <c r="P139" s="366" t="s">
        <v>1056</v>
      </c>
      <c r="Q139" s="289">
        <v>1200000</v>
      </c>
      <c r="R139" s="345"/>
      <c r="S139" s="289">
        <v>3000000</v>
      </c>
      <c r="T139" s="345"/>
      <c r="U139" s="289" t="s">
        <v>1056</v>
      </c>
      <c r="V139" s="372"/>
      <c r="W139" s="289">
        <v>54000000</v>
      </c>
      <c r="X139" s="372"/>
      <c r="Y139" s="285">
        <f t="shared" si="75"/>
        <v>58200000</v>
      </c>
      <c r="Z139" s="289">
        <v>55000</v>
      </c>
      <c r="AA139" s="289">
        <v>130000</v>
      </c>
      <c r="AB139" s="289" t="s">
        <v>1056</v>
      </c>
      <c r="AC139" s="289" t="s">
        <v>1056</v>
      </c>
      <c r="AD139" s="345"/>
      <c r="AE139" s="285">
        <f t="shared" si="76"/>
        <v>185000</v>
      </c>
      <c r="AF139" s="287">
        <v>0</v>
      </c>
    </row>
    <row r="140" spans="1:32">
      <c r="A140" s="300" t="s">
        <v>1065</v>
      </c>
      <c r="B140" s="301" t="s">
        <v>1074</v>
      </c>
      <c r="C140" s="1" t="s">
        <v>758</v>
      </c>
      <c r="D140" s="1" t="s">
        <v>1067</v>
      </c>
      <c r="E140" s="1" t="s">
        <v>1070</v>
      </c>
      <c r="F140" s="302" t="s">
        <v>1056</v>
      </c>
      <c r="G140" s="1" t="s">
        <v>1061</v>
      </c>
      <c r="H140" s="285" t="s">
        <v>1069</v>
      </c>
      <c r="I140" s="285">
        <v>6</v>
      </c>
      <c r="J140" s="280">
        <f t="shared" si="77"/>
        <v>0.19335466800000001</v>
      </c>
      <c r="K140" s="288">
        <v>0.35</v>
      </c>
      <c r="L140" s="285" t="s">
        <v>1056</v>
      </c>
      <c r="M140" s="340"/>
      <c r="N140" s="289" t="s">
        <v>1056</v>
      </c>
      <c r="O140" s="289" t="s">
        <v>1056</v>
      </c>
      <c r="P140" s="366" t="s">
        <v>1056</v>
      </c>
      <c r="Q140" s="289">
        <v>3300000</v>
      </c>
      <c r="R140" s="345"/>
      <c r="S140" s="289">
        <v>5200000</v>
      </c>
      <c r="T140" s="345"/>
      <c r="U140" s="289" t="s">
        <v>1056</v>
      </c>
      <c r="V140" s="372"/>
      <c r="W140" s="289" t="s">
        <v>1056</v>
      </c>
      <c r="X140" s="372"/>
      <c r="Y140" s="285">
        <f t="shared" si="75"/>
        <v>8500000</v>
      </c>
      <c r="Z140" s="289">
        <v>160000</v>
      </c>
      <c r="AA140" s="289">
        <v>530000</v>
      </c>
      <c r="AB140" s="289" t="s">
        <v>1056</v>
      </c>
      <c r="AC140" s="289" t="s">
        <v>1056</v>
      </c>
      <c r="AD140" s="345"/>
      <c r="AE140" s="285">
        <f t="shared" si="76"/>
        <v>690000</v>
      </c>
      <c r="AF140" s="287">
        <v>0</v>
      </c>
    </row>
    <row r="141" spans="1:32">
      <c r="A141" s="300" t="s">
        <v>1065</v>
      </c>
      <c r="B141" s="301" t="s">
        <v>1074</v>
      </c>
      <c r="C141" s="1" t="s">
        <v>758</v>
      </c>
      <c r="D141" s="1" t="s">
        <v>1067</v>
      </c>
      <c r="E141" s="1" t="s">
        <v>1070</v>
      </c>
      <c r="F141" s="302" t="s">
        <v>1056</v>
      </c>
      <c r="G141" s="1" t="s">
        <v>51</v>
      </c>
      <c r="H141" s="285" t="s">
        <v>1069</v>
      </c>
      <c r="I141" s="285">
        <f>I140</f>
        <v>6</v>
      </c>
      <c r="J141" s="280">
        <f t="shared" si="77"/>
        <v>0.19335466800000001</v>
      </c>
      <c r="K141" s="288">
        <v>0.99</v>
      </c>
      <c r="L141" s="285" t="s">
        <v>1056</v>
      </c>
      <c r="M141" s="340"/>
      <c r="N141" s="289" t="s">
        <v>1056</v>
      </c>
      <c r="O141" s="289" t="s">
        <v>1056</v>
      </c>
      <c r="P141" s="366" t="s">
        <v>1056</v>
      </c>
      <c r="Q141" s="289">
        <v>3300000</v>
      </c>
      <c r="R141" s="345"/>
      <c r="S141" s="289">
        <v>5200000</v>
      </c>
      <c r="T141" s="345"/>
      <c r="U141" s="289">
        <v>230000</v>
      </c>
      <c r="V141" s="372"/>
      <c r="W141" s="289" t="s">
        <v>1056</v>
      </c>
      <c r="X141" s="372"/>
      <c r="Y141" s="285">
        <f t="shared" si="75"/>
        <v>8730000</v>
      </c>
      <c r="Z141" s="289">
        <v>160000</v>
      </c>
      <c r="AA141" s="289">
        <v>530000</v>
      </c>
      <c r="AB141" s="289">
        <v>190000</v>
      </c>
      <c r="AC141" s="289" t="s">
        <v>1056</v>
      </c>
      <c r="AD141" s="345"/>
      <c r="AE141" s="285">
        <f t="shared" si="76"/>
        <v>880000</v>
      </c>
      <c r="AF141" s="287">
        <v>0</v>
      </c>
    </row>
    <row r="142" spans="1:32">
      <c r="A142" s="300" t="s">
        <v>1065</v>
      </c>
      <c r="B142" s="301" t="s">
        <v>1074</v>
      </c>
      <c r="C142" s="1" t="s">
        <v>758</v>
      </c>
      <c r="D142" s="1" t="s">
        <v>1067</v>
      </c>
      <c r="E142" s="1" t="s">
        <v>1070</v>
      </c>
      <c r="F142" s="302" t="s">
        <v>1056</v>
      </c>
      <c r="G142" s="1" t="s">
        <v>1062</v>
      </c>
      <c r="H142" s="285" t="s">
        <v>1069</v>
      </c>
      <c r="I142" s="285">
        <f>I141</f>
        <v>6</v>
      </c>
      <c r="J142" s="280">
        <f t="shared" si="77"/>
        <v>0.19335466800000001</v>
      </c>
      <c r="K142" s="288">
        <v>0.99</v>
      </c>
      <c r="L142" s="285" t="s">
        <v>1056</v>
      </c>
      <c r="M142" s="340"/>
      <c r="N142" s="289" t="s">
        <v>1056</v>
      </c>
      <c r="O142" s="289" t="s">
        <v>1056</v>
      </c>
      <c r="P142" s="366" t="s">
        <v>1056</v>
      </c>
      <c r="Q142" s="289">
        <v>3300000</v>
      </c>
      <c r="R142" s="345"/>
      <c r="S142" s="289">
        <v>5200000</v>
      </c>
      <c r="T142" s="345"/>
      <c r="U142" s="289">
        <v>450000</v>
      </c>
      <c r="V142" s="372"/>
      <c r="W142" s="289" t="s">
        <v>1056</v>
      </c>
      <c r="X142" s="372"/>
      <c r="Y142" s="285">
        <f t="shared" si="75"/>
        <v>8950000</v>
      </c>
      <c r="Z142" s="289">
        <v>160000</v>
      </c>
      <c r="AA142" s="289">
        <v>530000</v>
      </c>
      <c r="AB142" s="289">
        <v>190000</v>
      </c>
      <c r="AC142" s="286" t="s">
        <v>1069</v>
      </c>
      <c r="AD142" s="345"/>
      <c r="AE142" s="285">
        <f t="shared" si="76"/>
        <v>880000</v>
      </c>
      <c r="AF142" s="287">
        <v>0</v>
      </c>
    </row>
    <row r="143" spans="1:32">
      <c r="A143" s="300" t="s">
        <v>1065</v>
      </c>
      <c r="B143" s="301" t="s">
        <v>1074</v>
      </c>
      <c r="C143" s="1" t="s">
        <v>758</v>
      </c>
      <c r="D143" s="1" t="s">
        <v>1067</v>
      </c>
      <c r="E143" s="1" t="s">
        <v>1070</v>
      </c>
      <c r="F143" s="302" t="s">
        <v>1056</v>
      </c>
      <c r="G143" s="1" t="s">
        <v>1063</v>
      </c>
      <c r="H143" s="285" t="s">
        <v>1069</v>
      </c>
      <c r="I143" s="285">
        <f>I142</f>
        <v>6</v>
      </c>
      <c r="J143" s="280">
        <f t="shared" si="77"/>
        <v>0.19335466800000001</v>
      </c>
      <c r="K143" s="288">
        <v>0</v>
      </c>
      <c r="L143" s="285" t="s">
        <v>1056</v>
      </c>
      <c r="M143" s="340"/>
      <c r="N143" s="289" t="s">
        <v>1056</v>
      </c>
      <c r="O143" s="289" t="s">
        <v>1056</v>
      </c>
      <c r="P143" s="366" t="s">
        <v>1056</v>
      </c>
      <c r="Q143" s="289">
        <v>3300000</v>
      </c>
      <c r="R143" s="345"/>
      <c r="S143" s="289">
        <v>5200000</v>
      </c>
      <c r="T143" s="345"/>
      <c r="U143" s="289" t="s">
        <v>1056</v>
      </c>
      <c r="V143" s="372"/>
      <c r="W143" s="289">
        <f>W144</f>
        <v>54000000</v>
      </c>
      <c r="X143" s="372"/>
      <c r="Y143" s="285">
        <f t="shared" si="75"/>
        <v>62500000</v>
      </c>
      <c r="Z143" s="289">
        <v>160000</v>
      </c>
      <c r="AA143" s="289">
        <v>530000</v>
      </c>
      <c r="AB143" s="289" t="s">
        <v>1056</v>
      </c>
      <c r="AC143" s="289" t="s">
        <v>1056</v>
      </c>
      <c r="AD143" s="345"/>
      <c r="AE143" s="285">
        <f t="shared" si="76"/>
        <v>690000</v>
      </c>
      <c r="AF143" s="287">
        <v>0</v>
      </c>
    </row>
    <row r="144" spans="1:32">
      <c r="A144" s="300" t="s">
        <v>1065</v>
      </c>
      <c r="B144" s="301" t="s">
        <v>1074</v>
      </c>
      <c r="C144" s="1" t="s">
        <v>758</v>
      </c>
      <c r="D144" s="1" t="s">
        <v>1067</v>
      </c>
      <c r="E144" s="1" t="s">
        <v>1070</v>
      </c>
      <c r="F144" s="302" t="s">
        <v>1056</v>
      </c>
      <c r="G144" s="1" t="s">
        <v>1064</v>
      </c>
      <c r="H144" s="285" t="s">
        <v>1069</v>
      </c>
      <c r="I144" s="285">
        <f>I143</f>
        <v>6</v>
      </c>
      <c r="J144" s="280">
        <f t="shared" si="77"/>
        <v>0.19335466800000001</v>
      </c>
      <c r="K144" s="288">
        <v>0</v>
      </c>
      <c r="L144" s="285" t="s">
        <v>1056</v>
      </c>
      <c r="M144" s="340"/>
      <c r="N144" s="289" t="s">
        <v>1056</v>
      </c>
      <c r="O144" s="289" t="s">
        <v>1056</v>
      </c>
      <c r="P144" s="366" t="s">
        <v>1056</v>
      </c>
      <c r="Q144" s="289">
        <v>3300000</v>
      </c>
      <c r="R144" s="345"/>
      <c r="S144" s="289">
        <v>5200000</v>
      </c>
      <c r="T144" s="345"/>
      <c r="U144" s="289" t="s">
        <v>1056</v>
      </c>
      <c r="V144" s="372"/>
      <c r="W144" s="289">
        <v>54000000</v>
      </c>
      <c r="X144" s="372"/>
      <c r="Y144" s="285">
        <f t="shared" si="75"/>
        <v>62500000</v>
      </c>
      <c r="Z144" s="289">
        <v>160000</v>
      </c>
      <c r="AA144" s="289">
        <v>530000</v>
      </c>
      <c r="AB144" s="289" t="s">
        <v>1056</v>
      </c>
      <c r="AC144" s="289" t="s">
        <v>1056</v>
      </c>
      <c r="AD144" s="345"/>
      <c r="AE144" s="285">
        <f t="shared" si="76"/>
        <v>690000</v>
      </c>
      <c r="AF144" s="287">
        <v>0</v>
      </c>
    </row>
    <row r="145" spans="1:32">
      <c r="A145" s="300" t="s">
        <v>1065</v>
      </c>
      <c r="B145" s="301" t="s">
        <v>1073</v>
      </c>
      <c r="C145" s="1" t="s">
        <v>754</v>
      </c>
      <c r="D145" s="1" t="s">
        <v>1072</v>
      </c>
      <c r="E145" s="1" t="s">
        <v>1068</v>
      </c>
      <c r="F145" s="302" t="s">
        <v>1056</v>
      </c>
      <c r="G145" s="1" t="s">
        <v>1061</v>
      </c>
      <c r="H145" s="285" t="s">
        <v>1069</v>
      </c>
      <c r="I145" s="285">
        <v>5</v>
      </c>
      <c r="J145" s="280">
        <f t="shared" si="77"/>
        <v>0.16112889000000002</v>
      </c>
      <c r="K145" s="288">
        <v>0.35</v>
      </c>
      <c r="L145" s="285" t="s">
        <v>1056</v>
      </c>
      <c r="M145" s="340"/>
      <c r="N145" s="289" t="s">
        <v>1056</v>
      </c>
      <c r="O145" s="289" t="s">
        <v>1056</v>
      </c>
      <c r="P145" s="366" t="s">
        <v>1056</v>
      </c>
      <c r="Q145" s="289" t="s">
        <v>1056</v>
      </c>
      <c r="R145" s="345"/>
      <c r="S145" s="289">
        <v>3000000</v>
      </c>
      <c r="T145" s="345"/>
      <c r="U145" s="289" t="s">
        <v>1056</v>
      </c>
      <c r="V145" s="372"/>
      <c r="W145" s="289" t="s">
        <v>1056</v>
      </c>
      <c r="X145" s="372"/>
      <c r="Y145" s="285">
        <f t="shared" si="75"/>
        <v>3000000</v>
      </c>
      <c r="Z145" s="289" t="s">
        <v>1056</v>
      </c>
      <c r="AA145" s="289">
        <v>130000</v>
      </c>
      <c r="AB145" s="289" t="s">
        <v>1056</v>
      </c>
      <c r="AC145" s="289" t="s">
        <v>1056</v>
      </c>
      <c r="AD145" s="345"/>
      <c r="AE145" s="285">
        <f t="shared" si="76"/>
        <v>130000</v>
      </c>
      <c r="AF145" s="287">
        <v>0</v>
      </c>
    </row>
    <row r="146" spans="1:32">
      <c r="A146" s="300" t="s">
        <v>1065</v>
      </c>
      <c r="B146" s="301" t="s">
        <v>1073</v>
      </c>
      <c r="C146" s="1" t="s">
        <v>754</v>
      </c>
      <c r="D146" s="1" t="s">
        <v>1072</v>
      </c>
      <c r="E146" s="1" t="s">
        <v>1068</v>
      </c>
      <c r="F146" s="302" t="s">
        <v>1056</v>
      </c>
      <c r="G146" s="1" t="s">
        <v>51</v>
      </c>
      <c r="H146" s="285" t="s">
        <v>1069</v>
      </c>
      <c r="I146" s="285">
        <f>I145</f>
        <v>5</v>
      </c>
      <c r="J146" s="280">
        <f t="shared" si="77"/>
        <v>0.16112889000000002</v>
      </c>
      <c r="K146" s="288">
        <v>0.99</v>
      </c>
      <c r="L146" s="285" t="s">
        <v>1056</v>
      </c>
      <c r="M146" s="340"/>
      <c r="N146" s="289" t="s">
        <v>1056</v>
      </c>
      <c r="O146" s="289" t="s">
        <v>1056</v>
      </c>
      <c r="P146" s="366" t="s">
        <v>1056</v>
      </c>
      <c r="Q146" s="289" t="s">
        <v>1056</v>
      </c>
      <c r="R146" s="345"/>
      <c r="S146" s="289">
        <v>3000000</v>
      </c>
      <c r="T146" s="345"/>
      <c r="U146" s="289">
        <v>230000</v>
      </c>
      <c r="V146" s="372"/>
      <c r="W146" s="289" t="s">
        <v>1056</v>
      </c>
      <c r="X146" s="372"/>
      <c r="Y146" s="285">
        <f t="shared" si="75"/>
        <v>3230000</v>
      </c>
      <c r="Z146" s="289" t="s">
        <v>1056</v>
      </c>
      <c r="AA146" s="289">
        <v>130000</v>
      </c>
      <c r="AB146" s="289">
        <v>46000</v>
      </c>
      <c r="AC146" s="289" t="s">
        <v>1056</v>
      </c>
      <c r="AD146" s="345"/>
      <c r="AE146" s="285">
        <f t="shared" si="76"/>
        <v>176000</v>
      </c>
      <c r="AF146" s="287">
        <v>0</v>
      </c>
    </row>
    <row r="147" spans="1:32">
      <c r="A147" s="300" t="s">
        <v>1065</v>
      </c>
      <c r="B147" s="301" t="s">
        <v>1073</v>
      </c>
      <c r="C147" s="1" t="s">
        <v>754</v>
      </c>
      <c r="D147" s="1" t="s">
        <v>1072</v>
      </c>
      <c r="E147" s="1" t="s">
        <v>1068</v>
      </c>
      <c r="F147" s="302" t="s">
        <v>1056</v>
      </c>
      <c r="G147" s="1" t="s">
        <v>1062</v>
      </c>
      <c r="H147" s="285" t="s">
        <v>1069</v>
      </c>
      <c r="I147" s="285">
        <f>I146</f>
        <v>5</v>
      </c>
      <c r="J147" s="280">
        <f t="shared" si="77"/>
        <v>0.16112889000000002</v>
      </c>
      <c r="K147" s="288">
        <v>0.99</v>
      </c>
      <c r="L147" s="285" t="s">
        <v>1056</v>
      </c>
      <c r="M147" s="340"/>
      <c r="N147" s="289" t="s">
        <v>1056</v>
      </c>
      <c r="O147" s="289" t="s">
        <v>1056</v>
      </c>
      <c r="P147" s="366" t="s">
        <v>1056</v>
      </c>
      <c r="Q147" s="289" t="s">
        <v>1056</v>
      </c>
      <c r="R147" s="345"/>
      <c r="S147" s="289">
        <v>3000000</v>
      </c>
      <c r="T147" s="345"/>
      <c r="U147" s="289">
        <v>450000</v>
      </c>
      <c r="V147" s="372"/>
      <c r="W147" s="289" t="s">
        <v>1056</v>
      </c>
      <c r="X147" s="372"/>
      <c r="Y147" s="285">
        <f t="shared" si="75"/>
        <v>3450000</v>
      </c>
      <c r="Z147" s="289" t="s">
        <v>1056</v>
      </c>
      <c r="AA147" s="289">
        <v>130000</v>
      </c>
      <c r="AB147" s="289">
        <v>46000</v>
      </c>
      <c r="AC147" s="286" t="s">
        <v>1069</v>
      </c>
      <c r="AD147" s="345"/>
      <c r="AE147" s="285">
        <f t="shared" si="76"/>
        <v>176000</v>
      </c>
      <c r="AF147" s="287">
        <v>0</v>
      </c>
    </row>
    <row r="148" spans="1:32">
      <c r="A148" s="300" t="s">
        <v>1065</v>
      </c>
      <c r="B148" s="301" t="s">
        <v>1073</v>
      </c>
      <c r="C148" s="1" t="s">
        <v>754</v>
      </c>
      <c r="D148" s="1" t="s">
        <v>1072</v>
      </c>
      <c r="E148" s="1" t="s">
        <v>1068</v>
      </c>
      <c r="F148" s="302" t="s">
        <v>1056</v>
      </c>
      <c r="G148" s="1" t="s">
        <v>1063</v>
      </c>
      <c r="H148" s="285" t="s">
        <v>1069</v>
      </c>
      <c r="I148" s="285">
        <f>I147</f>
        <v>5</v>
      </c>
      <c r="J148" s="280">
        <f t="shared" si="77"/>
        <v>0.16112889000000002</v>
      </c>
      <c r="K148" s="288">
        <v>0</v>
      </c>
      <c r="L148" s="285" t="s">
        <v>1056</v>
      </c>
      <c r="M148" s="340"/>
      <c r="N148" s="289" t="s">
        <v>1056</v>
      </c>
      <c r="O148" s="289" t="s">
        <v>1056</v>
      </c>
      <c r="P148" s="366" t="s">
        <v>1056</v>
      </c>
      <c r="Q148" s="289" t="s">
        <v>1056</v>
      </c>
      <c r="R148" s="345"/>
      <c r="S148" s="289">
        <v>3000000</v>
      </c>
      <c r="T148" s="345"/>
      <c r="U148" s="289" t="s">
        <v>1056</v>
      </c>
      <c r="V148" s="372"/>
      <c r="W148" s="289">
        <f>W149</f>
        <v>54000000</v>
      </c>
      <c r="X148" s="372"/>
      <c r="Y148" s="285">
        <f t="shared" si="75"/>
        <v>57000000</v>
      </c>
      <c r="Z148" s="289" t="s">
        <v>1056</v>
      </c>
      <c r="AA148" s="289">
        <v>130000</v>
      </c>
      <c r="AB148" s="289" t="s">
        <v>1056</v>
      </c>
      <c r="AC148" s="289" t="s">
        <v>1056</v>
      </c>
      <c r="AD148" s="345"/>
      <c r="AE148" s="285">
        <f t="shared" si="76"/>
        <v>130000</v>
      </c>
      <c r="AF148" s="287">
        <v>0</v>
      </c>
    </row>
    <row r="149" spans="1:32">
      <c r="A149" s="300" t="s">
        <v>1065</v>
      </c>
      <c r="B149" s="301" t="s">
        <v>1073</v>
      </c>
      <c r="C149" s="1" t="s">
        <v>754</v>
      </c>
      <c r="D149" s="1" t="s">
        <v>1072</v>
      </c>
      <c r="E149" s="1" t="s">
        <v>1068</v>
      </c>
      <c r="F149" s="302" t="s">
        <v>1056</v>
      </c>
      <c r="G149" s="1" t="s">
        <v>1064</v>
      </c>
      <c r="H149" s="285" t="s">
        <v>1069</v>
      </c>
      <c r="I149" s="285">
        <f>I148</f>
        <v>5</v>
      </c>
      <c r="J149" s="280">
        <f t="shared" si="77"/>
        <v>0.16112889000000002</v>
      </c>
      <c r="K149" s="288">
        <v>0</v>
      </c>
      <c r="L149" s="285" t="s">
        <v>1056</v>
      </c>
      <c r="M149" s="340"/>
      <c r="N149" s="289" t="s">
        <v>1056</v>
      </c>
      <c r="O149" s="289" t="s">
        <v>1056</v>
      </c>
      <c r="P149" s="366" t="s">
        <v>1056</v>
      </c>
      <c r="Q149" s="289" t="s">
        <v>1056</v>
      </c>
      <c r="R149" s="345"/>
      <c r="S149" s="289">
        <v>3000000</v>
      </c>
      <c r="T149" s="345"/>
      <c r="U149" s="289" t="s">
        <v>1056</v>
      </c>
      <c r="V149" s="372"/>
      <c r="W149" s="289">
        <v>54000000</v>
      </c>
      <c r="X149" s="372"/>
      <c r="Y149" s="285">
        <f t="shared" si="75"/>
        <v>57000000</v>
      </c>
      <c r="Z149" s="289" t="s">
        <v>1056</v>
      </c>
      <c r="AA149" s="289">
        <v>130000</v>
      </c>
      <c r="AB149" s="289" t="s">
        <v>1056</v>
      </c>
      <c r="AC149" s="289" t="s">
        <v>1056</v>
      </c>
      <c r="AD149" s="345"/>
      <c r="AE149" s="285">
        <f t="shared" si="76"/>
        <v>130000</v>
      </c>
      <c r="AF149" s="287">
        <v>0</v>
      </c>
    </row>
    <row r="150" spans="1:32">
      <c r="A150" s="300" t="s">
        <v>1065</v>
      </c>
      <c r="B150" s="301" t="s">
        <v>1073</v>
      </c>
      <c r="C150" s="1" t="s">
        <v>758</v>
      </c>
      <c r="D150" s="1" t="s">
        <v>1072</v>
      </c>
      <c r="E150" s="1" t="s">
        <v>1070</v>
      </c>
      <c r="F150" s="302" t="s">
        <v>1056</v>
      </c>
      <c r="G150" s="1" t="s">
        <v>1061</v>
      </c>
      <c r="H150" s="285" t="s">
        <v>1069</v>
      </c>
      <c r="I150" s="285">
        <v>7</v>
      </c>
      <c r="J150" s="280">
        <f t="shared" si="77"/>
        <v>0.22558044600000002</v>
      </c>
      <c r="K150" s="288">
        <v>0.35</v>
      </c>
      <c r="L150" s="285" t="s">
        <v>1056</v>
      </c>
      <c r="M150" s="340"/>
      <c r="N150" s="289" t="s">
        <v>1056</v>
      </c>
      <c r="O150" s="289" t="s">
        <v>1056</v>
      </c>
      <c r="P150" s="366" t="s">
        <v>1056</v>
      </c>
      <c r="Q150" s="289" t="s">
        <v>1056</v>
      </c>
      <c r="R150" s="345"/>
      <c r="S150" s="289">
        <v>5200000</v>
      </c>
      <c r="T150" s="345"/>
      <c r="U150" s="289" t="s">
        <v>1056</v>
      </c>
      <c r="V150" s="372"/>
      <c r="W150" s="289" t="s">
        <v>1056</v>
      </c>
      <c r="X150" s="372"/>
      <c r="Y150" s="285">
        <f t="shared" si="75"/>
        <v>5200000</v>
      </c>
      <c r="Z150" s="289" t="s">
        <v>1056</v>
      </c>
      <c r="AA150" s="289">
        <v>530000</v>
      </c>
      <c r="AB150" s="289" t="s">
        <v>1056</v>
      </c>
      <c r="AC150" s="289" t="s">
        <v>1056</v>
      </c>
      <c r="AD150" s="345"/>
      <c r="AE150" s="285">
        <f t="shared" si="76"/>
        <v>530000</v>
      </c>
      <c r="AF150" s="287">
        <v>0</v>
      </c>
    </row>
    <row r="151" spans="1:32">
      <c r="A151" s="300" t="s">
        <v>1065</v>
      </c>
      <c r="B151" s="301" t="s">
        <v>1073</v>
      </c>
      <c r="C151" s="1" t="s">
        <v>758</v>
      </c>
      <c r="D151" s="1" t="s">
        <v>1072</v>
      </c>
      <c r="E151" s="1" t="s">
        <v>1070</v>
      </c>
      <c r="F151" s="302" t="s">
        <v>1056</v>
      </c>
      <c r="G151" s="1" t="s">
        <v>51</v>
      </c>
      <c r="H151" s="285" t="s">
        <v>1069</v>
      </c>
      <c r="I151" s="285">
        <f>I150</f>
        <v>7</v>
      </c>
      <c r="J151" s="280">
        <f t="shared" si="77"/>
        <v>0.22558044600000002</v>
      </c>
      <c r="K151" s="288">
        <v>0.99</v>
      </c>
      <c r="L151" s="285" t="s">
        <v>1056</v>
      </c>
      <c r="M151" s="340"/>
      <c r="N151" s="289" t="s">
        <v>1056</v>
      </c>
      <c r="O151" s="289" t="s">
        <v>1056</v>
      </c>
      <c r="P151" s="366" t="s">
        <v>1056</v>
      </c>
      <c r="Q151" s="289" t="s">
        <v>1056</v>
      </c>
      <c r="R151" s="345"/>
      <c r="S151" s="289">
        <v>5200000</v>
      </c>
      <c r="T151" s="345"/>
      <c r="U151" s="289">
        <v>230000</v>
      </c>
      <c r="V151" s="372"/>
      <c r="W151" s="289" t="s">
        <v>1056</v>
      </c>
      <c r="X151" s="372"/>
      <c r="Y151" s="285">
        <f t="shared" si="75"/>
        <v>5430000</v>
      </c>
      <c r="Z151" s="289" t="s">
        <v>1056</v>
      </c>
      <c r="AA151" s="289">
        <v>530000</v>
      </c>
      <c r="AB151" s="289">
        <v>190000</v>
      </c>
      <c r="AC151" s="289" t="s">
        <v>1056</v>
      </c>
      <c r="AD151" s="345"/>
      <c r="AE151" s="285">
        <f t="shared" si="76"/>
        <v>720000</v>
      </c>
      <c r="AF151" s="287">
        <v>0</v>
      </c>
    </row>
    <row r="152" spans="1:32">
      <c r="A152" s="300" t="s">
        <v>1065</v>
      </c>
      <c r="B152" s="301" t="s">
        <v>1073</v>
      </c>
      <c r="C152" s="1" t="s">
        <v>758</v>
      </c>
      <c r="D152" s="1" t="s">
        <v>1072</v>
      </c>
      <c r="E152" s="1" t="s">
        <v>1070</v>
      </c>
      <c r="F152" s="302" t="s">
        <v>1056</v>
      </c>
      <c r="G152" s="1" t="s">
        <v>1062</v>
      </c>
      <c r="H152" s="285" t="s">
        <v>1069</v>
      </c>
      <c r="I152" s="285">
        <f>I151</f>
        <v>7</v>
      </c>
      <c r="J152" s="280">
        <f t="shared" si="77"/>
        <v>0.22558044600000002</v>
      </c>
      <c r="K152" s="288">
        <v>0.99</v>
      </c>
      <c r="L152" s="285" t="s">
        <v>1056</v>
      </c>
      <c r="M152" s="340"/>
      <c r="N152" s="289" t="s">
        <v>1056</v>
      </c>
      <c r="O152" s="289" t="s">
        <v>1056</v>
      </c>
      <c r="P152" s="366" t="s">
        <v>1056</v>
      </c>
      <c r="Q152" s="289" t="s">
        <v>1056</v>
      </c>
      <c r="R152" s="345"/>
      <c r="S152" s="289">
        <v>5200000</v>
      </c>
      <c r="T152" s="345"/>
      <c r="U152" s="289">
        <v>450000</v>
      </c>
      <c r="V152" s="372"/>
      <c r="W152" s="289" t="s">
        <v>1056</v>
      </c>
      <c r="X152" s="372"/>
      <c r="Y152" s="285">
        <f t="shared" si="75"/>
        <v>5650000</v>
      </c>
      <c r="Z152" s="289" t="s">
        <v>1056</v>
      </c>
      <c r="AA152" s="289">
        <v>530000</v>
      </c>
      <c r="AB152" s="289">
        <v>190000</v>
      </c>
      <c r="AC152" s="286" t="s">
        <v>1069</v>
      </c>
      <c r="AD152" s="345"/>
      <c r="AE152" s="285">
        <f t="shared" si="76"/>
        <v>720000</v>
      </c>
      <c r="AF152" s="287">
        <v>0</v>
      </c>
    </row>
    <row r="153" spans="1:32">
      <c r="A153" s="300" t="s">
        <v>1065</v>
      </c>
      <c r="B153" s="301" t="s">
        <v>1073</v>
      </c>
      <c r="C153" s="1" t="s">
        <v>758</v>
      </c>
      <c r="D153" s="1" t="s">
        <v>1072</v>
      </c>
      <c r="E153" s="1" t="s">
        <v>1070</v>
      </c>
      <c r="F153" s="302" t="s">
        <v>1056</v>
      </c>
      <c r="G153" s="1" t="s">
        <v>1063</v>
      </c>
      <c r="H153" s="285" t="s">
        <v>1069</v>
      </c>
      <c r="I153" s="285">
        <f>I152</f>
        <v>7</v>
      </c>
      <c r="J153" s="280">
        <f t="shared" si="77"/>
        <v>0.22558044600000002</v>
      </c>
      <c r="K153" s="288">
        <v>0</v>
      </c>
      <c r="L153" s="285" t="s">
        <v>1056</v>
      </c>
      <c r="M153" s="340"/>
      <c r="N153" s="289" t="s">
        <v>1056</v>
      </c>
      <c r="O153" s="289" t="s">
        <v>1056</v>
      </c>
      <c r="P153" s="366" t="s">
        <v>1056</v>
      </c>
      <c r="Q153" s="289" t="s">
        <v>1056</v>
      </c>
      <c r="R153" s="345"/>
      <c r="S153" s="289">
        <v>5200000</v>
      </c>
      <c r="T153" s="345"/>
      <c r="U153" s="289" t="s">
        <v>1056</v>
      </c>
      <c r="V153" s="372"/>
      <c r="W153" s="289">
        <f>W154</f>
        <v>54000000</v>
      </c>
      <c r="X153" s="372"/>
      <c r="Y153" s="285">
        <f t="shared" si="75"/>
        <v>59200000</v>
      </c>
      <c r="Z153" s="289" t="s">
        <v>1056</v>
      </c>
      <c r="AA153" s="289">
        <v>530000</v>
      </c>
      <c r="AB153" s="289" t="s">
        <v>1056</v>
      </c>
      <c r="AC153" s="289" t="s">
        <v>1056</v>
      </c>
      <c r="AD153" s="345"/>
      <c r="AE153" s="285">
        <f t="shared" si="76"/>
        <v>530000</v>
      </c>
      <c r="AF153" s="287">
        <v>0</v>
      </c>
    </row>
    <row r="154" spans="1:32">
      <c r="A154" s="300" t="s">
        <v>1065</v>
      </c>
      <c r="B154" s="301" t="s">
        <v>1073</v>
      </c>
      <c r="C154" s="1" t="s">
        <v>758</v>
      </c>
      <c r="D154" s="1" t="s">
        <v>1072</v>
      </c>
      <c r="E154" s="1" t="s">
        <v>1070</v>
      </c>
      <c r="F154" s="302" t="s">
        <v>1056</v>
      </c>
      <c r="G154" s="1" t="s">
        <v>1064</v>
      </c>
      <c r="H154" s="285" t="s">
        <v>1069</v>
      </c>
      <c r="I154" s="285">
        <f>I153</f>
        <v>7</v>
      </c>
      <c r="J154" s="280">
        <f t="shared" si="77"/>
        <v>0.22558044600000002</v>
      </c>
      <c r="K154" s="288">
        <v>0</v>
      </c>
      <c r="L154" s="285" t="s">
        <v>1056</v>
      </c>
      <c r="M154" s="340"/>
      <c r="N154" s="289" t="s">
        <v>1056</v>
      </c>
      <c r="O154" s="289" t="s">
        <v>1056</v>
      </c>
      <c r="P154" s="366" t="s">
        <v>1056</v>
      </c>
      <c r="Q154" s="289" t="s">
        <v>1056</v>
      </c>
      <c r="R154" s="345"/>
      <c r="S154" s="289">
        <v>5200000</v>
      </c>
      <c r="T154" s="345"/>
      <c r="U154" s="289" t="s">
        <v>1056</v>
      </c>
      <c r="V154" s="372"/>
      <c r="W154" s="289">
        <v>54000000</v>
      </c>
      <c r="X154" s="372"/>
      <c r="Y154" s="285">
        <f t="shared" si="75"/>
        <v>59200000</v>
      </c>
      <c r="Z154" s="289" t="s">
        <v>1056</v>
      </c>
      <c r="AA154" s="289">
        <v>530000</v>
      </c>
      <c r="AB154" s="289" t="s">
        <v>1056</v>
      </c>
      <c r="AC154" s="289" t="s">
        <v>1056</v>
      </c>
      <c r="AD154" s="345"/>
      <c r="AE154" s="285">
        <f t="shared" si="76"/>
        <v>530000</v>
      </c>
      <c r="AF154" s="287">
        <v>0</v>
      </c>
    </row>
    <row r="155" spans="1:32">
      <c r="A155" s="300" t="s">
        <v>1065</v>
      </c>
      <c r="B155" s="301" t="s">
        <v>1074</v>
      </c>
      <c r="C155" s="1" t="s">
        <v>754</v>
      </c>
      <c r="D155" s="1" t="s">
        <v>1072</v>
      </c>
      <c r="E155" s="1" t="s">
        <v>1068</v>
      </c>
      <c r="F155" s="302" t="s">
        <v>1056</v>
      </c>
      <c r="G155" s="1" t="s">
        <v>1061</v>
      </c>
      <c r="H155" s="285" t="s">
        <v>1069</v>
      </c>
      <c r="I155" s="285">
        <v>5</v>
      </c>
      <c r="J155" s="280">
        <f t="shared" si="77"/>
        <v>0.16112889000000002</v>
      </c>
      <c r="K155" s="288">
        <v>0.35</v>
      </c>
      <c r="L155" s="285" t="s">
        <v>1056</v>
      </c>
      <c r="M155" s="340"/>
      <c r="N155" s="289" t="s">
        <v>1056</v>
      </c>
      <c r="O155" s="289" t="s">
        <v>1056</v>
      </c>
      <c r="P155" s="366" t="s">
        <v>1056</v>
      </c>
      <c r="Q155" s="289">
        <v>1200000</v>
      </c>
      <c r="R155" s="345"/>
      <c r="S155" s="289">
        <v>3000000</v>
      </c>
      <c r="T155" s="345"/>
      <c r="U155" s="289" t="s">
        <v>1056</v>
      </c>
      <c r="V155" s="372"/>
      <c r="W155" s="289" t="s">
        <v>1056</v>
      </c>
      <c r="X155" s="372"/>
      <c r="Y155" s="285">
        <f t="shared" si="75"/>
        <v>4200000</v>
      </c>
      <c r="Z155" s="289">
        <v>55000</v>
      </c>
      <c r="AA155" s="289">
        <v>130000</v>
      </c>
      <c r="AB155" s="289" t="s">
        <v>1056</v>
      </c>
      <c r="AC155" s="289" t="s">
        <v>1056</v>
      </c>
      <c r="AD155" s="345"/>
      <c r="AE155" s="285">
        <f t="shared" si="76"/>
        <v>185000</v>
      </c>
      <c r="AF155" s="287">
        <v>0</v>
      </c>
    </row>
    <row r="156" spans="1:32">
      <c r="A156" s="300" t="s">
        <v>1065</v>
      </c>
      <c r="B156" s="301" t="s">
        <v>1074</v>
      </c>
      <c r="C156" s="1" t="s">
        <v>754</v>
      </c>
      <c r="D156" s="1" t="s">
        <v>1072</v>
      </c>
      <c r="E156" s="1" t="s">
        <v>1068</v>
      </c>
      <c r="F156" s="302" t="s">
        <v>1056</v>
      </c>
      <c r="G156" s="1" t="s">
        <v>51</v>
      </c>
      <c r="H156" s="285" t="s">
        <v>1069</v>
      </c>
      <c r="I156" s="285">
        <f>I155</f>
        <v>5</v>
      </c>
      <c r="J156" s="280">
        <f t="shared" si="77"/>
        <v>0.16112889000000002</v>
      </c>
      <c r="K156" s="288">
        <v>0.99</v>
      </c>
      <c r="L156" s="285" t="s">
        <v>1056</v>
      </c>
      <c r="M156" s="340"/>
      <c r="N156" s="289" t="s">
        <v>1056</v>
      </c>
      <c r="O156" s="289" t="s">
        <v>1056</v>
      </c>
      <c r="P156" s="366" t="s">
        <v>1056</v>
      </c>
      <c r="Q156" s="289">
        <v>1200000</v>
      </c>
      <c r="R156" s="345"/>
      <c r="S156" s="289">
        <v>3000000</v>
      </c>
      <c r="T156" s="345"/>
      <c r="U156" s="289">
        <v>230000</v>
      </c>
      <c r="V156" s="372"/>
      <c r="W156" s="289" t="s">
        <v>1056</v>
      </c>
      <c r="X156" s="372"/>
      <c r="Y156" s="285">
        <f t="shared" si="75"/>
        <v>4430000</v>
      </c>
      <c r="Z156" s="289">
        <v>55000</v>
      </c>
      <c r="AA156" s="289">
        <v>130000</v>
      </c>
      <c r="AB156" s="289">
        <v>46000</v>
      </c>
      <c r="AC156" s="289" t="s">
        <v>1056</v>
      </c>
      <c r="AD156" s="345"/>
      <c r="AE156" s="285">
        <f t="shared" si="76"/>
        <v>231000</v>
      </c>
      <c r="AF156" s="287">
        <v>0</v>
      </c>
    </row>
    <row r="157" spans="1:32">
      <c r="A157" s="300" t="s">
        <v>1065</v>
      </c>
      <c r="B157" s="301" t="s">
        <v>1074</v>
      </c>
      <c r="C157" s="1" t="s">
        <v>754</v>
      </c>
      <c r="D157" s="1" t="s">
        <v>1072</v>
      </c>
      <c r="E157" s="1" t="s">
        <v>1068</v>
      </c>
      <c r="F157" s="302" t="s">
        <v>1056</v>
      </c>
      <c r="G157" s="1" t="s">
        <v>1062</v>
      </c>
      <c r="H157" s="285" t="s">
        <v>1069</v>
      </c>
      <c r="I157" s="285">
        <f>I156</f>
        <v>5</v>
      </c>
      <c r="J157" s="280">
        <f t="shared" si="77"/>
        <v>0.16112889000000002</v>
      </c>
      <c r="K157" s="288">
        <v>0.99</v>
      </c>
      <c r="L157" s="285" t="s">
        <v>1056</v>
      </c>
      <c r="M157" s="340"/>
      <c r="N157" s="289" t="s">
        <v>1056</v>
      </c>
      <c r="O157" s="289" t="s">
        <v>1056</v>
      </c>
      <c r="P157" s="366" t="s">
        <v>1056</v>
      </c>
      <c r="Q157" s="289">
        <v>1200000</v>
      </c>
      <c r="R157" s="345"/>
      <c r="S157" s="289">
        <v>3000000</v>
      </c>
      <c r="T157" s="345"/>
      <c r="U157" s="289">
        <v>450000</v>
      </c>
      <c r="V157" s="372"/>
      <c r="W157" s="289" t="s">
        <v>1056</v>
      </c>
      <c r="X157" s="372"/>
      <c r="Y157" s="285">
        <f t="shared" si="75"/>
        <v>4650000</v>
      </c>
      <c r="Z157" s="289">
        <v>55000</v>
      </c>
      <c r="AA157" s="289">
        <v>130000</v>
      </c>
      <c r="AB157" s="289">
        <v>46000</v>
      </c>
      <c r="AC157" s="286" t="s">
        <v>1069</v>
      </c>
      <c r="AD157" s="345"/>
      <c r="AE157" s="285">
        <f t="shared" si="76"/>
        <v>231000</v>
      </c>
      <c r="AF157" s="287">
        <v>0</v>
      </c>
    </row>
    <row r="158" spans="1:32">
      <c r="A158" s="300" t="s">
        <v>1065</v>
      </c>
      <c r="B158" s="301" t="s">
        <v>1074</v>
      </c>
      <c r="C158" s="1" t="s">
        <v>754</v>
      </c>
      <c r="D158" s="1" t="s">
        <v>1072</v>
      </c>
      <c r="E158" s="1" t="s">
        <v>1068</v>
      </c>
      <c r="F158" s="302" t="s">
        <v>1056</v>
      </c>
      <c r="G158" s="1" t="s">
        <v>1063</v>
      </c>
      <c r="H158" s="285" t="s">
        <v>1069</v>
      </c>
      <c r="I158" s="285">
        <f>I157</f>
        <v>5</v>
      </c>
      <c r="J158" s="280">
        <f t="shared" si="77"/>
        <v>0.16112889000000002</v>
      </c>
      <c r="K158" s="288">
        <v>0</v>
      </c>
      <c r="L158" s="285" t="s">
        <v>1056</v>
      </c>
      <c r="M158" s="340"/>
      <c r="N158" s="289" t="s">
        <v>1056</v>
      </c>
      <c r="O158" s="289" t="s">
        <v>1056</v>
      </c>
      <c r="P158" s="366" t="s">
        <v>1056</v>
      </c>
      <c r="Q158" s="289">
        <v>1200000</v>
      </c>
      <c r="R158" s="345"/>
      <c r="S158" s="289">
        <v>3000000</v>
      </c>
      <c r="T158" s="345"/>
      <c r="U158" s="289" t="s">
        <v>1056</v>
      </c>
      <c r="V158" s="372"/>
      <c r="W158" s="289">
        <f>W159</f>
        <v>54000000</v>
      </c>
      <c r="X158" s="372"/>
      <c r="Y158" s="285">
        <f t="shared" si="75"/>
        <v>58200000</v>
      </c>
      <c r="Z158" s="289">
        <v>55000</v>
      </c>
      <c r="AA158" s="289">
        <v>130000</v>
      </c>
      <c r="AB158" s="289" t="s">
        <v>1056</v>
      </c>
      <c r="AC158" s="289" t="s">
        <v>1056</v>
      </c>
      <c r="AD158" s="345"/>
      <c r="AE158" s="285">
        <f t="shared" si="76"/>
        <v>185000</v>
      </c>
      <c r="AF158" s="287">
        <v>0</v>
      </c>
    </row>
    <row r="159" spans="1:32">
      <c r="A159" s="300" t="s">
        <v>1065</v>
      </c>
      <c r="B159" s="301" t="s">
        <v>1074</v>
      </c>
      <c r="C159" s="1" t="s">
        <v>754</v>
      </c>
      <c r="D159" s="1" t="s">
        <v>1072</v>
      </c>
      <c r="E159" s="1" t="s">
        <v>1068</v>
      </c>
      <c r="F159" s="302" t="s">
        <v>1056</v>
      </c>
      <c r="G159" s="1" t="s">
        <v>1064</v>
      </c>
      <c r="H159" s="285" t="s">
        <v>1069</v>
      </c>
      <c r="I159" s="285">
        <f>I158</f>
        <v>5</v>
      </c>
      <c r="J159" s="280">
        <f t="shared" si="77"/>
        <v>0.16112889000000002</v>
      </c>
      <c r="K159" s="288">
        <v>0</v>
      </c>
      <c r="L159" s="285" t="s">
        <v>1056</v>
      </c>
      <c r="M159" s="340"/>
      <c r="N159" s="289" t="s">
        <v>1056</v>
      </c>
      <c r="O159" s="289" t="s">
        <v>1056</v>
      </c>
      <c r="P159" s="366" t="s">
        <v>1056</v>
      </c>
      <c r="Q159" s="289">
        <v>1200000</v>
      </c>
      <c r="R159" s="345"/>
      <c r="S159" s="289">
        <v>3000000</v>
      </c>
      <c r="T159" s="345"/>
      <c r="U159" s="289" t="s">
        <v>1056</v>
      </c>
      <c r="V159" s="372"/>
      <c r="W159" s="289">
        <v>54000000</v>
      </c>
      <c r="X159" s="372"/>
      <c r="Y159" s="285">
        <f t="shared" si="75"/>
        <v>58200000</v>
      </c>
      <c r="Z159" s="289">
        <v>55000</v>
      </c>
      <c r="AA159" s="289">
        <v>130000</v>
      </c>
      <c r="AB159" s="289" t="s">
        <v>1056</v>
      </c>
      <c r="AC159" s="289" t="s">
        <v>1056</v>
      </c>
      <c r="AD159" s="345"/>
      <c r="AE159" s="285">
        <f t="shared" si="76"/>
        <v>185000</v>
      </c>
      <c r="AF159" s="287">
        <v>0</v>
      </c>
    </row>
    <row r="160" spans="1:32">
      <c r="A160" s="300" t="s">
        <v>1065</v>
      </c>
      <c r="B160" s="301" t="s">
        <v>1074</v>
      </c>
      <c r="C160" s="1" t="s">
        <v>758</v>
      </c>
      <c r="D160" s="1" t="s">
        <v>1072</v>
      </c>
      <c r="E160" s="1" t="s">
        <v>1070</v>
      </c>
      <c r="F160" s="302" t="s">
        <v>1056</v>
      </c>
      <c r="G160" s="1" t="s">
        <v>1061</v>
      </c>
      <c r="H160" s="285" t="s">
        <v>1069</v>
      </c>
      <c r="I160" s="285">
        <v>7</v>
      </c>
      <c r="J160" s="280">
        <f t="shared" si="77"/>
        <v>0.22558044600000002</v>
      </c>
      <c r="K160" s="288">
        <v>0.35</v>
      </c>
      <c r="L160" s="285" t="s">
        <v>1056</v>
      </c>
      <c r="M160" s="340"/>
      <c r="N160" s="289" t="s">
        <v>1056</v>
      </c>
      <c r="O160" s="289" t="s">
        <v>1056</v>
      </c>
      <c r="P160" s="366" t="s">
        <v>1056</v>
      </c>
      <c r="Q160" s="289">
        <v>3300000</v>
      </c>
      <c r="R160" s="345"/>
      <c r="S160" s="289">
        <v>5200000</v>
      </c>
      <c r="T160" s="345"/>
      <c r="U160" s="289" t="s">
        <v>1056</v>
      </c>
      <c r="V160" s="372"/>
      <c r="W160" s="289" t="s">
        <v>1056</v>
      </c>
      <c r="X160" s="372"/>
      <c r="Y160" s="285">
        <f t="shared" si="75"/>
        <v>8500000</v>
      </c>
      <c r="Z160" s="289">
        <v>160000</v>
      </c>
      <c r="AA160" s="289">
        <v>530000</v>
      </c>
      <c r="AB160" s="289" t="s">
        <v>1056</v>
      </c>
      <c r="AC160" s="289" t="s">
        <v>1056</v>
      </c>
      <c r="AD160" s="345"/>
      <c r="AE160" s="285">
        <f t="shared" si="76"/>
        <v>690000</v>
      </c>
      <c r="AF160" s="287">
        <v>0</v>
      </c>
    </row>
    <row r="161" spans="1:32">
      <c r="A161" s="300" t="s">
        <v>1065</v>
      </c>
      <c r="B161" s="301" t="s">
        <v>1074</v>
      </c>
      <c r="C161" s="1" t="s">
        <v>758</v>
      </c>
      <c r="D161" s="1" t="s">
        <v>1072</v>
      </c>
      <c r="E161" s="1" t="s">
        <v>1070</v>
      </c>
      <c r="F161" s="302" t="s">
        <v>1056</v>
      </c>
      <c r="G161" s="1" t="s">
        <v>51</v>
      </c>
      <c r="H161" s="285" t="s">
        <v>1069</v>
      </c>
      <c r="I161" s="285">
        <f>I160</f>
        <v>7</v>
      </c>
      <c r="J161" s="280">
        <f t="shared" si="77"/>
        <v>0.22558044600000002</v>
      </c>
      <c r="K161" s="288">
        <v>0.99</v>
      </c>
      <c r="L161" s="285" t="s">
        <v>1056</v>
      </c>
      <c r="M161" s="340"/>
      <c r="N161" s="289" t="s">
        <v>1056</v>
      </c>
      <c r="O161" s="289" t="s">
        <v>1056</v>
      </c>
      <c r="P161" s="366" t="s">
        <v>1056</v>
      </c>
      <c r="Q161" s="289">
        <v>3300000</v>
      </c>
      <c r="R161" s="345"/>
      <c r="S161" s="289">
        <v>5200000</v>
      </c>
      <c r="T161" s="345"/>
      <c r="U161" s="289">
        <v>230000</v>
      </c>
      <c r="V161" s="372"/>
      <c r="W161" s="289" t="s">
        <v>1056</v>
      </c>
      <c r="X161" s="372"/>
      <c r="Y161" s="285">
        <f t="shared" si="75"/>
        <v>8730000</v>
      </c>
      <c r="Z161" s="289">
        <v>160000</v>
      </c>
      <c r="AA161" s="289">
        <v>530000</v>
      </c>
      <c r="AB161" s="289">
        <v>190000</v>
      </c>
      <c r="AC161" s="289" t="s">
        <v>1056</v>
      </c>
      <c r="AD161" s="345"/>
      <c r="AE161" s="285">
        <f t="shared" si="76"/>
        <v>880000</v>
      </c>
      <c r="AF161" s="287">
        <v>0</v>
      </c>
    </row>
    <row r="162" spans="1:32">
      <c r="A162" s="300" t="s">
        <v>1065</v>
      </c>
      <c r="B162" s="301" t="s">
        <v>1074</v>
      </c>
      <c r="C162" s="1" t="s">
        <v>758</v>
      </c>
      <c r="D162" s="1" t="s">
        <v>1072</v>
      </c>
      <c r="E162" s="1" t="s">
        <v>1070</v>
      </c>
      <c r="F162" s="302" t="s">
        <v>1056</v>
      </c>
      <c r="G162" s="1" t="s">
        <v>1062</v>
      </c>
      <c r="H162" s="285" t="s">
        <v>1069</v>
      </c>
      <c r="I162" s="285">
        <f>I161</f>
        <v>7</v>
      </c>
      <c r="J162" s="280">
        <f t="shared" si="77"/>
        <v>0.22558044600000002</v>
      </c>
      <c r="K162" s="288">
        <v>0.99</v>
      </c>
      <c r="L162" s="285" t="s">
        <v>1056</v>
      </c>
      <c r="M162" s="340"/>
      <c r="N162" s="289" t="s">
        <v>1056</v>
      </c>
      <c r="O162" s="289" t="s">
        <v>1056</v>
      </c>
      <c r="P162" s="366" t="s">
        <v>1056</v>
      </c>
      <c r="Q162" s="289">
        <v>3300000</v>
      </c>
      <c r="R162" s="345"/>
      <c r="S162" s="289">
        <v>5200000</v>
      </c>
      <c r="T162" s="345"/>
      <c r="U162" s="289">
        <v>450000</v>
      </c>
      <c r="V162" s="372"/>
      <c r="W162" s="289" t="s">
        <v>1056</v>
      </c>
      <c r="X162" s="372"/>
      <c r="Y162" s="285">
        <f t="shared" si="75"/>
        <v>8950000</v>
      </c>
      <c r="Z162" s="289">
        <v>160000</v>
      </c>
      <c r="AA162" s="289">
        <v>530000</v>
      </c>
      <c r="AB162" s="289">
        <v>190000</v>
      </c>
      <c r="AC162" s="286" t="s">
        <v>1069</v>
      </c>
      <c r="AD162" s="345"/>
      <c r="AE162" s="285">
        <f t="shared" si="76"/>
        <v>880000</v>
      </c>
      <c r="AF162" s="287">
        <v>0</v>
      </c>
    </row>
    <row r="163" spans="1:32">
      <c r="A163" s="300" t="s">
        <v>1065</v>
      </c>
      <c r="B163" s="301" t="s">
        <v>1074</v>
      </c>
      <c r="C163" s="1" t="s">
        <v>758</v>
      </c>
      <c r="D163" s="1" t="s">
        <v>1072</v>
      </c>
      <c r="E163" s="1" t="s">
        <v>1070</v>
      </c>
      <c r="F163" s="302" t="s">
        <v>1056</v>
      </c>
      <c r="G163" s="1" t="s">
        <v>1063</v>
      </c>
      <c r="H163" s="285" t="s">
        <v>1069</v>
      </c>
      <c r="I163" s="285">
        <f>I162</f>
        <v>7</v>
      </c>
      <c r="J163" s="280">
        <f t="shared" si="77"/>
        <v>0.22558044600000002</v>
      </c>
      <c r="K163" s="288">
        <v>0</v>
      </c>
      <c r="L163" s="285" t="s">
        <v>1056</v>
      </c>
      <c r="M163" s="340"/>
      <c r="N163" s="289" t="s">
        <v>1056</v>
      </c>
      <c r="O163" s="289" t="s">
        <v>1056</v>
      </c>
      <c r="P163" s="366" t="s">
        <v>1056</v>
      </c>
      <c r="Q163" s="289">
        <v>3300000</v>
      </c>
      <c r="R163" s="345"/>
      <c r="S163" s="289">
        <v>5200000</v>
      </c>
      <c r="T163" s="345"/>
      <c r="U163" s="289" t="s">
        <v>1056</v>
      </c>
      <c r="V163" s="372"/>
      <c r="W163" s="289">
        <f>W164</f>
        <v>54000000</v>
      </c>
      <c r="X163" s="372"/>
      <c r="Y163" s="285">
        <f t="shared" si="75"/>
        <v>62500000</v>
      </c>
      <c r="Z163" s="289">
        <v>160000</v>
      </c>
      <c r="AA163" s="289">
        <v>530000</v>
      </c>
      <c r="AB163" s="289" t="s">
        <v>1056</v>
      </c>
      <c r="AC163" s="289" t="s">
        <v>1056</v>
      </c>
      <c r="AD163" s="345"/>
      <c r="AE163" s="285">
        <f t="shared" si="76"/>
        <v>690000</v>
      </c>
      <c r="AF163" s="287">
        <v>0</v>
      </c>
    </row>
    <row r="164" spans="1:32">
      <c r="A164" s="300" t="s">
        <v>1065</v>
      </c>
      <c r="B164" s="301" t="s">
        <v>1074</v>
      </c>
      <c r="C164" s="1" t="s">
        <v>758</v>
      </c>
      <c r="D164" s="1" t="s">
        <v>1072</v>
      </c>
      <c r="E164" s="1" t="s">
        <v>1070</v>
      </c>
      <c r="F164" s="302" t="s">
        <v>1056</v>
      </c>
      <c r="G164" s="1" t="s">
        <v>1064</v>
      </c>
      <c r="H164" s="285" t="s">
        <v>1069</v>
      </c>
      <c r="I164" s="285">
        <f>I163</f>
        <v>7</v>
      </c>
      <c r="J164" s="296">
        <f t="shared" si="77"/>
        <v>0.22558044600000002</v>
      </c>
      <c r="K164" s="288">
        <v>0</v>
      </c>
      <c r="L164" s="285" t="s">
        <v>1056</v>
      </c>
      <c r="M164" s="340"/>
      <c r="N164" s="289" t="s">
        <v>1056</v>
      </c>
      <c r="O164" s="289" t="s">
        <v>1056</v>
      </c>
      <c r="P164" s="366" t="s">
        <v>1056</v>
      </c>
      <c r="Q164" s="289">
        <v>3300000</v>
      </c>
      <c r="R164" s="345"/>
      <c r="S164" s="289">
        <v>5200000</v>
      </c>
      <c r="T164" s="345"/>
      <c r="U164" s="289" t="s">
        <v>1056</v>
      </c>
      <c r="V164" s="372"/>
      <c r="W164" s="289">
        <v>54000000</v>
      </c>
      <c r="X164" s="372"/>
      <c r="Y164" s="285">
        <f t="shared" si="75"/>
        <v>62500000</v>
      </c>
      <c r="Z164" s="289">
        <v>160000</v>
      </c>
      <c r="AA164" s="289">
        <v>530000</v>
      </c>
      <c r="AB164" s="289" t="s">
        <v>1056</v>
      </c>
      <c r="AC164" s="289" t="s">
        <v>1056</v>
      </c>
      <c r="AD164" s="345"/>
      <c r="AE164" s="285">
        <f t="shared" si="76"/>
        <v>690000</v>
      </c>
      <c r="AF164" s="287">
        <v>0</v>
      </c>
    </row>
    <row r="165" spans="1:32">
      <c r="A165" s="303" t="s">
        <v>1075</v>
      </c>
      <c r="B165" s="304" t="s">
        <v>1056</v>
      </c>
      <c r="C165" s="277" t="s">
        <v>1076</v>
      </c>
      <c r="D165" s="277" t="s">
        <v>1056</v>
      </c>
      <c r="E165" s="277" t="s">
        <v>1077</v>
      </c>
      <c r="F165" s="278" t="s">
        <v>1056</v>
      </c>
      <c r="G165" s="277" t="s">
        <v>1056</v>
      </c>
      <c r="H165" s="279">
        <f>10-H173</f>
        <v>3</v>
      </c>
      <c r="I165" s="279">
        <v>0</v>
      </c>
      <c r="J165" s="280">
        <f t="shared" si="77"/>
        <v>0</v>
      </c>
      <c r="K165" s="305" t="s">
        <v>1056</v>
      </c>
      <c r="L165" s="279" t="s">
        <v>1056</v>
      </c>
      <c r="M165" s="339"/>
      <c r="N165" s="306" t="s">
        <v>1056</v>
      </c>
      <c r="O165" s="306" t="s">
        <v>1056</v>
      </c>
      <c r="P165" s="365" t="s">
        <v>1056</v>
      </c>
      <c r="Q165" s="306" t="s">
        <v>1056</v>
      </c>
      <c r="R165" s="347"/>
      <c r="S165" s="306" t="s">
        <v>1056</v>
      </c>
      <c r="T165" s="347"/>
      <c r="U165" s="306" t="s">
        <v>1056</v>
      </c>
      <c r="V165" s="375"/>
      <c r="W165" s="306" t="s">
        <v>1056</v>
      </c>
      <c r="X165" s="375"/>
      <c r="Y165" s="279" t="s">
        <v>1056</v>
      </c>
      <c r="Z165" s="306" t="s">
        <v>1056</v>
      </c>
      <c r="AA165" s="306" t="s">
        <v>1056</v>
      </c>
      <c r="AB165" s="306" t="s">
        <v>1056</v>
      </c>
      <c r="AC165" s="306" t="s">
        <v>1056</v>
      </c>
      <c r="AD165" s="347"/>
      <c r="AE165" s="279" t="s">
        <v>1056</v>
      </c>
      <c r="AF165" s="282" t="s">
        <v>1056</v>
      </c>
    </row>
    <row r="166" spans="1:32">
      <c r="A166" s="300" t="s">
        <v>1075</v>
      </c>
      <c r="B166" s="301" t="s">
        <v>1056</v>
      </c>
      <c r="C166" s="1" t="s">
        <v>1078</v>
      </c>
      <c r="D166" s="1" t="s">
        <v>1056</v>
      </c>
      <c r="E166" s="1" t="s">
        <v>1079</v>
      </c>
      <c r="F166" s="283" t="s">
        <v>1056</v>
      </c>
      <c r="G166" s="1" t="s">
        <v>1056</v>
      </c>
      <c r="H166" s="285">
        <f>18-H184</f>
        <v>5</v>
      </c>
      <c r="I166" s="285">
        <v>0</v>
      </c>
      <c r="J166" s="280">
        <f t="shared" si="77"/>
        <v>0</v>
      </c>
      <c r="K166" s="288" t="s">
        <v>1056</v>
      </c>
      <c r="L166" s="285" t="s">
        <v>1056</v>
      </c>
      <c r="M166" s="340"/>
      <c r="N166" s="289" t="s">
        <v>1056</v>
      </c>
      <c r="O166" s="289" t="s">
        <v>1056</v>
      </c>
      <c r="P166" s="366" t="s">
        <v>1056</v>
      </c>
      <c r="Q166" s="289" t="s">
        <v>1056</v>
      </c>
      <c r="R166" s="345"/>
      <c r="S166" s="289" t="s">
        <v>1056</v>
      </c>
      <c r="T166" s="345"/>
      <c r="U166" s="289" t="s">
        <v>1056</v>
      </c>
      <c r="V166" s="372"/>
      <c r="W166" s="289" t="s">
        <v>1056</v>
      </c>
      <c r="X166" s="372"/>
      <c r="Y166" s="285" t="s">
        <v>1056</v>
      </c>
      <c r="Z166" s="289" t="s">
        <v>1056</v>
      </c>
      <c r="AA166" s="289" t="s">
        <v>1056</v>
      </c>
      <c r="AB166" s="289" t="s">
        <v>1056</v>
      </c>
      <c r="AC166" s="289" t="s">
        <v>1056</v>
      </c>
      <c r="AD166" s="345"/>
      <c r="AE166" s="285" t="s">
        <v>1056</v>
      </c>
      <c r="AF166" s="287" t="s">
        <v>1056</v>
      </c>
    </row>
    <row r="167" spans="1:32">
      <c r="A167" s="300" t="s">
        <v>1075</v>
      </c>
      <c r="B167" s="301" t="s">
        <v>1056</v>
      </c>
      <c r="C167" s="1" t="s">
        <v>1080</v>
      </c>
      <c r="D167" s="1" t="s">
        <v>1056</v>
      </c>
      <c r="E167" s="1" t="s">
        <v>1081</v>
      </c>
      <c r="F167" s="283" t="s">
        <v>1056</v>
      </c>
      <c r="G167" s="1" t="s">
        <v>1056</v>
      </c>
      <c r="H167" s="285">
        <f>25-H195</f>
        <v>8</v>
      </c>
      <c r="I167" s="285">
        <v>0</v>
      </c>
      <c r="J167" s="280">
        <f t="shared" si="77"/>
        <v>0</v>
      </c>
      <c r="K167" s="288" t="s">
        <v>1056</v>
      </c>
      <c r="L167" s="285" t="s">
        <v>1056</v>
      </c>
      <c r="M167" s="340"/>
      <c r="N167" s="289" t="s">
        <v>1056</v>
      </c>
      <c r="O167" s="289" t="s">
        <v>1056</v>
      </c>
      <c r="P167" s="366" t="s">
        <v>1056</v>
      </c>
      <c r="Q167" s="289" t="s">
        <v>1056</v>
      </c>
      <c r="R167" s="345"/>
      <c r="S167" s="289" t="s">
        <v>1056</v>
      </c>
      <c r="T167" s="345"/>
      <c r="U167" s="289" t="s">
        <v>1056</v>
      </c>
      <c r="V167" s="372"/>
      <c r="W167" s="289" t="s">
        <v>1056</v>
      </c>
      <c r="X167" s="372"/>
      <c r="Y167" s="285" t="s">
        <v>1056</v>
      </c>
      <c r="Z167" s="289" t="s">
        <v>1056</v>
      </c>
      <c r="AA167" s="289" t="s">
        <v>1056</v>
      </c>
      <c r="AB167" s="289" t="s">
        <v>1056</v>
      </c>
      <c r="AC167" s="289" t="s">
        <v>1056</v>
      </c>
      <c r="AD167" s="345"/>
      <c r="AE167" s="285" t="s">
        <v>1056</v>
      </c>
      <c r="AF167" s="287" t="s">
        <v>1056</v>
      </c>
    </row>
    <row r="168" spans="1:32">
      <c r="A168" s="300" t="s">
        <v>1075</v>
      </c>
      <c r="B168" s="301" t="s">
        <v>1056</v>
      </c>
      <c r="C168" s="1" t="s">
        <v>1082</v>
      </c>
      <c r="D168" s="1" t="s">
        <v>1056</v>
      </c>
      <c r="E168" s="1" t="s">
        <v>1083</v>
      </c>
      <c r="F168" s="283" t="s">
        <v>1056</v>
      </c>
      <c r="G168" s="1" t="s">
        <v>1056</v>
      </c>
      <c r="H168" s="285">
        <f>24-H206</f>
        <v>7</v>
      </c>
      <c r="I168" s="285">
        <v>0</v>
      </c>
      <c r="J168" s="280">
        <f t="shared" si="77"/>
        <v>0</v>
      </c>
      <c r="K168" s="288" t="s">
        <v>1056</v>
      </c>
      <c r="L168" s="285" t="s">
        <v>1056</v>
      </c>
      <c r="M168" s="340"/>
      <c r="N168" s="289" t="s">
        <v>1056</v>
      </c>
      <c r="O168" s="289" t="s">
        <v>1056</v>
      </c>
      <c r="P168" s="366" t="s">
        <v>1056</v>
      </c>
      <c r="Q168" s="289" t="s">
        <v>1056</v>
      </c>
      <c r="R168" s="345"/>
      <c r="S168" s="289" t="s">
        <v>1056</v>
      </c>
      <c r="T168" s="345"/>
      <c r="U168" s="289" t="s">
        <v>1056</v>
      </c>
      <c r="V168" s="372"/>
      <c r="W168" s="289" t="s">
        <v>1056</v>
      </c>
      <c r="X168" s="372"/>
      <c r="Y168" s="285" t="s">
        <v>1056</v>
      </c>
      <c r="Z168" s="289" t="s">
        <v>1056</v>
      </c>
      <c r="AA168" s="289" t="s">
        <v>1056</v>
      </c>
      <c r="AB168" s="289" t="s">
        <v>1056</v>
      </c>
      <c r="AC168" s="289" t="s">
        <v>1056</v>
      </c>
      <c r="AD168" s="345"/>
      <c r="AE168" s="285" t="s">
        <v>1056</v>
      </c>
      <c r="AF168" s="287" t="s">
        <v>1056</v>
      </c>
    </row>
    <row r="169" spans="1:32">
      <c r="A169" s="300" t="s">
        <v>1075</v>
      </c>
      <c r="B169" s="301" t="s">
        <v>1056</v>
      </c>
      <c r="C169" s="1" t="s">
        <v>1084</v>
      </c>
      <c r="D169" s="1" t="s">
        <v>1056</v>
      </c>
      <c r="E169" s="1" t="s">
        <v>1085</v>
      </c>
      <c r="F169" s="283" t="s">
        <v>1056</v>
      </c>
      <c r="G169" s="1" t="s">
        <v>1056</v>
      </c>
      <c r="H169" s="285">
        <f>137-H217</f>
        <v>55</v>
      </c>
      <c r="I169" s="285">
        <v>0</v>
      </c>
      <c r="J169" s="280">
        <f t="shared" si="77"/>
        <v>0</v>
      </c>
      <c r="K169" s="288" t="s">
        <v>1056</v>
      </c>
      <c r="L169" s="285" t="s">
        <v>1056</v>
      </c>
      <c r="M169" s="340"/>
      <c r="N169" s="289" t="s">
        <v>1056</v>
      </c>
      <c r="O169" s="289" t="s">
        <v>1056</v>
      </c>
      <c r="P169" s="366" t="s">
        <v>1056</v>
      </c>
      <c r="Q169" s="289" t="s">
        <v>1056</v>
      </c>
      <c r="R169" s="345"/>
      <c r="S169" s="289" t="s">
        <v>1056</v>
      </c>
      <c r="T169" s="345"/>
      <c r="U169" s="289" t="s">
        <v>1056</v>
      </c>
      <c r="V169" s="372"/>
      <c r="W169" s="289" t="s">
        <v>1056</v>
      </c>
      <c r="X169" s="372"/>
      <c r="Y169" s="285" t="s">
        <v>1056</v>
      </c>
      <c r="Z169" s="289" t="s">
        <v>1056</v>
      </c>
      <c r="AA169" s="289" t="s">
        <v>1056</v>
      </c>
      <c r="AB169" s="289" t="s">
        <v>1056</v>
      </c>
      <c r="AC169" s="289" t="s">
        <v>1056</v>
      </c>
      <c r="AD169" s="345"/>
      <c r="AE169" s="285" t="s">
        <v>1056</v>
      </c>
      <c r="AF169" s="287" t="s">
        <v>1056</v>
      </c>
    </row>
    <row r="170" spans="1:32">
      <c r="A170" s="300" t="s">
        <v>1075</v>
      </c>
      <c r="B170" s="301" t="s">
        <v>1056</v>
      </c>
      <c r="C170" s="301" t="s">
        <v>1086</v>
      </c>
      <c r="D170" s="301" t="s">
        <v>1056</v>
      </c>
      <c r="E170" s="301" t="s">
        <v>1087</v>
      </c>
      <c r="F170" s="283" t="s">
        <v>1056</v>
      </c>
      <c r="G170" s="1" t="s">
        <v>1056</v>
      </c>
      <c r="H170" s="285">
        <f>244-H228</f>
        <v>104</v>
      </c>
      <c r="I170" s="285">
        <v>0</v>
      </c>
      <c r="J170" s="280">
        <f t="shared" si="77"/>
        <v>0</v>
      </c>
      <c r="K170" s="288" t="s">
        <v>1056</v>
      </c>
      <c r="L170" s="285" t="s">
        <v>1056</v>
      </c>
      <c r="M170" s="340"/>
      <c r="N170" s="289" t="s">
        <v>1056</v>
      </c>
      <c r="O170" s="289" t="s">
        <v>1056</v>
      </c>
      <c r="P170" s="366" t="s">
        <v>1056</v>
      </c>
      <c r="Q170" s="289" t="s">
        <v>1056</v>
      </c>
      <c r="R170" s="345"/>
      <c r="S170" s="289" t="s">
        <v>1056</v>
      </c>
      <c r="T170" s="345"/>
      <c r="U170" s="289" t="s">
        <v>1056</v>
      </c>
      <c r="V170" s="372"/>
      <c r="W170" s="289" t="s">
        <v>1056</v>
      </c>
      <c r="X170" s="372"/>
      <c r="Y170" s="285" t="s">
        <v>1056</v>
      </c>
      <c r="Z170" s="289" t="s">
        <v>1056</v>
      </c>
      <c r="AA170" s="289" t="s">
        <v>1056</v>
      </c>
      <c r="AB170" s="289" t="s">
        <v>1056</v>
      </c>
      <c r="AC170" s="289" t="s">
        <v>1056</v>
      </c>
      <c r="AD170" s="345"/>
      <c r="AE170" s="285" t="s">
        <v>1056</v>
      </c>
      <c r="AF170" s="287" t="s">
        <v>1056</v>
      </c>
    </row>
    <row r="171" spans="1:32">
      <c r="A171" s="300" t="s">
        <v>1075</v>
      </c>
      <c r="B171" s="301" t="s">
        <v>1056</v>
      </c>
      <c r="C171" s="301" t="s">
        <v>1088</v>
      </c>
      <c r="D171" s="301" t="s">
        <v>1056</v>
      </c>
      <c r="E171" s="301" t="s">
        <v>1089</v>
      </c>
      <c r="F171" s="283" t="s">
        <v>1056</v>
      </c>
      <c r="G171" s="1" t="s">
        <v>1056</v>
      </c>
      <c r="H171" s="285">
        <f>451-H239</f>
        <v>221</v>
      </c>
      <c r="I171" s="285">
        <v>0</v>
      </c>
      <c r="J171" s="280">
        <f t="shared" si="77"/>
        <v>0</v>
      </c>
      <c r="K171" s="288" t="s">
        <v>1056</v>
      </c>
      <c r="L171" s="285" t="s">
        <v>1056</v>
      </c>
      <c r="M171" s="340"/>
      <c r="N171" s="289" t="s">
        <v>1056</v>
      </c>
      <c r="O171" s="289" t="s">
        <v>1056</v>
      </c>
      <c r="P171" s="366" t="s">
        <v>1056</v>
      </c>
      <c r="Q171" s="289" t="s">
        <v>1056</v>
      </c>
      <c r="R171" s="345"/>
      <c r="S171" s="289" t="s">
        <v>1056</v>
      </c>
      <c r="T171" s="345"/>
      <c r="U171" s="289" t="s">
        <v>1056</v>
      </c>
      <c r="V171" s="372"/>
      <c r="W171" s="289" t="s">
        <v>1056</v>
      </c>
      <c r="X171" s="372"/>
      <c r="Y171" s="285" t="s">
        <v>1056</v>
      </c>
      <c r="Z171" s="289" t="s">
        <v>1056</v>
      </c>
      <c r="AA171" s="289" t="s">
        <v>1056</v>
      </c>
      <c r="AB171" s="289" t="s">
        <v>1056</v>
      </c>
      <c r="AC171" s="289" t="s">
        <v>1056</v>
      </c>
      <c r="AD171" s="345"/>
      <c r="AE171" s="285" t="s">
        <v>1056</v>
      </c>
      <c r="AF171" s="287" t="s">
        <v>1056</v>
      </c>
    </row>
    <row r="172" spans="1:32">
      <c r="A172" s="300" t="s">
        <v>1075</v>
      </c>
      <c r="B172" s="301" t="s">
        <v>1056</v>
      </c>
      <c r="C172" s="301" t="s">
        <v>1090</v>
      </c>
      <c r="D172" s="301" t="s">
        <v>1056</v>
      </c>
      <c r="E172" s="301" t="s">
        <v>1091</v>
      </c>
      <c r="F172" s="283" t="s">
        <v>1056</v>
      </c>
      <c r="G172" s="1" t="s">
        <v>1056</v>
      </c>
      <c r="H172" s="285">
        <f>2262-H250</f>
        <v>1417</v>
      </c>
      <c r="I172" s="285">
        <v>0</v>
      </c>
      <c r="J172" s="280">
        <f t="shared" si="77"/>
        <v>0</v>
      </c>
      <c r="K172" s="288" t="s">
        <v>1056</v>
      </c>
      <c r="L172" s="285" t="s">
        <v>1056</v>
      </c>
      <c r="M172" s="340"/>
      <c r="N172" s="289" t="s">
        <v>1056</v>
      </c>
      <c r="O172" s="289" t="s">
        <v>1056</v>
      </c>
      <c r="P172" s="366" t="s">
        <v>1056</v>
      </c>
      <c r="Q172" s="289" t="s">
        <v>1056</v>
      </c>
      <c r="R172" s="345"/>
      <c r="S172" s="289" t="s">
        <v>1056</v>
      </c>
      <c r="T172" s="345"/>
      <c r="U172" s="289" t="s">
        <v>1056</v>
      </c>
      <c r="V172" s="372"/>
      <c r="W172" s="289" t="s">
        <v>1056</v>
      </c>
      <c r="X172" s="372"/>
      <c r="Y172" s="285" t="s">
        <v>1056</v>
      </c>
      <c r="Z172" s="289" t="s">
        <v>1056</v>
      </c>
      <c r="AA172" s="289" t="s">
        <v>1056</v>
      </c>
      <c r="AB172" s="289" t="s">
        <v>1056</v>
      </c>
      <c r="AC172" s="289" t="s">
        <v>1056</v>
      </c>
      <c r="AD172" s="345"/>
      <c r="AE172" s="285" t="s">
        <v>1056</v>
      </c>
      <c r="AF172" s="287" t="s">
        <v>1056</v>
      </c>
    </row>
    <row r="173" spans="1:32">
      <c r="A173" s="300" t="s">
        <v>1075</v>
      </c>
      <c r="B173" s="301" t="s">
        <v>1073</v>
      </c>
      <c r="C173" s="1" t="s">
        <v>1076</v>
      </c>
      <c r="D173" s="1" t="s">
        <v>1056</v>
      </c>
      <c r="E173" s="1" t="s">
        <v>1077</v>
      </c>
      <c r="F173" s="307" t="s">
        <v>3</v>
      </c>
      <c r="G173" s="1" t="s">
        <v>1092</v>
      </c>
      <c r="H173" s="285">
        <v>7</v>
      </c>
      <c r="I173" s="285">
        <f t="shared" ref="I173:I183" si="78">$F$274</f>
        <v>42974069.524991997</v>
      </c>
      <c r="J173" s="280">
        <f t="shared" si="77"/>
        <v>1384872.8242689576</v>
      </c>
      <c r="K173" s="288">
        <v>0</v>
      </c>
      <c r="L173" s="285" t="s">
        <v>1056</v>
      </c>
      <c r="M173" s="340"/>
      <c r="N173" s="289" t="s">
        <v>1056</v>
      </c>
      <c r="O173" s="289">
        <v>0</v>
      </c>
      <c r="P173" s="366">
        <f>SUM(N173:O173)</f>
        <v>0</v>
      </c>
      <c r="Q173" s="289" t="s">
        <v>1056</v>
      </c>
      <c r="R173" s="345"/>
      <c r="S173" s="286" t="s">
        <v>1056</v>
      </c>
      <c r="T173" s="344"/>
      <c r="U173" s="286" t="s">
        <v>1056</v>
      </c>
      <c r="V173" s="371"/>
      <c r="W173" s="286" t="s">
        <v>1056</v>
      </c>
      <c r="X173" s="371"/>
      <c r="Y173" s="285" t="s">
        <v>1056</v>
      </c>
      <c r="Z173" s="289" t="s">
        <v>1056</v>
      </c>
      <c r="AA173" s="286" t="s">
        <v>1056</v>
      </c>
      <c r="AB173" s="289" t="s">
        <v>1056</v>
      </c>
      <c r="AC173" s="286" t="s">
        <v>1056</v>
      </c>
      <c r="AD173" s="344"/>
      <c r="AE173" s="285" t="s">
        <v>1056</v>
      </c>
      <c r="AF173" s="287" t="s">
        <v>1056</v>
      </c>
    </row>
    <row r="174" spans="1:32">
      <c r="A174" s="300" t="s">
        <v>1075</v>
      </c>
      <c r="B174" s="301" t="s">
        <v>1073</v>
      </c>
      <c r="C174" s="1" t="s">
        <v>1076</v>
      </c>
      <c r="D174" s="1" t="s">
        <v>1056</v>
      </c>
      <c r="E174" s="1" t="s">
        <v>1077</v>
      </c>
      <c r="F174" s="283" t="s">
        <v>3</v>
      </c>
      <c r="G174" s="1" t="s">
        <v>1061</v>
      </c>
      <c r="H174" s="285">
        <v>0</v>
      </c>
      <c r="I174" s="285">
        <f t="shared" si="78"/>
        <v>42974069.524991997</v>
      </c>
      <c r="J174" s="280">
        <f t="shared" si="77"/>
        <v>1384872.8242689576</v>
      </c>
      <c r="K174" s="288">
        <v>0.35</v>
      </c>
      <c r="L174" s="285" t="s">
        <v>1056</v>
      </c>
      <c r="M174" s="340"/>
      <c r="N174" s="289" t="s">
        <v>1056</v>
      </c>
      <c r="O174" s="289">
        <v>0</v>
      </c>
      <c r="P174" s="366">
        <f t="shared" ref="P174:P183" si="79">SUM(N174:O174)</f>
        <v>0</v>
      </c>
      <c r="Q174" s="289" t="s">
        <v>1056</v>
      </c>
      <c r="R174" s="345"/>
      <c r="S174" s="289">
        <v>8600000</v>
      </c>
      <c r="T174" s="345"/>
      <c r="U174" s="289" t="s">
        <v>1056</v>
      </c>
      <c r="V174" s="372"/>
      <c r="W174" s="289" t="s">
        <v>1056</v>
      </c>
      <c r="X174" s="372"/>
      <c r="Y174" s="285">
        <f t="shared" ref="Y174:Y183" si="80">SUM(Q174:W174)</f>
        <v>8600000</v>
      </c>
      <c r="Z174" s="289" t="s">
        <v>1056</v>
      </c>
      <c r="AA174" s="289">
        <v>1276000</v>
      </c>
      <c r="AB174" s="289" t="s">
        <v>1056</v>
      </c>
      <c r="AC174" s="289" t="s">
        <v>1056</v>
      </c>
      <c r="AD174" s="345"/>
      <c r="AE174" s="285">
        <f t="shared" ref="AE174:AE183" si="81">SUM(Z174:AD174)</f>
        <v>1276000</v>
      </c>
      <c r="AF174" s="287">
        <v>0</v>
      </c>
    </row>
    <row r="175" spans="1:32">
      <c r="A175" s="300" t="s">
        <v>1075</v>
      </c>
      <c r="B175" s="301" t="s">
        <v>1073</v>
      </c>
      <c r="C175" s="1" t="s">
        <v>1076</v>
      </c>
      <c r="D175" s="1" t="s">
        <v>1056</v>
      </c>
      <c r="E175" s="1" t="s">
        <v>1077</v>
      </c>
      <c r="F175" s="283" t="s">
        <v>3</v>
      </c>
      <c r="G175" s="1" t="s">
        <v>51</v>
      </c>
      <c r="H175" s="285">
        <v>0</v>
      </c>
      <c r="I175" s="285">
        <f t="shared" si="78"/>
        <v>42974069.524991997</v>
      </c>
      <c r="J175" s="280">
        <f t="shared" si="77"/>
        <v>1384872.8242689576</v>
      </c>
      <c r="K175" s="288">
        <v>0.99</v>
      </c>
      <c r="L175" s="285" t="s">
        <v>1056</v>
      </c>
      <c r="M175" s="340"/>
      <c r="N175" s="289" t="s">
        <v>1056</v>
      </c>
      <c r="O175" s="289">
        <v>0</v>
      </c>
      <c r="P175" s="366">
        <f t="shared" si="79"/>
        <v>0</v>
      </c>
      <c r="Q175" s="289" t="s">
        <v>1056</v>
      </c>
      <c r="R175" s="345"/>
      <c r="S175" s="289">
        <v>8600000</v>
      </c>
      <c r="T175" s="345"/>
      <c r="U175" s="289">
        <v>450000</v>
      </c>
      <c r="V175" s="372"/>
      <c r="W175" s="289" t="s">
        <v>1056</v>
      </c>
      <c r="X175" s="372"/>
      <c r="Y175" s="285">
        <f t="shared" si="80"/>
        <v>9050000</v>
      </c>
      <c r="Z175" s="289" t="s">
        <v>1056</v>
      </c>
      <c r="AA175" s="289">
        <v>1276000</v>
      </c>
      <c r="AB175" s="289">
        <v>193800</v>
      </c>
      <c r="AC175" s="289" t="s">
        <v>1056</v>
      </c>
      <c r="AD175" s="345"/>
      <c r="AE175" s="285">
        <f t="shared" si="81"/>
        <v>1469800</v>
      </c>
      <c r="AF175" s="287">
        <v>0</v>
      </c>
    </row>
    <row r="176" spans="1:32">
      <c r="A176" s="300" t="s">
        <v>1075</v>
      </c>
      <c r="B176" s="301" t="s">
        <v>1073</v>
      </c>
      <c r="C176" s="1" t="s">
        <v>1076</v>
      </c>
      <c r="D176" s="1" t="s">
        <v>1056</v>
      </c>
      <c r="E176" s="1" t="s">
        <v>1077</v>
      </c>
      <c r="F176" s="283" t="s">
        <v>3</v>
      </c>
      <c r="G176" s="1" t="s">
        <v>1062</v>
      </c>
      <c r="H176" s="285">
        <v>0</v>
      </c>
      <c r="I176" s="285">
        <f t="shared" si="78"/>
        <v>42974069.524991997</v>
      </c>
      <c r="J176" s="280">
        <f t="shared" si="77"/>
        <v>1384872.8242689576</v>
      </c>
      <c r="K176" s="288">
        <v>0.99</v>
      </c>
      <c r="L176" s="285" t="s">
        <v>1056</v>
      </c>
      <c r="M176" s="340"/>
      <c r="N176" s="289" t="s">
        <v>1056</v>
      </c>
      <c r="O176" s="289">
        <v>0</v>
      </c>
      <c r="P176" s="366">
        <f t="shared" si="79"/>
        <v>0</v>
      </c>
      <c r="Q176" s="289" t="s">
        <v>1056</v>
      </c>
      <c r="R176" s="345"/>
      <c r="S176" s="289">
        <v>8600000</v>
      </c>
      <c r="T176" s="345"/>
      <c r="U176" s="289">
        <v>450000</v>
      </c>
      <c r="V176" s="372"/>
      <c r="W176" s="289" t="s">
        <v>1056</v>
      </c>
      <c r="X176" s="372"/>
      <c r="Y176" s="285">
        <f t="shared" si="80"/>
        <v>9050000</v>
      </c>
      <c r="Z176" s="289" t="s">
        <v>1056</v>
      </c>
      <c r="AA176" s="289">
        <v>1276000</v>
      </c>
      <c r="AB176" s="289">
        <v>193800</v>
      </c>
      <c r="AC176" s="289">
        <f>I176*$C$284*$E$289</f>
        <v>1661847.3891227492</v>
      </c>
      <c r="AD176" s="363">
        <f>J176*1.2*5</f>
        <v>8309236.9456137447</v>
      </c>
      <c r="AE176" s="285">
        <f t="shared" si="81"/>
        <v>11440884.334736494</v>
      </c>
      <c r="AF176" s="287">
        <v>0</v>
      </c>
    </row>
    <row r="177" spans="1:32">
      <c r="A177" s="300" t="s">
        <v>1075</v>
      </c>
      <c r="B177" s="301" t="s">
        <v>1073</v>
      </c>
      <c r="C177" s="1" t="s">
        <v>1076</v>
      </c>
      <c r="D177" s="1" t="s">
        <v>1056</v>
      </c>
      <c r="E177" s="1" t="s">
        <v>1077</v>
      </c>
      <c r="F177" s="283" t="s">
        <v>3</v>
      </c>
      <c r="G177" s="1" t="s">
        <v>1063</v>
      </c>
      <c r="H177" s="285">
        <v>0</v>
      </c>
      <c r="I177" s="285">
        <f t="shared" si="78"/>
        <v>42974069.524991997</v>
      </c>
      <c r="J177" s="280">
        <f t="shared" si="77"/>
        <v>1384872.8242689576</v>
      </c>
      <c r="K177" s="288">
        <v>0</v>
      </c>
      <c r="L177" s="285" t="s">
        <v>1056</v>
      </c>
      <c r="M177" s="340"/>
      <c r="N177" s="289">
        <f t="shared" ref="N177:N183" si="82">$K$274</f>
        <v>480000</v>
      </c>
      <c r="O177" s="289">
        <v>0</v>
      </c>
      <c r="P177" s="366">
        <f t="shared" si="79"/>
        <v>480000</v>
      </c>
      <c r="Q177" s="289" t="s">
        <v>1056</v>
      </c>
      <c r="R177" s="345"/>
      <c r="S177" s="289">
        <v>8600000</v>
      </c>
      <c r="T177" s="345"/>
      <c r="U177" s="289" t="s">
        <v>1056</v>
      </c>
      <c r="V177" s="372"/>
      <c r="W177" s="286">
        <f>W178</f>
        <v>54000000</v>
      </c>
      <c r="X177" s="371"/>
      <c r="Y177" s="285">
        <f t="shared" si="80"/>
        <v>62600000</v>
      </c>
      <c r="Z177" s="289" t="s">
        <v>1056</v>
      </c>
      <c r="AA177" s="289">
        <v>1276000</v>
      </c>
      <c r="AB177" s="289" t="s">
        <v>1056</v>
      </c>
      <c r="AC177" s="289" t="s">
        <v>1056</v>
      </c>
      <c r="AD177" s="345"/>
      <c r="AE177" s="285">
        <f t="shared" si="81"/>
        <v>1276000</v>
      </c>
      <c r="AF177" s="287">
        <v>0</v>
      </c>
    </row>
    <row r="178" spans="1:32">
      <c r="A178" s="300" t="s">
        <v>1075</v>
      </c>
      <c r="B178" s="301" t="s">
        <v>1073</v>
      </c>
      <c r="C178" s="1" t="s">
        <v>1076</v>
      </c>
      <c r="D178" s="1" t="s">
        <v>1056</v>
      </c>
      <c r="E178" s="1" t="s">
        <v>1077</v>
      </c>
      <c r="F178" s="283" t="s">
        <v>3</v>
      </c>
      <c r="G178" s="1" t="s">
        <v>1064</v>
      </c>
      <c r="H178" s="285">
        <v>0</v>
      </c>
      <c r="I178" s="285">
        <f t="shared" si="78"/>
        <v>42974069.524991997</v>
      </c>
      <c r="J178" s="280">
        <f t="shared" si="77"/>
        <v>1384872.8242689576</v>
      </c>
      <c r="K178" s="288">
        <v>0</v>
      </c>
      <c r="L178" s="285" t="s">
        <v>1056</v>
      </c>
      <c r="M178" s="340"/>
      <c r="N178" s="289">
        <f t="shared" si="82"/>
        <v>480000</v>
      </c>
      <c r="O178" s="289">
        <v>0</v>
      </c>
      <c r="P178" s="366">
        <f t="shared" si="79"/>
        <v>480000</v>
      </c>
      <c r="Q178" s="289" t="s">
        <v>1056</v>
      </c>
      <c r="R178" s="345"/>
      <c r="S178" s="289">
        <v>8600000</v>
      </c>
      <c r="T178" s="345"/>
      <c r="U178" s="289" t="s">
        <v>1056</v>
      </c>
      <c r="V178" s="372"/>
      <c r="W178" s="289">
        <v>54000000</v>
      </c>
      <c r="X178" s="372"/>
      <c r="Y178" s="285">
        <f t="shared" si="80"/>
        <v>62600000</v>
      </c>
      <c r="Z178" s="289" t="s">
        <v>1056</v>
      </c>
      <c r="AA178" s="289">
        <v>1276000</v>
      </c>
      <c r="AB178" s="289" t="s">
        <v>1056</v>
      </c>
      <c r="AC178" s="289" t="s">
        <v>1056</v>
      </c>
      <c r="AD178" s="345"/>
      <c r="AE178" s="285">
        <f t="shared" si="81"/>
        <v>1276000</v>
      </c>
      <c r="AF178" s="287">
        <v>0</v>
      </c>
    </row>
    <row r="179" spans="1:32">
      <c r="A179" s="300" t="s">
        <v>1075</v>
      </c>
      <c r="B179" s="301" t="s">
        <v>1074</v>
      </c>
      <c r="C179" s="1" t="s">
        <v>1076</v>
      </c>
      <c r="D179" s="1" t="s">
        <v>1056</v>
      </c>
      <c r="E179" s="1" t="s">
        <v>1077</v>
      </c>
      <c r="F179" s="283" t="s">
        <v>3</v>
      </c>
      <c r="G179" s="1" t="s">
        <v>1061</v>
      </c>
      <c r="H179" s="285">
        <v>1</v>
      </c>
      <c r="I179" s="285">
        <f t="shared" si="78"/>
        <v>42974069.524991997</v>
      </c>
      <c r="J179" s="280">
        <f t="shared" si="77"/>
        <v>1384872.8242689576</v>
      </c>
      <c r="K179" s="288">
        <v>0.35</v>
      </c>
      <c r="L179" s="280">
        <f>$J$274</f>
        <v>43000000</v>
      </c>
      <c r="M179" s="341"/>
      <c r="N179" s="289">
        <f t="shared" si="82"/>
        <v>480000</v>
      </c>
      <c r="O179" s="289">
        <v>0</v>
      </c>
      <c r="P179" s="366">
        <f t="shared" si="79"/>
        <v>480000</v>
      </c>
      <c r="Q179" s="289">
        <f>$H$274</f>
        <v>4769407.32</v>
      </c>
      <c r="R179" s="345"/>
      <c r="S179" s="289">
        <v>8600000</v>
      </c>
      <c r="T179" s="345"/>
      <c r="U179" s="289" t="s">
        <v>1056</v>
      </c>
      <c r="V179" s="372"/>
      <c r="W179" s="289" t="s">
        <v>1056</v>
      </c>
      <c r="X179" s="372"/>
      <c r="Y179" s="285">
        <f t="shared" si="80"/>
        <v>13369407.32</v>
      </c>
      <c r="Z179" s="289">
        <f>$I$274</f>
        <v>224957.334</v>
      </c>
      <c r="AA179" s="289">
        <v>1276000</v>
      </c>
      <c r="AB179" s="289" t="s">
        <v>1056</v>
      </c>
      <c r="AC179" s="289" t="s">
        <v>1056</v>
      </c>
      <c r="AD179" s="345"/>
      <c r="AE179" s="285">
        <f t="shared" si="81"/>
        <v>1500957.334</v>
      </c>
      <c r="AF179" s="287">
        <v>0</v>
      </c>
    </row>
    <row r="180" spans="1:32">
      <c r="A180" s="300" t="s">
        <v>1075</v>
      </c>
      <c r="B180" s="301" t="s">
        <v>1074</v>
      </c>
      <c r="C180" s="1" t="s">
        <v>1076</v>
      </c>
      <c r="D180" s="1" t="s">
        <v>1056</v>
      </c>
      <c r="E180" s="1" t="s">
        <v>1077</v>
      </c>
      <c r="F180" s="283" t="s">
        <v>3</v>
      </c>
      <c r="G180" s="1" t="s">
        <v>51</v>
      </c>
      <c r="H180" s="285">
        <v>0</v>
      </c>
      <c r="I180" s="285">
        <f t="shared" si="78"/>
        <v>42974069.524991997</v>
      </c>
      <c r="J180" s="280">
        <f t="shared" si="77"/>
        <v>1384872.8242689576</v>
      </c>
      <c r="K180" s="288">
        <v>0.99</v>
      </c>
      <c r="L180" s="285">
        <f>$J$274</f>
        <v>43000000</v>
      </c>
      <c r="M180" s="341"/>
      <c r="N180" s="289">
        <f t="shared" si="82"/>
        <v>480000</v>
      </c>
      <c r="O180" s="289">
        <v>0</v>
      </c>
      <c r="P180" s="366">
        <f t="shared" si="79"/>
        <v>480000</v>
      </c>
      <c r="Q180" s="289">
        <f>$H$274</f>
        <v>4769407.32</v>
      </c>
      <c r="R180" s="345"/>
      <c r="S180" s="289">
        <v>8600000</v>
      </c>
      <c r="T180" s="345"/>
      <c r="U180" s="289">
        <v>450000</v>
      </c>
      <c r="V180" s="372"/>
      <c r="W180" s="289" t="s">
        <v>1056</v>
      </c>
      <c r="X180" s="372"/>
      <c r="Y180" s="285">
        <f t="shared" si="80"/>
        <v>13819407.32</v>
      </c>
      <c r="Z180" s="289">
        <f>$I$274</f>
        <v>224957.334</v>
      </c>
      <c r="AA180" s="289">
        <v>1276000</v>
      </c>
      <c r="AB180" s="289">
        <v>193800</v>
      </c>
      <c r="AC180" s="289" t="s">
        <v>1056</v>
      </c>
      <c r="AD180" s="345"/>
      <c r="AE180" s="285">
        <f t="shared" si="81"/>
        <v>1694757.334</v>
      </c>
      <c r="AF180" s="287">
        <v>0</v>
      </c>
    </row>
    <row r="181" spans="1:32">
      <c r="A181" s="300" t="s">
        <v>1075</v>
      </c>
      <c r="B181" s="301" t="s">
        <v>1074</v>
      </c>
      <c r="C181" s="1" t="s">
        <v>1076</v>
      </c>
      <c r="D181" s="1" t="s">
        <v>1056</v>
      </c>
      <c r="E181" s="1" t="s">
        <v>1077</v>
      </c>
      <c r="F181" s="283" t="s">
        <v>3</v>
      </c>
      <c r="G181" s="1" t="s">
        <v>1062</v>
      </c>
      <c r="H181" s="285">
        <v>0</v>
      </c>
      <c r="I181" s="285">
        <f t="shared" si="78"/>
        <v>42974069.524991997</v>
      </c>
      <c r="J181" s="280">
        <f t="shared" si="77"/>
        <v>1384872.8242689576</v>
      </c>
      <c r="K181" s="288">
        <v>0.99</v>
      </c>
      <c r="L181" s="285">
        <f>$J$274</f>
        <v>43000000</v>
      </c>
      <c r="M181" s="341"/>
      <c r="N181" s="289">
        <f t="shared" si="82"/>
        <v>480000</v>
      </c>
      <c r="O181" s="289">
        <v>0</v>
      </c>
      <c r="P181" s="366">
        <f t="shared" si="79"/>
        <v>480000</v>
      </c>
      <c r="Q181" s="289">
        <f>$H$274</f>
        <v>4769407.32</v>
      </c>
      <c r="R181" s="345"/>
      <c r="S181" s="289">
        <v>8600000</v>
      </c>
      <c r="T181" s="345"/>
      <c r="U181" s="289">
        <v>450000</v>
      </c>
      <c r="V181" s="372"/>
      <c r="W181" s="289" t="s">
        <v>1056</v>
      </c>
      <c r="X181" s="372"/>
      <c r="Y181" s="285">
        <f t="shared" si="80"/>
        <v>13819407.32</v>
      </c>
      <c r="Z181" s="289">
        <f>$I$274</f>
        <v>224957.334</v>
      </c>
      <c r="AA181" s="289">
        <v>1276000</v>
      </c>
      <c r="AB181" s="289">
        <v>193800</v>
      </c>
      <c r="AC181" s="289">
        <f>I181*$C$284*$E$289</f>
        <v>1661847.3891227492</v>
      </c>
      <c r="AD181" s="363">
        <f>J181*1.2*5</f>
        <v>8309236.9456137447</v>
      </c>
      <c r="AE181" s="285">
        <f t="shared" si="81"/>
        <v>11665841.668736495</v>
      </c>
      <c r="AF181" s="287">
        <v>0</v>
      </c>
    </row>
    <row r="182" spans="1:32">
      <c r="A182" s="300" t="s">
        <v>1075</v>
      </c>
      <c r="B182" s="301" t="s">
        <v>1074</v>
      </c>
      <c r="C182" s="1" t="s">
        <v>1076</v>
      </c>
      <c r="D182" s="1" t="s">
        <v>1056</v>
      </c>
      <c r="E182" s="1" t="s">
        <v>1077</v>
      </c>
      <c r="F182" s="283" t="s">
        <v>3</v>
      </c>
      <c r="G182" s="1" t="s">
        <v>1063</v>
      </c>
      <c r="H182" s="285">
        <v>0</v>
      </c>
      <c r="I182" s="285">
        <f t="shared" si="78"/>
        <v>42974069.524991997</v>
      </c>
      <c r="J182" s="280">
        <f t="shared" si="77"/>
        <v>1384872.8242689576</v>
      </c>
      <c r="K182" s="288">
        <v>0</v>
      </c>
      <c r="L182" s="285">
        <f>$J$274</f>
        <v>43000000</v>
      </c>
      <c r="M182" s="341"/>
      <c r="N182" s="289">
        <f t="shared" si="82"/>
        <v>480000</v>
      </c>
      <c r="O182" s="289">
        <v>0</v>
      </c>
      <c r="P182" s="366">
        <f t="shared" si="79"/>
        <v>480000</v>
      </c>
      <c r="Q182" s="289">
        <f>$H$274</f>
        <v>4769407.32</v>
      </c>
      <c r="R182" s="345"/>
      <c r="S182" s="289">
        <v>8600000</v>
      </c>
      <c r="T182" s="345"/>
      <c r="U182" s="289" t="s">
        <v>1056</v>
      </c>
      <c r="V182" s="372"/>
      <c r="W182" s="286">
        <f>W183</f>
        <v>54000000</v>
      </c>
      <c r="X182" s="371"/>
      <c r="Y182" s="285">
        <f t="shared" si="80"/>
        <v>67369407.319999993</v>
      </c>
      <c r="Z182" s="289">
        <f>$I$274</f>
        <v>224957.334</v>
      </c>
      <c r="AA182" s="289">
        <v>1276000</v>
      </c>
      <c r="AB182" s="289" t="s">
        <v>1056</v>
      </c>
      <c r="AC182" s="289" t="s">
        <v>1056</v>
      </c>
      <c r="AD182" s="345"/>
      <c r="AE182" s="285">
        <f t="shared" si="81"/>
        <v>1500957.334</v>
      </c>
      <c r="AF182" s="287">
        <v>0</v>
      </c>
    </row>
    <row r="183" spans="1:32">
      <c r="A183" s="300" t="s">
        <v>1075</v>
      </c>
      <c r="B183" s="301" t="s">
        <v>1074</v>
      </c>
      <c r="C183" s="1" t="s">
        <v>1076</v>
      </c>
      <c r="D183" s="1" t="s">
        <v>1056</v>
      </c>
      <c r="E183" s="1" t="s">
        <v>1077</v>
      </c>
      <c r="F183" s="283" t="s">
        <v>3</v>
      </c>
      <c r="G183" s="1" t="s">
        <v>1064</v>
      </c>
      <c r="H183" s="285">
        <v>0</v>
      </c>
      <c r="I183" s="285">
        <f t="shared" si="78"/>
        <v>42974069.524991997</v>
      </c>
      <c r="J183" s="280">
        <f t="shared" si="77"/>
        <v>1384872.8242689576</v>
      </c>
      <c r="K183" s="288">
        <v>0</v>
      </c>
      <c r="L183" s="285">
        <f>$J$274</f>
        <v>43000000</v>
      </c>
      <c r="M183" s="341"/>
      <c r="N183" s="289">
        <f t="shared" si="82"/>
        <v>480000</v>
      </c>
      <c r="O183" s="289">
        <v>0</v>
      </c>
      <c r="P183" s="366">
        <f t="shared" si="79"/>
        <v>480000</v>
      </c>
      <c r="Q183" s="289">
        <f>$H$274</f>
        <v>4769407.32</v>
      </c>
      <c r="R183" s="345"/>
      <c r="S183" s="289">
        <v>8600000</v>
      </c>
      <c r="T183" s="345"/>
      <c r="U183" s="289" t="s">
        <v>1056</v>
      </c>
      <c r="V183" s="372"/>
      <c r="W183" s="289">
        <v>54000000</v>
      </c>
      <c r="X183" s="372"/>
      <c r="Y183" s="285">
        <f t="shared" si="80"/>
        <v>67369407.319999993</v>
      </c>
      <c r="Z183" s="289">
        <f>$I$274</f>
        <v>224957.334</v>
      </c>
      <c r="AA183" s="289">
        <v>1276000</v>
      </c>
      <c r="AB183" s="289" t="s">
        <v>1056</v>
      </c>
      <c r="AC183" s="289" t="s">
        <v>1056</v>
      </c>
      <c r="AD183" s="345"/>
      <c r="AE183" s="285">
        <f t="shared" si="81"/>
        <v>1500957.334</v>
      </c>
      <c r="AF183" s="287">
        <v>0</v>
      </c>
    </row>
    <row r="184" spans="1:32">
      <c r="A184" s="300" t="s">
        <v>1075</v>
      </c>
      <c r="B184" s="301" t="s">
        <v>1073</v>
      </c>
      <c r="C184" s="1" t="s">
        <v>1078</v>
      </c>
      <c r="D184" s="1" t="s">
        <v>1056</v>
      </c>
      <c r="E184" s="1" t="s">
        <v>1079</v>
      </c>
      <c r="F184" s="307" t="s">
        <v>3</v>
      </c>
      <c r="G184" s="1" t="s">
        <v>1092</v>
      </c>
      <c r="H184" s="285">
        <v>13</v>
      </c>
      <c r="I184" s="285">
        <f t="shared" ref="I184:I194" si="83">$F$275</f>
        <v>16648966.765823999</v>
      </c>
      <c r="J184" s="280">
        <f t="shared" si="77"/>
        <v>536525.90692482225</v>
      </c>
      <c r="K184" s="288">
        <v>0</v>
      </c>
      <c r="L184" s="285" t="s">
        <v>1056</v>
      </c>
      <c r="M184" s="340"/>
      <c r="N184" s="289" t="s">
        <v>1056</v>
      </c>
      <c r="O184" s="289">
        <v>0</v>
      </c>
      <c r="P184" s="366">
        <f>SUM(N184:O184)</f>
        <v>0</v>
      </c>
      <c r="Q184" s="289" t="s">
        <v>1056</v>
      </c>
      <c r="R184" s="345"/>
      <c r="S184" s="289" t="s">
        <v>1056</v>
      </c>
      <c r="T184" s="345"/>
      <c r="U184" s="286" t="s">
        <v>1056</v>
      </c>
      <c r="V184" s="371"/>
      <c r="W184" s="286" t="s">
        <v>1056</v>
      </c>
      <c r="X184" s="371"/>
      <c r="Y184" s="285" t="s">
        <v>1056</v>
      </c>
      <c r="Z184" s="289" t="s">
        <v>1056</v>
      </c>
      <c r="AA184" s="286" t="s">
        <v>1056</v>
      </c>
      <c r="AB184" s="289" t="s">
        <v>1056</v>
      </c>
      <c r="AC184" s="286" t="s">
        <v>1056</v>
      </c>
      <c r="AD184" s="344"/>
      <c r="AE184" s="285" t="s">
        <v>1056</v>
      </c>
      <c r="AF184" s="287" t="s">
        <v>1056</v>
      </c>
    </row>
    <row r="185" spans="1:32">
      <c r="A185" s="300" t="s">
        <v>1075</v>
      </c>
      <c r="B185" s="301" t="s">
        <v>1073</v>
      </c>
      <c r="C185" s="1" t="s">
        <v>1078</v>
      </c>
      <c r="D185" s="1" t="s">
        <v>1056</v>
      </c>
      <c r="E185" s="1" t="s">
        <v>1079</v>
      </c>
      <c r="F185" s="283" t="s">
        <v>3</v>
      </c>
      <c r="G185" s="1" t="s">
        <v>1061</v>
      </c>
      <c r="H185" s="285">
        <v>0</v>
      </c>
      <c r="I185" s="285">
        <f t="shared" si="83"/>
        <v>16648966.765823999</v>
      </c>
      <c r="J185" s="280">
        <f t="shared" si="77"/>
        <v>536525.90692482225</v>
      </c>
      <c r="K185" s="288">
        <v>0.35</v>
      </c>
      <c r="L185" s="285" t="s">
        <v>1056</v>
      </c>
      <c r="M185" s="340"/>
      <c r="N185" s="289" t="s">
        <v>1056</v>
      </c>
      <c r="O185" s="289">
        <v>0</v>
      </c>
      <c r="P185" s="366">
        <f t="shared" ref="P185:P194" si="84">SUM(N185:O185)</f>
        <v>0</v>
      </c>
      <c r="Q185" s="289" t="s">
        <v>1056</v>
      </c>
      <c r="R185" s="345"/>
      <c r="S185" s="289">
        <v>3800000</v>
      </c>
      <c r="T185" s="345"/>
      <c r="U185" s="289" t="s">
        <v>1056</v>
      </c>
      <c r="V185" s="372"/>
      <c r="W185" s="289" t="s">
        <v>1056</v>
      </c>
      <c r="X185" s="372"/>
      <c r="Y185" s="285">
        <f t="shared" ref="Y185:Y194" si="85">SUM(Q185:W185)</f>
        <v>3800000</v>
      </c>
      <c r="Z185" s="289" t="s">
        <v>1056</v>
      </c>
      <c r="AA185" s="289">
        <v>315100</v>
      </c>
      <c r="AB185" s="289" t="s">
        <v>1056</v>
      </c>
      <c r="AC185" s="289" t="s">
        <v>1056</v>
      </c>
      <c r="AD185" s="345"/>
      <c r="AE185" s="285">
        <f t="shared" ref="AE185:AE194" si="86">SUM(Z185:AD185)</f>
        <v>315100</v>
      </c>
      <c r="AF185" s="287">
        <v>0</v>
      </c>
    </row>
    <row r="186" spans="1:32">
      <c r="A186" s="300" t="s">
        <v>1075</v>
      </c>
      <c r="B186" s="301" t="s">
        <v>1073</v>
      </c>
      <c r="C186" s="1" t="s">
        <v>1078</v>
      </c>
      <c r="D186" s="1" t="s">
        <v>1056</v>
      </c>
      <c r="E186" s="1" t="s">
        <v>1079</v>
      </c>
      <c r="F186" s="283" t="s">
        <v>3</v>
      </c>
      <c r="G186" s="1" t="s">
        <v>51</v>
      </c>
      <c r="H186" s="285">
        <v>0</v>
      </c>
      <c r="I186" s="285">
        <f t="shared" si="83"/>
        <v>16648966.765823999</v>
      </c>
      <c r="J186" s="280">
        <f t="shared" si="77"/>
        <v>536525.90692482225</v>
      </c>
      <c r="K186" s="288">
        <v>0.99</v>
      </c>
      <c r="L186" s="285" t="s">
        <v>1056</v>
      </c>
      <c r="M186" s="340"/>
      <c r="N186" s="289" t="s">
        <v>1056</v>
      </c>
      <c r="O186" s="289">
        <v>0</v>
      </c>
      <c r="P186" s="366">
        <f t="shared" si="84"/>
        <v>0</v>
      </c>
      <c r="Q186" s="289" t="s">
        <v>1056</v>
      </c>
      <c r="R186" s="345"/>
      <c r="S186" s="289">
        <v>3800000</v>
      </c>
      <c r="T186" s="345"/>
      <c r="U186" s="289">
        <v>225000</v>
      </c>
      <c r="V186" s="372"/>
      <c r="W186" s="289" t="s">
        <v>1056</v>
      </c>
      <c r="X186" s="372"/>
      <c r="Y186" s="285">
        <f t="shared" si="85"/>
        <v>4025000</v>
      </c>
      <c r="Z186" s="289" t="s">
        <v>1056</v>
      </c>
      <c r="AA186" s="289">
        <v>315100</v>
      </c>
      <c r="AB186" s="289">
        <v>45500</v>
      </c>
      <c r="AC186" s="289" t="s">
        <v>1056</v>
      </c>
      <c r="AD186" s="345"/>
      <c r="AE186" s="285">
        <f t="shared" si="86"/>
        <v>360600</v>
      </c>
      <c r="AF186" s="287">
        <v>0</v>
      </c>
    </row>
    <row r="187" spans="1:32">
      <c r="A187" s="300" t="s">
        <v>1075</v>
      </c>
      <c r="B187" s="301" t="s">
        <v>1073</v>
      </c>
      <c r="C187" s="1" t="s">
        <v>1078</v>
      </c>
      <c r="D187" s="1" t="s">
        <v>1056</v>
      </c>
      <c r="E187" s="1" t="s">
        <v>1079</v>
      </c>
      <c r="F187" s="283" t="s">
        <v>3</v>
      </c>
      <c r="G187" s="1" t="s">
        <v>1062</v>
      </c>
      <c r="H187" s="285">
        <v>0</v>
      </c>
      <c r="I187" s="285">
        <f t="shared" si="83"/>
        <v>16648966.765823999</v>
      </c>
      <c r="J187" s="280">
        <f t="shared" si="77"/>
        <v>536525.90692482225</v>
      </c>
      <c r="K187" s="288">
        <v>0.99</v>
      </c>
      <c r="L187" s="285" t="s">
        <v>1056</v>
      </c>
      <c r="M187" s="340"/>
      <c r="N187" s="289" t="s">
        <v>1056</v>
      </c>
      <c r="O187" s="289">
        <v>0</v>
      </c>
      <c r="P187" s="366">
        <f t="shared" si="84"/>
        <v>0</v>
      </c>
      <c r="Q187" s="289" t="s">
        <v>1056</v>
      </c>
      <c r="R187" s="345"/>
      <c r="S187" s="289">
        <v>3800000</v>
      </c>
      <c r="T187" s="345"/>
      <c r="U187" s="289">
        <v>225000</v>
      </c>
      <c r="V187" s="372"/>
      <c r="W187" s="289" t="s">
        <v>1056</v>
      </c>
      <c r="X187" s="372"/>
      <c r="Y187" s="285">
        <f t="shared" si="85"/>
        <v>4025000</v>
      </c>
      <c r="Z187" s="289" t="s">
        <v>1056</v>
      </c>
      <c r="AA187" s="289">
        <v>315100</v>
      </c>
      <c r="AB187" s="289">
        <v>45500</v>
      </c>
      <c r="AC187" s="289">
        <f>I187*$C$284*$E$289</f>
        <v>643831.08830978663</v>
      </c>
      <c r="AD187" s="363">
        <f>J187*1.2*5</f>
        <v>3219155.4415489333</v>
      </c>
      <c r="AE187" s="285">
        <f t="shared" si="86"/>
        <v>4223586.5298587196</v>
      </c>
      <c r="AF187" s="287">
        <v>0</v>
      </c>
    </row>
    <row r="188" spans="1:32">
      <c r="A188" s="300" t="s">
        <v>1075</v>
      </c>
      <c r="B188" s="301" t="s">
        <v>1073</v>
      </c>
      <c r="C188" s="1" t="s">
        <v>1078</v>
      </c>
      <c r="D188" s="1" t="s">
        <v>1056</v>
      </c>
      <c r="E188" s="1" t="s">
        <v>1079</v>
      </c>
      <c r="F188" s="283" t="s">
        <v>3</v>
      </c>
      <c r="G188" s="1" t="s">
        <v>1063</v>
      </c>
      <c r="H188" s="285">
        <v>0</v>
      </c>
      <c r="I188" s="285">
        <f t="shared" si="83"/>
        <v>16648966.765823999</v>
      </c>
      <c r="J188" s="280">
        <f t="shared" si="77"/>
        <v>536525.90692482225</v>
      </c>
      <c r="K188" s="288">
        <v>0</v>
      </c>
      <c r="L188" s="285" t="s">
        <v>1056</v>
      </c>
      <c r="M188" s="340"/>
      <c r="N188" s="289">
        <f t="shared" ref="N188:N194" si="87">$K$275</f>
        <v>210000</v>
      </c>
      <c r="O188" s="289">
        <v>0</v>
      </c>
      <c r="P188" s="366">
        <f t="shared" si="84"/>
        <v>210000</v>
      </c>
      <c r="Q188" s="289" t="s">
        <v>1056</v>
      </c>
      <c r="R188" s="345"/>
      <c r="S188" s="289">
        <v>3800000</v>
      </c>
      <c r="T188" s="345"/>
      <c r="U188" s="289" t="s">
        <v>1056</v>
      </c>
      <c r="V188" s="372"/>
      <c r="W188" s="286">
        <f>W189</f>
        <v>54000000</v>
      </c>
      <c r="X188" s="371"/>
      <c r="Y188" s="285">
        <f t="shared" si="85"/>
        <v>57800000</v>
      </c>
      <c r="Z188" s="289" t="s">
        <v>1056</v>
      </c>
      <c r="AA188" s="289">
        <v>315100</v>
      </c>
      <c r="AB188" s="289" t="s">
        <v>1056</v>
      </c>
      <c r="AC188" s="289" t="s">
        <v>1056</v>
      </c>
      <c r="AD188" s="345"/>
      <c r="AE188" s="285">
        <f t="shared" si="86"/>
        <v>315100</v>
      </c>
      <c r="AF188" s="287">
        <v>0</v>
      </c>
    </row>
    <row r="189" spans="1:32">
      <c r="A189" s="300" t="s">
        <v>1075</v>
      </c>
      <c r="B189" s="301" t="s">
        <v>1073</v>
      </c>
      <c r="C189" s="1" t="s">
        <v>1078</v>
      </c>
      <c r="D189" s="1" t="s">
        <v>1056</v>
      </c>
      <c r="E189" s="1" t="s">
        <v>1079</v>
      </c>
      <c r="F189" s="283" t="s">
        <v>3</v>
      </c>
      <c r="G189" s="1" t="s">
        <v>1064</v>
      </c>
      <c r="H189" s="285">
        <v>0</v>
      </c>
      <c r="I189" s="285">
        <f t="shared" si="83"/>
        <v>16648966.765823999</v>
      </c>
      <c r="J189" s="280">
        <f t="shared" si="77"/>
        <v>536525.90692482225</v>
      </c>
      <c r="K189" s="288">
        <v>0</v>
      </c>
      <c r="L189" s="285" t="s">
        <v>1056</v>
      </c>
      <c r="M189" s="340"/>
      <c r="N189" s="289">
        <f t="shared" si="87"/>
        <v>210000</v>
      </c>
      <c r="O189" s="289">
        <v>0</v>
      </c>
      <c r="P189" s="366">
        <f t="shared" si="84"/>
        <v>210000</v>
      </c>
      <c r="Q189" s="289" t="s">
        <v>1056</v>
      </c>
      <c r="R189" s="345"/>
      <c r="S189" s="289">
        <v>3800000</v>
      </c>
      <c r="T189" s="345"/>
      <c r="U189" s="289" t="s">
        <v>1056</v>
      </c>
      <c r="V189" s="372"/>
      <c r="W189" s="289">
        <v>54000000</v>
      </c>
      <c r="X189" s="372"/>
      <c r="Y189" s="285">
        <f t="shared" si="85"/>
        <v>57800000</v>
      </c>
      <c r="Z189" s="289" t="s">
        <v>1056</v>
      </c>
      <c r="AA189" s="289">
        <v>315100</v>
      </c>
      <c r="AB189" s="289" t="s">
        <v>1056</v>
      </c>
      <c r="AC189" s="289" t="s">
        <v>1056</v>
      </c>
      <c r="AD189" s="345"/>
      <c r="AE189" s="285">
        <f t="shared" si="86"/>
        <v>315100</v>
      </c>
      <c r="AF189" s="287">
        <v>0</v>
      </c>
    </row>
    <row r="190" spans="1:32">
      <c r="A190" s="300" t="s">
        <v>1075</v>
      </c>
      <c r="B190" s="301" t="s">
        <v>1074</v>
      </c>
      <c r="C190" s="1" t="s">
        <v>1078</v>
      </c>
      <c r="D190" s="1" t="s">
        <v>1056</v>
      </c>
      <c r="E190" s="1" t="s">
        <v>1079</v>
      </c>
      <c r="F190" s="283" t="s">
        <v>3</v>
      </c>
      <c r="G190" s="1" t="s">
        <v>1061</v>
      </c>
      <c r="H190" s="285">
        <v>1</v>
      </c>
      <c r="I190" s="285">
        <f t="shared" si="83"/>
        <v>16648966.765823999</v>
      </c>
      <c r="J190" s="280">
        <f t="shared" si="77"/>
        <v>536525.90692482225</v>
      </c>
      <c r="K190" s="288">
        <v>0.35</v>
      </c>
      <c r="L190" s="285">
        <f>$J$275</f>
        <v>16900000</v>
      </c>
      <c r="M190" s="341"/>
      <c r="N190" s="289">
        <f t="shared" si="87"/>
        <v>210000</v>
      </c>
      <c r="O190" s="289">
        <v>0</v>
      </c>
      <c r="P190" s="366">
        <f t="shared" si="84"/>
        <v>210000</v>
      </c>
      <c r="Q190" s="289">
        <f>$H$275</f>
        <v>1847758.54</v>
      </c>
      <c r="R190" s="345"/>
      <c r="S190" s="289">
        <v>3800000</v>
      </c>
      <c r="T190" s="345"/>
      <c r="U190" s="289" t="s">
        <v>1056</v>
      </c>
      <c r="V190" s="372"/>
      <c r="W190" s="289" t="s">
        <v>1056</v>
      </c>
      <c r="X190" s="372"/>
      <c r="Y190" s="285">
        <f t="shared" si="85"/>
        <v>5647758.54</v>
      </c>
      <c r="Z190" s="289">
        <f>$I$275</f>
        <v>87152.722999999998</v>
      </c>
      <c r="AA190" s="289">
        <v>315100</v>
      </c>
      <c r="AB190" s="289" t="s">
        <v>1056</v>
      </c>
      <c r="AC190" s="289" t="s">
        <v>1056</v>
      </c>
      <c r="AD190" s="345"/>
      <c r="AE190" s="285">
        <f t="shared" si="86"/>
        <v>402252.723</v>
      </c>
      <c r="AF190" s="287">
        <v>0</v>
      </c>
    </row>
    <row r="191" spans="1:32">
      <c r="A191" s="300" t="s">
        <v>1075</v>
      </c>
      <c r="B191" s="301" t="s">
        <v>1074</v>
      </c>
      <c r="C191" s="1" t="s">
        <v>1078</v>
      </c>
      <c r="D191" s="1" t="s">
        <v>1056</v>
      </c>
      <c r="E191" s="1" t="s">
        <v>1079</v>
      </c>
      <c r="F191" s="283" t="s">
        <v>3</v>
      </c>
      <c r="G191" s="1" t="s">
        <v>51</v>
      </c>
      <c r="H191" s="285">
        <v>0</v>
      </c>
      <c r="I191" s="285">
        <f t="shared" si="83"/>
        <v>16648966.765823999</v>
      </c>
      <c r="J191" s="280">
        <f t="shared" si="77"/>
        <v>536525.90692482225</v>
      </c>
      <c r="K191" s="288">
        <v>0.99</v>
      </c>
      <c r="L191" s="285">
        <f>$J$275</f>
        <v>16900000</v>
      </c>
      <c r="M191" s="341"/>
      <c r="N191" s="289">
        <f t="shared" si="87"/>
        <v>210000</v>
      </c>
      <c r="O191" s="289">
        <v>0</v>
      </c>
      <c r="P191" s="366">
        <f t="shared" si="84"/>
        <v>210000</v>
      </c>
      <c r="Q191" s="289">
        <f>$H$275</f>
        <v>1847758.54</v>
      </c>
      <c r="R191" s="345"/>
      <c r="S191" s="289">
        <v>3800000</v>
      </c>
      <c r="T191" s="345"/>
      <c r="U191" s="289">
        <v>225000</v>
      </c>
      <c r="V191" s="372"/>
      <c r="W191" s="289" t="s">
        <v>1056</v>
      </c>
      <c r="X191" s="372"/>
      <c r="Y191" s="285">
        <f t="shared" si="85"/>
        <v>5872758.54</v>
      </c>
      <c r="Z191" s="289">
        <f>$I$275</f>
        <v>87152.722999999998</v>
      </c>
      <c r="AA191" s="289">
        <v>315100</v>
      </c>
      <c r="AB191" s="289">
        <v>45500</v>
      </c>
      <c r="AC191" s="289" t="s">
        <v>1056</v>
      </c>
      <c r="AD191" s="345"/>
      <c r="AE191" s="285">
        <f t="shared" si="86"/>
        <v>447752.723</v>
      </c>
      <c r="AF191" s="287">
        <v>0</v>
      </c>
    </row>
    <row r="192" spans="1:32">
      <c r="A192" s="300" t="s">
        <v>1075</v>
      </c>
      <c r="B192" s="301" t="s">
        <v>1074</v>
      </c>
      <c r="C192" s="1" t="s">
        <v>1078</v>
      </c>
      <c r="D192" s="1" t="s">
        <v>1056</v>
      </c>
      <c r="E192" s="1" t="s">
        <v>1079</v>
      </c>
      <c r="F192" s="283" t="s">
        <v>3</v>
      </c>
      <c r="G192" s="1" t="s">
        <v>1062</v>
      </c>
      <c r="H192" s="285">
        <v>0</v>
      </c>
      <c r="I192" s="285">
        <f t="shared" si="83"/>
        <v>16648966.765823999</v>
      </c>
      <c r="J192" s="280">
        <f t="shared" si="77"/>
        <v>536525.90692482225</v>
      </c>
      <c r="K192" s="288">
        <v>0.99</v>
      </c>
      <c r="L192" s="285">
        <f>$J$275</f>
        <v>16900000</v>
      </c>
      <c r="M192" s="341"/>
      <c r="N192" s="289">
        <f t="shared" si="87"/>
        <v>210000</v>
      </c>
      <c r="O192" s="289">
        <v>0</v>
      </c>
      <c r="P192" s="366">
        <f t="shared" si="84"/>
        <v>210000</v>
      </c>
      <c r="Q192" s="289">
        <f>$H$275</f>
        <v>1847758.54</v>
      </c>
      <c r="R192" s="345"/>
      <c r="S192" s="289">
        <v>3800000</v>
      </c>
      <c r="T192" s="345"/>
      <c r="U192" s="289">
        <v>225000</v>
      </c>
      <c r="V192" s="372"/>
      <c r="W192" s="289" t="s">
        <v>1056</v>
      </c>
      <c r="X192" s="372"/>
      <c r="Y192" s="285">
        <f t="shared" si="85"/>
        <v>5872758.54</v>
      </c>
      <c r="Z192" s="289">
        <f>$I$275</f>
        <v>87152.722999999998</v>
      </c>
      <c r="AA192" s="289">
        <v>315100</v>
      </c>
      <c r="AB192" s="289">
        <v>45500</v>
      </c>
      <c r="AC192" s="289">
        <f>I192*$C$284*$E$289</f>
        <v>643831.08830978663</v>
      </c>
      <c r="AD192" s="363">
        <f>J192*1.2*5</f>
        <v>3219155.4415489333</v>
      </c>
      <c r="AE192" s="285">
        <f t="shared" si="86"/>
        <v>4310739.2528587198</v>
      </c>
      <c r="AF192" s="287">
        <v>0</v>
      </c>
    </row>
    <row r="193" spans="1:32">
      <c r="A193" s="300" t="s">
        <v>1075</v>
      </c>
      <c r="B193" s="301" t="s">
        <v>1074</v>
      </c>
      <c r="C193" s="1" t="s">
        <v>1078</v>
      </c>
      <c r="D193" s="1" t="s">
        <v>1056</v>
      </c>
      <c r="E193" s="1" t="s">
        <v>1079</v>
      </c>
      <c r="F193" s="283" t="s">
        <v>3</v>
      </c>
      <c r="G193" s="1" t="s">
        <v>1063</v>
      </c>
      <c r="H193" s="285">
        <v>0</v>
      </c>
      <c r="I193" s="285">
        <f t="shared" si="83"/>
        <v>16648966.765823999</v>
      </c>
      <c r="J193" s="280">
        <f t="shared" si="77"/>
        <v>536525.90692482225</v>
      </c>
      <c r="K193" s="288">
        <v>0</v>
      </c>
      <c r="L193" s="285">
        <f>$J$275</f>
        <v>16900000</v>
      </c>
      <c r="M193" s="341"/>
      <c r="N193" s="289">
        <f t="shared" si="87"/>
        <v>210000</v>
      </c>
      <c r="O193" s="289">
        <v>0</v>
      </c>
      <c r="P193" s="366">
        <f t="shared" si="84"/>
        <v>210000</v>
      </c>
      <c r="Q193" s="289">
        <f>$H$275</f>
        <v>1847758.54</v>
      </c>
      <c r="R193" s="345"/>
      <c r="S193" s="289">
        <v>3800000</v>
      </c>
      <c r="T193" s="345"/>
      <c r="U193" s="289" t="s">
        <v>1056</v>
      </c>
      <c r="V193" s="372"/>
      <c r="W193" s="286">
        <f>W194</f>
        <v>54000000</v>
      </c>
      <c r="X193" s="371"/>
      <c r="Y193" s="285">
        <f t="shared" si="85"/>
        <v>59647758.539999999</v>
      </c>
      <c r="Z193" s="289">
        <f>$I$275</f>
        <v>87152.722999999998</v>
      </c>
      <c r="AA193" s="289">
        <v>315100</v>
      </c>
      <c r="AB193" s="289" t="s">
        <v>1056</v>
      </c>
      <c r="AC193" s="289" t="s">
        <v>1056</v>
      </c>
      <c r="AD193" s="345"/>
      <c r="AE193" s="285">
        <f t="shared" si="86"/>
        <v>402252.723</v>
      </c>
      <c r="AF193" s="287">
        <v>0</v>
      </c>
    </row>
    <row r="194" spans="1:32">
      <c r="A194" s="300" t="s">
        <v>1075</v>
      </c>
      <c r="B194" s="301" t="s">
        <v>1074</v>
      </c>
      <c r="C194" s="1" t="s">
        <v>1078</v>
      </c>
      <c r="D194" s="1" t="s">
        <v>1056</v>
      </c>
      <c r="E194" s="1" t="s">
        <v>1079</v>
      </c>
      <c r="F194" s="283" t="s">
        <v>3</v>
      </c>
      <c r="G194" s="1" t="s">
        <v>1064</v>
      </c>
      <c r="H194" s="285">
        <v>0</v>
      </c>
      <c r="I194" s="285">
        <f t="shared" si="83"/>
        <v>16648966.765823999</v>
      </c>
      <c r="J194" s="280">
        <f t="shared" si="77"/>
        <v>536525.90692482225</v>
      </c>
      <c r="K194" s="288">
        <v>0</v>
      </c>
      <c r="L194" s="285">
        <f>$J$275</f>
        <v>16900000</v>
      </c>
      <c r="M194" s="341"/>
      <c r="N194" s="289">
        <f t="shared" si="87"/>
        <v>210000</v>
      </c>
      <c r="O194" s="289">
        <v>0</v>
      </c>
      <c r="P194" s="366">
        <f t="shared" si="84"/>
        <v>210000</v>
      </c>
      <c r="Q194" s="289">
        <f>$H$275</f>
        <v>1847758.54</v>
      </c>
      <c r="R194" s="345"/>
      <c r="S194" s="289">
        <v>3800000</v>
      </c>
      <c r="T194" s="345"/>
      <c r="U194" s="289" t="s">
        <v>1056</v>
      </c>
      <c r="V194" s="372"/>
      <c r="W194" s="289">
        <v>54000000</v>
      </c>
      <c r="X194" s="372"/>
      <c r="Y194" s="285">
        <f t="shared" si="85"/>
        <v>59647758.539999999</v>
      </c>
      <c r="Z194" s="289">
        <f>$I$275</f>
        <v>87152.722999999998</v>
      </c>
      <c r="AA194" s="289">
        <v>315100</v>
      </c>
      <c r="AB194" s="289" t="s">
        <v>1056</v>
      </c>
      <c r="AC194" s="289" t="s">
        <v>1056</v>
      </c>
      <c r="AD194" s="345"/>
      <c r="AE194" s="285">
        <f t="shared" si="86"/>
        <v>402252.723</v>
      </c>
      <c r="AF194" s="287">
        <v>0</v>
      </c>
    </row>
    <row r="195" spans="1:32">
      <c r="A195" s="300" t="s">
        <v>1075</v>
      </c>
      <c r="B195" s="301" t="s">
        <v>1073</v>
      </c>
      <c r="C195" s="1" t="s">
        <v>1080</v>
      </c>
      <c r="D195" s="1" t="s">
        <v>1056</v>
      </c>
      <c r="E195" s="1" t="s">
        <v>1081</v>
      </c>
      <c r="F195" s="307" t="s">
        <v>3</v>
      </c>
      <c r="G195" s="1" t="s">
        <v>1092</v>
      </c>
      <c r="H195" s="285">
        <v>17</v>
      </c>
      <c r="I195" s="285">
        <f>$F$276</f>
        <v>9211280.6085119992</v>
      </c>
      <c r="J195" s="280">
        <f t="shared" si="77"/>
        <v>296840.68398561265</v>
      </c>
      <c r="K195" s="288">
        <v>0</v>
      </c>
      <c r="L195" s="285" t="s">
        <v>1056</v>
      </c>
      <c r="M195" s="340"/>
      <c r="N195" s="289" t="s">
        <v>1056</v>
      </c>
      <c r="O195" s="289">
        <v>0</v>
      </c>
      <c r="P195" s="366">
        <f>SUM(N195:O195)</f>
        <v>0</v>
      </c>
      <c r="Q195" s="289" t="s">
        <v>1056</v>
      </c>
      <c r="R195" s="345"/>
      <c r="S195" s="286" t="s">
        <v>1056</v>
      </c>
      <c r="T195" s="344"/>
      <c r="U195" s="286" t="s">
        <v>1056</v>
      </c>
      <c r="V195" s="371"/>
      <c r="W195" s="286" t="s">
        <v>1056</v>
      </c>
      <c r="X195" s="371"/>
      <c r="Y195" s="285" t="s">
        <v>1056</v>
      </c>
      <c r="Z195" s="289" t="s">
        <v>1056</v>
      </c>
      <c r="AA195" s="286" t="s">
        <v>1056</v>
      </c>
      <c r="AB195" s="289" t="s">
        <v>1056</v>
      </c>
      <c r="AC195" s="286" t="s">
        <v>1056</v>
      </c>
      <c r="AD195" s="344"/>
      <c r="AE195" s="285" t="s">
        <v>1056</v>
      </c>
      <c r="AF195" s="287" t="s">
        <v>1056</v>
      </c>
    </row>
    <row r="196" spans="1:32">
      <c r="A196" s="300" t="s">
        <v>1075</v>
      </c>
      <c r="B196" s="301" t="s">
        <v>1073</v>
      </c>
      <c r="C196" s="1" t="s">
        <v>1080</v>
      </c>
      <c r="D196" s="1" t="s">
        <v>1056</v>
      </c>
      <c r="E196" s="1" t="s">
        <v>1081</v>
      </c>
      <c r="F196" s="283" t="s">
        <v>3</v>
      </c>
      <c r="G196" s="1" t="s">
        <v>1061</v>
      </c>
      <c r="H196" s="285">
        <v>0</v>
      </c>
      <c r="I196" s="285">
        <f>$F$276</f>
        <v>9211280.6085119992</v>
      </c>
      <c r="J196" s="280">
        <f t="shared" ref="J196:J259" si="88">I196*$E$289</f>
        <v>296840.68398561265</v>
      </c>
      <c r="K196" s="288">
        <v>0.35</v>
      </c>
      <c r="L196" s="285" t="s">
        <v>1056</v>
      </c>
      <c r="M196" s="340"/>
      <c r="N196" s="289" t="s">
        <v>1056</v>
      </c>
      <c r="O196" s="289">
        <v>0</v>
      </c>
      <c r="P196" s="366">
        <f t="shared" ref="P196:P205" si="89">SUM(N196:O196)</f>
        <v>0</v>
      </c>
      <c r="Q196" s="289" t="s">
        <v>1056</v>
      </c>
      <c r="R196" s="345"/>
      <c r="S196" s="289">
        <v>3000000</v>
      </c>
      <c r="T196" s="345"/>
      <c r="U196" s="289" t="s">
        <v>1056</v>
      </c>
      <c r="V196" s="372"/>
      <c r="W196" s="289" t="s">
        <v>1056</v>
      </c>
      <c r="X196" s="372"/>
      <c r="Y196" s="285">
        <f t="shared" ref="Y196:Y205" si="90">SUM(Q196:W196)</f>
        <v>3000000</v>
      </c>
      <c r="Z196" s="289" t="s">
        <v>1056</v>
      </c>
      <c r="AA196" s="289">
        <v>132000</v>
      </c>
      <c r="AB196" s="289" t="s">
        <v>1056</v>
      </c>
      <c r="AC196" s="289" t="s">
        <v>1056</v>
      </c>
      <c r="AD196" s="345"/>
      <c r="AE196" s="285">
        <f t="shared" ref="AE196:AE205" si="91">SUM(Z196:AD196)</f>
        <v>132000</v>
      </c>
      <c r="AF196" s="287">
        <v>0</v>
      </c>
    </row>
    <row r="197" spans="1:32">
      <c r="A197" s="300" t="s">
        <v>1075</v>
      </c>
      <c r="B197" s="301" t="s">
        <v>1073</v>
      </c>
      <c r="C197" s="1" t="s">
        <v>1080</v>
      </c>
      <c r="D197" s="1" t="s">
        <v>1056</v>
      </c>
      <c r="E197" s="1" t="s">
        <v>1081</v>
      </c>
      <c r="F197" s="283" t="s">
        <v>3</v>
      </c>
      <c r="G197" s="1" t="s">
        <v>51</v>
      </c>
      <c r="H197" s="285">
        <v>0</v>
      </c>
      <c r="I197" s="285">
        <f t="shared" ref="I197:I205" si="92">$F$276</f>
        <v>9211280.6085119992</v>
      </c>
      <c r="J197" s="280">
        <f t="shared" si="88"/>
        <v>296840.68398561265</v>
      </c>
      <c r="K197" s="288">
        <v>0.99</v>
      </c>
      <c r="L197" s="285" t="s">
        <v>1056</v>
      </c>
      <c r="M197" s="340"/>
      <c r="N197" s="289" t="s">
        <v>1056</v>
      </c>
      <c r="O197" s="289">
        <v>0</v>
      </c>
      <c r="P197" s="366">
        <f t="shared" si="89"/>
        <v>0</v>
      </c>
      <c r="Q197" s="289" t="s">
        <v>1056</v>
      </c>
      <c r="R197" s="345"/>
      <c r="S197" s="289">
        <v>3000000</v>
      </c>
      <c r="T197" s="345"/>
      <c r="U197" s="289">
        <v>200000</v>
      </c>
      <c r="V197" s="372"/>
      <c r="W197" s="289" t="s">
        <v>1056</v>
      </c>
      <c r="X197" s="372"/>
      <c r="Y197" s="285">
        <f t="shared" si="90"/>
        <v>3200000</v>
      </c>
      <c r="Z197" s="289" t="s">
        <v>1056</v>
      </c>
      <c r="AA197" s="289">
        <v>132000</v>
      </c>
      <c r="AB197" s="289">
        <v>16400</v>
      </c>
      <c r="AC197" s="289" t="s">
        <v>1056</v>
      </c>
      <c r="AD197" s="345"/>
      <c r="AE197" s="285">
        <f t="shared" si="91"/>
        <v>148400</v>
      </c>
      <c r="AF197" s="287">
        <v>0</v>
      </c>
    </row>
    <row r="198" spans="1:32">
      <c r="A198" s="300" t="s">
        <v>1075</v>
      </c>
      <c r="B198" s="301" t="s">
        <v>1073</v>
      </c>
      <c r="C198" s="1" t="s">
        <v>1080</v>
      </c>
      <c r="D198" s="1" t="s">
        <v>1056</v>
      </c>
      <c r="E198" s="1" t="s">
        <v>1081</v>
      </c>
      <c r="F198" s="283" t="s">
        <v>3</v>
      </c>
      <c r="G198" s="1" t="s">
        <v>1062</v>
      </c>
      <c r="H198" s="285">
        <v>0</v>
      </c>
      <c r="I198" s="285">
        <f t="shared" si="92"/>
        <v>9211280.6085119992</v>
      </c>
      <c r="J198" s="280">
        <f t="shared" si="88"/>
        <v>296840.68398561265</v>
      </c>
      <c r="K198" s="288">
        <v>0.99</v>
      </c>
      <c r="L198" s="285" t="s">
        <v>1056</v>
      </c>
      <c r="M198" s="340"/>
      <c r="N198" s="289" t="s">
        <v>1056</v>
      </c>
      <c r="O198" s="289">
        <v>0</v>
      </c>
      <c r="P198" s="366">
        <f t="shared" si="89"/>
        <v>0</v>
      </c>
      <c r="Q198" s="289" t="s">
        <v>1056</v>
      </c>
      <c r="R198" s="345"/>
      <c r="S198" s="289">
        <v>3000000</v>
      </c>
      <c r="T198" s="345"/>
      <c r="U198" s="289">
        <v>200000</v>
      </c>
      <c r="V198" s="372"/>
      <c r="W198" s="289" t="s">
        <v>1056</v>
      </c>
      <c r="X198" s="372"/>
      <c r="Y198" s="285">
        <f t="shared" si="90"/>
        <v>3200000</v>
      </c>
      <c r="Z198" s="289" t="s">
        <v>1056</v>
      </c>
      <c r="AA198" s="289">
        <v>132000</v>
      </c>
      <c r="AB198" s="289">
        <v>16400</v>
      </c>
      <c r="AC198" s="289">
        <f>I198*$C$284*$E$289</f>
        <v>356208.82078273513</v>
      </c>
      <c r="AD198" s="363">
        <f>J198*1.2*5</f>
        <v>1781044.103913676</v>
      </c>
      <c r="AE198" s="285">
        <f t="shared" si="91"/>
        <v>2285652.924696411</v>
      </c>
      <c r="AF198" s="287">
        <v>0</v>
      </c>
    </row>
    <row r="199" spans="1:32">
      <c r="A199" s="300" t="s">
        <v>1075</v>
      </c>
      <c r="B199" s="301" t="s">
        <v>1073</v>
      </c>
      <c r="C199" s="1" t="s">
        <v>1080</v>
      </c>
      <c r="D199" s="1" t="s">
        <v>1056</v>
      </c>
      <c r="E199" s="1" t="s">
        <v>1081</v>
      </c>
      <c r="F199" s="283" t="s">
        <v>3</v>
      </c>
      <c r="G199" s="1" t="s">
        <v>1063</v>
      </c>
      <c r="H199" s="285">
        <v>0</v>
      </c>
      <c r="I199" s="285">
        <f t="shared" si="92"/>
        <v>9211280.6085119992</v>
      </c>
      <c r="J199" s="280">
        <f t="shared" si="88"/>
        <v>296840.68398561265</v>
      </c>
      <c r="K199" s="288">
        <v>0</v>
      </c>
      <c r="L199" s="285" t="s">
        <v>1056</v>
      </c>
      <c r="M199" s="340"/>
      <c r="N199" s="289">
        <f t="shared" ref="N199:N205" si="93">$K$276</f>
        <v>140000</v>
      </c>
      <c r="O199" s="289">
        <v>0</v>
      </c>
      <c r="P199" s="366">
        <f t="shared" si="89"/>
        <v>140000</v>
      </c>
      <c r="Q199" s="289" t="s">
        <v>1056</v>
      </c>
      <c r="R199" s="345"/>
      <c r="S199" s="289">
        <v>3000000</v>
      </c>
      <c r="T199" s="345"/>
      <c r="U199" s="289" t="s">
        <v>1056</v>
      </c>
      <c r="V199" s="372"/>
      <c r="W199" s="286">
        <f>W200</f>
        <v>54000000</v>
      </c>
      <c r="X199" s="371"/>
      <c r="Y199" s="285">
        <f t="shared" si="90"/>
        <v>57000000</v>
      </c>
      <c r="Z199" s="289" t="s">
        <v>1056</v>
      </c>
      <c r="AA199" s="289">
        <v>132000</v>
      </c>
      <c r="AB199" s="289" t="s">
        <v>1056</v>
      </c>
      <c r="AC199" s="289" t="s">
        <v>1056</v>
      </c>
      <c r="AD199" s="345"/>
      <c r="AE199" s="285">
        <f t="shared" si="91"/>
        <v>132000</v>
      </c>
      <c r="AF199" s="287">
        <v>0</v>
      </c>
    </row>
    <row r="200" spans="1:32">
      <c r="A200" s="300" t="s">
        <v>1075</v>
      </c>
      <c r="B200" s="301" t="s">
        <v>1073</v>
      </c>
      <c r="C200" s="1" t="s">
        <v>1080</v>
      </c>
      <c r="D200" s="1" t="s">
        <v>1056</v>
      </c>
      <c r="E200" s="1" t="s">
        <v>1081</v>
      </c>
      <c r="F200" s="283" t="s">
        <v>3</v>
      </c>
      <c r="G200" s="1" t="s">
        <v>1064</v>
      </c>
      <c r="H200" s="285">
        <v>0</v>
      </c>
      <c r="I200" s="285">
        <f t="shared" si="92"/>
        <v>9211280.6085119992</v>
      </c>
      <c r="J200" s="280">
        <f t="shared" si="88"/>
        <v>296840.68398561265</v>
      </c>
      <c r="K200" s="288">
        <v>0</v>
      </c>
      <c r="L200" s="285" t="s">
        <v>1056</v>
      </c>
      <c r="M200" s="340"/>
      <c r="N200" s="289">
        <f t="shared" si="93"/>
        <v>140000</v>
      </c>
      <c r="O200" s="289">
        <v>0</v>
      </c>
      <c r="P200" s="366">
        <f t="shared" si="89"/>
        <v>140000</v>
      </c>
      <c r="Q200" s="289" t="s">
        <v>1056</v>
      </c>
      <c r="R200" s="345"/>
      <c r="S200" s="289">
        <v>3000000</v>
      </c>
      <c r="T200" s="345"/>
      <c r="U200" s="289" t="s">
        <v>1056</v>
      </c>
      <c r="V200" s="372"/>
      <c r="W200" s="289">
        <v>54000000</v>
      </c>
      <c r="X200" s="372"/>
      <c r="Y200" s="285">
        <f t="shared" si="90"/>
        <v>57000000</v>
      </c>
      <c r="Z200" s="289" t="s">
        <v>1056</v>
      </c>
      <c r="AA200" s="289">
        <v>132000</v>
      </c>
      <c r="AB200" s="289" t="s">
        <v>1056</v>
      </c>
      <c r="AC200" s="289" t="s">
        <v>1056</v>
      </c>
      <c r="AD200" s="345"/>
      <c r="AE200" s="285">
        <f t="shared" si="91"/>
        <v>132000</v>
      </c>
      <c r="AF200" s="287">
        <v>0</v>
      </c>
    </row>
    <row r="201" spans="1:32">
      <c r="A201" s="300" t="s">
        <v>1075</v>
      </c>
      <c r="B201" s="301" t="s">
        <v>1074</v>
      </c>
      <c r="C201" s="1" t="s">
        <v>1080</v>
      </c>
      <c r="D201" s="1" t="s">
        <v>1056</v>
      </c>
      <c r="E201" s="1" t="s">
        <v>1081</v>
      </c>
      <c r="F201" s="283" t="s">
        <v>3</v>
      </c>
      <c r="G201" s="1" t="s">
        <v>1061</v>
      </c>
      <c r="H201" s="285">
        <v>1</v>
      </c>
      <c r="I201" s="285">
        <f t="shared" si="92"/>
        <v>9211280.6085119992</v>
      </c>
      <c r="J201" s="280">
        <f t="shared" si="88"/>
        <v>296840.68398561265</v>
      </c>
      <c r="K201" s="288">
        <v>0.35</v>
      </c>
      <c r="L201" s="285">
        <f>$J$276</f>
        <v>9300000</v>
      </c>
      <c r="M201" s="341"/>
      <c r="N201" s="289">
        <f t="shared" si="93"/>
        <v>140000</v>
      </c>
      <c r="O201" s="289">
        <v>0</v>
      </c>
      <c r="P201" s="366">
        <f t="shared" si="89"/>
        <v>140000</v>
      </c>
      <c r="Q201" s="289">
        <f>$H$276</f>
        <v>1022299.02</v>
      </c>
      <c r="R201" s="345"/>
      <c r="S201" s="289">
        <v>3000000</v>
      </c>
      <c r="T201" s="345"/>
      <c r="U201" s="289" t="s">
        <v>1056</v>
      </c>
      <c r="V201" s="372"/>
      <c r="W201" s="289" t="s">
        <v>1056</v>
      </c>
      <c r="X201" s="372"/>
      <c r="Y201" s="285">
        <f t="shared" si="90"/>
        <v>4022299.02</v>
      </c>
      <c r="Z201" s="289">
        <f>$I$276</f>
        <v>48218.498999999996</v>
      </c>
      <c r="AA201" s="289">
        <v>132000</v>
      </c>
      <c r="AB201" s="289" t="s">
        <v>1056</v>
      </c>
      <c r="AC201" s="289" t="s">
        <v>1056</v>
      </c>
      <c r="AD201" s="345"/>
      <c r="AE201" s="285">
        <f t="shared" si="91"/>
        <v>180218.49900000001</v>
      </c>
      <c r="AF201" s="287">
        <v>0</v>
      </c>
    </row>
    <row r="202" spans="1:32">
      <c r="A202" s="300" t="s">
        <v>1075</v>
      </c>
      <c r="B202" s="301" t="s">
        <v>1074</v>
      </c>
      <c r="C202" s="1" t="s">
        <v>1080</v>
      </c>
      <c r="D202" s="1" t="s">
        <v>1056</v>
      </c>
      <c r="E202" s="1" t="s">
        <v>1081</v>
      </c>
      <c r="F202" s="283" t="s">
        <v>3</v>
      </c>
      <c r="G202" s="1" t="s">
        <v>51</v>
      </c>
      <c r="H202" s="285">
        <v>0</v>
      </c>
      <c r="I202" s="285">
        <f t="shared" si="92"/>
        <v>9211280.6085119992</v>
      </c>
      <c r="J202" s="280">
        <f t="shared" si="88"/>
        <v>296840.68398561265</v>
      </c>
      <c r="K202" s="288">
        <v>0.99</v>
      </c>
      <c r="L202" s="285">
        <f>$J$276</f>
        <v>9300000</v>
      </c>
      <c r="M202" s="341"/>
      <c r="N202" s="289">
        <f t="shared" si="93"/>
        <v>140000</v>
      </c>
      <c r="O202" s="289">
        <v>0</v>
      </c>
      <c r="P202" s="366">
        <f t="shared" si="89"/>
        <v>140000</v>
      </c>
      <c r="Q202" s="289">
        <f>$H$276</f>
        <v>1022299.02</v>
      </c>
      <c r="R202" s="345"/>
      <c r="S202" s="289">
        <v>3000000</v>
      </c>
      <c r="T202" s="345"/>
      <c r="U202" s="289">
        <v>200000</v>
      </c>
      <c r="V202" s="372"/>
      <c r="W202" s="289" t="s">
        <v>1056</v>
      </c>
      <c r="X202" s="372"/>
      <c r="Y202" s="285">
        <f t="shared" si="90"/>
        <v>4222299.0199999996</v>
      </c>
      <c r="Z202" s="289">
        <f>$I$276</f>
        <v>48218.498999999996</v>
      </c>
      <c r="AA202" s="289">
        <v>132000</v>
      </c>
      <c r="AB202" s="289">
        <v>16400</v>
      </c>
      <c r="AC202" s="289" t="s">
        <v>1056</v>
      </c>
      <c r="AD202" s="345"/>
      <c r="AE202" s="285">
        <f t="shared" si="91"/>
        <v>196618.49900000001</v>
      </c>
      <c r="AF202" s="287">
        <v>0</v>
      </c>
    </row>
    <row r="203" spans="1:32">
      <c r="A203" s="300" t="s">
        <v>1075</v>
      </c>
      <c r="B203" s="301" t="s">
        <v>1074</v>
      </c>
      <c r="C203" s="1" t="s">
        <v>1080</v>
      </c>
      <c r="D203" s="1" t="s">
        <v>1056</v>
      </c>
      <c r="E203" s="1" t="s">
        <v>1081</v>
      </c>
      <c r="F203" s="283" t="s">
        <v>3</v>
      </c>
      <c r="G203" s="1" t="s">
        <v>1062</v>
      </c>
      <c r="H203" s="285">
        <v>0</v>
      </c>
      <c r="I203" s="285">
        <f t="shared" si="92"/>
        <v>9211280.6085119992</v>
      </c>
      <c r="J203" s="280">
        <f t="shared" si="88"/>
        <v>296840.68398561265</v>
      </c>
      <c r="K203" s="288">
        <v>0.99</v>
      </c>
      <c r="L203" s="285">
        <f>$J$276</f>
        <v>9300000</v>
      </c>
      <c r="M203" s="341"/>
      <c r="N203" s="289">
        <f t="shared" si="93"/>
        <v>140000</v>
      </c>
      <c r="O203" s="289">
        <v>0</v>
      </c>
      <c r="P203" s="366">
        <f t="shared" si="89"/>
        <v>140000</v>
      </c>
      <c r="Q203" s="289">
        <f>$H$276</f>
        <v>1022299.02</v>
      </c>
      <c r="R203" s="345"/>
      <c r="S203" s="289">
        <v>3000000</v>
      </c>
      <c r="T203" s="345"/>
      <c r="U203" s="289">
        <v>200000</v>
      </c>
      <c r="V203" s="372"/>
      <c r="W203" s="289" t="s">
        <v>1056</v>
      </c>
      <c r="X203" s="372"/>
      <c r="Y203" s="285">
        <f t="shared" si="90"/>
        <v>4222299.0199999996</v>
      </c>
      <c r="Z203" s="289">
        <f>$I$276</f>
        <v>48218.498999999996</v>
      </c>
      <c r="AA203" s="289">
        <v>132000</v>
      </c>
      <c r="AB203" s="289">
        <v>16400</v>
      </c>
      <c r="AC203" s="289">
        <f>I203*$C$284*$E$289</f>
        <v>356208.82078273513</v>
      </c>
      <c r="AD203" s="363">
        <f>J203*1.2*5</f>
        <v>1781044.103913676</v>
      </c>
      <c r="AE203" s="285">
        <f t="shared" si="91"/>
        <v>2333871.4236964108</v>
      </c>
      <c r="AF203" s="287">
        <v>0</v>
      </c>
    </row>
    <row r="204" spans="1:32">
      <c r="A204" s="300" t="s">
        <v>1075</v>
      </c>
      <c r="B204" s="301" t="s">
        <v>1074</v>
      </c>
      <c r="C204" s="1" t="s">
        <v>1080</v>
      </c>
      <c r="D204" s="1" t="s">
        <v>1056</v>
      </c>
      <c r="E204" s="1" t="s">
        <v>1081</v>
      </c>
      <c r="F204" s="283" t="s">
        <v>3</v>
      </c>
      <c r="G204" s="1" t="s">
        <v>1063</v>
      </c>
      <c r="H204" s="285">
        <v>0</v>
      </c>
      <c r="I204" s="285">
        <f t="shared" si="92"/>
        <v>9211280.6085119992</v>
      </c>
      <c r="J204" s="280">
        <f t="shared" si="88"/>
        <v>296840.68398561265</v>
      </c>
      <c r="K204" s="288">
        <v>0</v>
      </c>
      <c r="L204" s="285">
        <f>$J$276</f>
        <v>9300000</v>
      </c>
      <c r="M204" s="341"/>
      <c r="N204" s="289">
        <f t="shared" si="93"/>
        <v>140000</v>
      </c>
      <c r="O204" s="289">
        <v>0</v>
      </c>
      <c r="P204" s="366">
        <f t="shared" si="89"/>
        <v>140000</v>
      </c>
      <c r="Q204" s="289">
        <f>$H$276</f>
        <v>1022299.02</v>
      </c>
      <c r="R204" s="345"/>
      <c r="S204" s="289">
        <v>3000000</v>
      </c>
      <c r="T204" s="345"/>
      <c r="U204" s="289" t="s">
        <v>1056</v>
      </c>
      <c r="V204" s="372"/>
      <c r="W204" s="286">
        <f>W205</f>
        <v>54000000</v>
      </c>
      <c r="X204" s="371"/>
      <c r="Y204" s="285">
        <f t="shared" si="90"/>
        <v>58022299.020000003</v>
      </c>
      <c r="Z204" s="289">
        <f>$I$276</f>
        <v>48218.498999999996</v>
      </c>
      <c r="AA204" s="289">
        <v>132000</v>
      </c>
      <c r="AB204" s="289" t="s">
        <v>1056</v>
      </c>
      <c r="AC204" s="289" t="s">
        <v>1056</v>
      </c>
      <c r="AD204" s="345"/>
      <c r="AE204" s="285">
        <f t="shared" si="91"/>
        <v>180218.49900000001</v>
      </c>
      <c r="AF204" s="287">
        <v>0</v>
      </c>
    </row>
    <row r="205" spans="1:32">
      <c r="A205" s="300" t="s">
        <v>1075</v>
      </c>
      <c r="B205" s="301" t="s">
        <v>1074</v>
      </c>
      <c r="C205" s="1" t="s">
        <v>1080</v>
      </c>
      <c r="D205" s="1" t="s">
        <v>1056</v>
      </c>
      <c r="E205" s="1" t="s">
        <v>1081</v>
      </c>
      <c r="F205" s="283" t="s">
        <v>3</v>
      </c>
      <c r="G205" s="1" t="s">
        <v>1064</v>
      </c>
      <c r="H205" s="285">
        <v>0</v>
      </c>
      <c r="I205" s="285">
        <f t="shared" si="92"/>
        <v>9211280.6085119992</v>
      </c>
      <c r="J205" s="280">
        <f t="shared" si="88"/>
        <v>296840.68398561265</v>
      </c>
      <c r="K205" s="288">
        <v>0</v>
      </c>
      <c r="L205" s="285">
        <f>$J$276</f>
        <v>9300000</v>
      </c>
      <c r="M205" s="341"/>
      <c r="N205" s="289">
        <f t="shared" si="93"/>
        <v>140000</v>
      </c>
      <c r="O205" s="289">
        <v>0</v>
      </c>
      <c r="P205" s="366">
        <f t="shared" si="89"/>
        <v>140000</v>
      </c>
      <c r="Q205" s="289">
        <f>$H$276</f>
        <v>1022299.02</v>
      </c>
      <c r="R205" s="345"/>
      <c r="S205" s="289">
        <v>3000000</v>
      </c>
      <c r="T205" s="345"/>
      <c r="U205" s="289" t="s">
        <v>1056</v>
      </c>
      <c r="V205" s="372"/>
      <c r="W205" s="289">
        <v>54000000</v>
      </c>
      <c r="X205" s="372"/>
      <c r="Y205" s="285">
        <f t="shared" si="90"/>
        <v>58022299.020000003</v>
      </c>
      <c r="Z205" s="289">
        <f>$I$276</f>
        <v>48218.498999999996</v>
      </c>
      <c r="AA205" s="289">
        <v>132000</v>
      </c>
      <c r="AB205" s="289" t="s">
        <v>1056</v>
      </c>
      <c r="AC205" s="289" t="s">
        <v>1056</v>
      </c>
      <c r="AD205" s="345"/>
      <c r="AE205" s="285">
        <f t="shared" si="91"/>
        <v>180218.49900000001</v>
      </c>
      <c r="AF205" s="287">
        <v>0</v>
      </c>
    </row>
    <row r="206" spans="1:32">
      <c r="A206" s="300" t="s">
        <v>1075</v>
      </c>
      <c r="B206" s="301" t="s">
        <v>1073</v>
      </c>
      <c r="C206" s="1" t="s">
        <v>1082</v>
      </c>
      <c r="D206" s="1" t="s">
        <v>1056</v>
      </c>
      <c r="E206" s="1" t="s">
        <v>1083</v>
      </c>
      <c r="F206" s="307" t="s">
        <v>3</v>
      </c>
      <c r="G206" s="1" t="s">
        <v>1092</v>
      </c>
      <c r="H206" s="285">
        <v>17</v>
      </c>
      <c r="I206" s="285">
        <f t="shared" ref="I206:I216" si="94">$F$277</f>
        <v>6647382.3920639995</v>
      </c>
      <c r="J206" s="280">
        <f t="shared" si="88"/>
        <v>214217.06924776343</v>
      </c>
      <c r="K206" s="288">
        <v>0</v>
      </c>
      <c r="L206" s="285" t="s">
        <v>1056</v>
      </c>
      <c r="M206" s="340"/>
      <c r="N206" s="289" t="s">
        <v>1056</v>
      </c>
      <c r="O206" s="289">
        <v>0</v>
      </c>
      <c r="P206" s="366">
        <f>SUM(N206:O206)</f>
        <v>0</v>
      </c>
      <c r="Q206" s="289" t="s">
        <v>1056</v>
      </c>
      <c r="R206" s="345"/>
      <c r="S206" s="286" t="s">
        <v>1056</v>
      </c>
      <c r="T206" s="344"/>
      <c r="U206" s="286" t="s">
        <v>1056</v>
      </c>
      <c r="V206" s="371"/>
      <c r="W206" s="286" t="s">
        <v>1056</v>
      </c>
      <c r="X206" s="371"/>
      <c r="Y206" s="285" t="s">
        <v>1056</v>
      </c>
      <c r="Z206" s="289" t="s">
        <v>1056</v>
      </c>
      <c r="AA206" s="286" t="s">
        <v>1056</v>
      </c>
      <c r="AB206" s="289" t="s">
        <v>1056</v>
      </c>
      <c r="AC206" s="286" t="s">
        <v>1056</v>
      </c>
      <c r="AD206" s="344"/>
      <c r="AE206" s="285" t="s">
        <v>1056</v>
      </c>
      <c r="AF206" s="287" t="s">
        <v>1056</v>
      </c>
    </row>
    <row r="207" spans="1:32">
      <c r="A207" s="300" t="s">
        <v>1075</v>
      </c>
      <c r="B207" s="301" t="s">
        <v>1073</v>
      </c>
      <c r="C207" s="1" t="s">
        <v>1082</v>
      </c>
      <c r="D207" s="1" t="s">
        <v>1056</v>
      </c>
      <c r="E207" s="1" t="s">
        <v>1083</v>
      </c>
      <c r="F207" s="283" t="s">
        <v>3</v>
      </c>
      <c r="G207" s="1" t="s">
        <v>1061</v>
      </c>
      <c r="H207" s="285">
        <v>0</v>
      </c>
      <c r="I207" s="285">
        <f t="shared" si="94"/>
        <v>6647382.3920639995</v>
      </c>
      <c r="J207" s="280">
        <f t="shared" si="88"/>
        <v>214217.06924776343</v>
      </c>
      <c r="K207" s="288">
        <v>0.35</v>
      </c>
      <c r="L207" s="285" t="s">
        <v>1056</v>
      </c>
      <c r="M207" s="340"/>
      <c r="N207" s="289" t="s">
        <v>1056</v>
      </c>
      <c r="O207" s="289">
        <v>0</v>
      </c>
      <c r="P207" s="366">
        <f t="shared" ref="P207:P216" si="95">SUM(N207:O207)</f>
        <v>0</v>
      </c>
      <c r="Q207" s="289" t="s">
        <v>1056</v>
      </c>
      <c r="R207" s="345"/>
      <c r="S207" s="289">
        <v>3000000</v>
      </c>
      <c r="T207" s="345"/>
      <c r="U207" s="289" t="s">
        <v>1056</v>
      </c>
      <c r="V207" s="372"/>
      <c r="W207" s="289" t="s">
        <v>1056</v>
      </c>
      <c r="X207" s="372"/>
      <c r="Y207" s="285">
        <f t="shared" ref="Y207:Y216" si="96">SUM(Q207:W207)</f>
        <v>3000000</v>
      </c>
      <c r="Z207" s="289" t="s">
        <v>1056</v>
      </c>
      <c r="AA207" s="289">
        <v>132000</v>
      </c>
      <c r="AB207" s="289" t="s">
        <v>1056</v>
      </c>
      <c r="AC207" s="289" t="s">
        <v>1056</v>
      </c>
      <c r="AD207" s="345"/>
      <c r="AE207" s="285">
        <f t="shared" ref="AE207:AE216" si="97">SUM(Z207:AD207)</f>
        <v>132000</v>
      </c>
      <c r="AF207" s="287">
        <v>0</v>
      </c>
    </row>
    <row r="208" spans="1:32">
      <c r="A208" s="300" t="s">
        <v>1075</v>
      </c>
      <c r="B208" s="301" t="s">
        <v>1073</v>
      </c>
      <c r="C208" s="1" t="s">
        <v>1082</v>
      </c>
      <c r="D208" s="1" t="s">
        <v>1056</v>
      </c>
      <c r="E208" s="1" t="s">
        <v>1083</v>
      </c>
      <c r="F208" s="283" t="s">
        <v>3</v>
      </c>
      <c r="G208" s="1" t="s">
        <v>51</v>
      </c>
      <c r="H208" s="285">
        <v>0</v>
      </c>
      <c r="I208" s="285">
        <f t="shared" si="94"/>
        <v>6647382.3920639995</v>
      </c>
      <c r="J208" s="280">
        <f t="shared" si="88"/>
        <v>214217.06924776343</v>
      </c>
      <c r="K208" s="288">
        <v>0.99</v>
      </c>
      <c r="L208" s="285" t="s">
        <v>1056</v>
      </c>
      <c r="M208" s="340"/>
      <c r="N208" s="289" t="s">
        <v>1056</v>
      </c>
      <c r="O208" s="289">
        <v>0</v>
      </c>
      <c r="P208" s="366">
        <f t="shared" si="95"/>
        <v>0</v>
      </c>
      <c r="Q208" s="289" t="s">
        <v>1056</v>
      </c>
      <c r="R208" s="345"/>
      <c r="S208" s="289">
        <v>3000000</v>
      </c>
      <c r="T208" s="345"/>
      <c r="U208" s="289">
        <v>200000</v>
      </c>
      <c r="V208" s="372"/>
      <c r="W208" s="289" t="s">
        <v>1056</v>
      </c>
      <c r="X208" s="372"/>
      <c r="Y208" s="285">
        <f t="shared" si="96"/>
        <v>3200000</v>
      </c>
      <c r="Z208" s="289" t="s">
        <v>1056</v>
      </c>
      <c r="AA208" s="289">
        <v>132000</v>
      </c>
      <c r="AB208" s="289">
        <v>16400</v>
      </c>
      <c r="AC208" s="289" t="s">
        <v>1056</v>
      </c>
      <c r="AD208" s="345"/>
      <c r="AE208" s="285">
        <f t="shared" si="97"/>
        <v>148400</v>
      </c>
      <c r="AF208" s="287">
        <v>0</v>
      </c>
    </row>
    <row r="209" spans="1:32">
      <c r="A209" s="300" t="s">
        <v>1075</v>
      </c>
      <c r="B209" s="301" t="s">
        <v>1073</v>
      </c>
      <c r="C209" s="1" t="s">
        <v>1082</v>
      </c>
      <c r="D209" s="1" t="s">
        <v>1056</v>
      </c>
      <c r="E209" s="1" t="s">
        <v>1083</v>
      </c>
      <c r="F209" s="283" t="s">
        <v>3</v>
      </c>
      <c r="G209" s="1" t="s">
        <v>1062</v>
      </c>
      <c r="H209" s="285">
        <v>0</v>
      </c>
      <c r="I209" s="285">
        <f t="shared" si="94"/>
        <v>6647382.3920639995</v>
      </c>
      <c r="J209" s="280">
        <f t="shared" si="88"/>
        <v>214217.06924776343</v>
      </c>
      <c r="K209" s="288">
        <v>0.99</v>
      </c>
      <c r="L209" s="285" t="s">
        <v>1056</v>
      </c>
      <c r="M209" s="340"/>
      <c r="N209" s="289" t="s">
        <v>1056</v>
      </c>
      <c r="O209" s="289">
        <v>0</v>
      </c>
      <c r="P209" s="366">
        <f t="shared" si="95"/>
        <v>0</v>
      </c>
      <c r="Q209" s="289" t="s">
        <v>1056</v>
      </c>
      <c r="R209" s="345"/>
      <c r="S209" s="289">
        <v>3000000</v>
      </c>
      <c r="T209" s="345"/>
      <c r="U209" s="289">
        <v>200000</v>
      </c>
      <c r="V209" s="372"/>
      <c r="W209" s="289" t="s">
        <v>1056</v>
      </c>
      <c r="X209" s="372"/>
      <c r="Y209" s="285">
        <f t="shared" si="96"/>
        <v>3200000</v>
      </c>
      <c r="Z209" s="289" t="s">
        <v>1056</v>
      </c>
      <c r="AA209" s="289">
        <v>132000</v>
      </c>
      <c r="AB209" s="289">
        <v>16400</v>
      </c>
      <c r="AC209" s="289">
        <f>I209*$C$284*$E$289</f>
        <v>257060.48309731612</v>
      </c>
      <c r="AD209" s="363">
        <f>J209*1.2*5</f>
        <v>1285302.4154865807</v>
      </c>
      <c r="AE209" s="285">
        <f t="shared" si="97"/>
        <v>1690762.8985838969</v>
      </c>
      <c r="AF209" s="287">
        <v>0</v>
      </c>
    </row>
    <row r="210" spans="1:32">
      <c r="A210" s="300" t="s">
        <v>1075</v>
      </c>
      <c r="B210" s="301" t="s">
        <v>1073</v>
      </c>
      <c r="C210" s="1" t="s">
        <v>1082</v>
      </c>
      <c r="D210" s="1" t="s">
        <v>1056</v>
      </c>
      <c r="E210" s="1" t="s">
        <v>1083</v>
      </c>
      <c r="F210" s="283" t="s">
        <v>3</v>
      </c>
      <c r="G210" s="1" t="s">
        <v>1063</v>
      </c>
      <c r="H210" s="285">
        <v>0</v>
      </c>
      <c r="I210" s="285">
        <f t="shared" si="94"/>
        <v>6647382.3920639995</v>
      </c>
      <c r="J210" s="280">
        <f t="shared" si="88"/>
        <v>214217.06924776343</v>
      </c>
      <c r="K210" s="288">
        <v>0</v>
      </c>
      <c r="L210" s="285" t="s">
        <v>1056</v>
      </c>
      <c r="M210" s="340"/>
      <c r="N210" s="289">
        <f t="shared" ref="N210:N216" si="98">$K$277</f>
        <v>130000</v>
      </c>
      <c r="O210" s="289">
        <v>0</v>
      </c>
      <c r="P210" s="366">
        <f t="shared" si="95"/>
        <v>130000</v>
      </c>
      <c r="Q210" s="289" t="s">
        <v>1056</v>
      </c>
      <c r="R210" s="345"/>
      <c r="S210" s="289">
        <v>3000000</v>
      </c>
      <c r="T210" s="345"/>
      <c r="U210" s="289" t="s">
        <v>1056</v>
      </c>
      <c r="V210" s="372"/>
      <c r="W210" s="286">
        <f>W211</f>
        <v>54000000</v>
      </c>
      <c r="X210" s="371"/>
      <c r="Y210" s="285">
        <f t="shared" si="96"/>
        <v>57000000</v>
      </c>
      <c r="Z210" s="289" t="s">
        <v>1056</v>
      </c>
      <c r="AA210" s="289">
        <v>132000</v>
      </c>
      <c r="AB210" s="289" t="s">
        <v>1056</v>
      </c>
      <c r="AC210" s="289" t="s">
        <v>1056</v>
      </c>
      <c r="AD210" s="345"/>
      <c r="AE210" s="285">
        <f t="shared" si="97"/>
        <v>132000</v>
      </c>
      <c r="AF210" s="287">
        <v>0</v>
      </c>
    </row>
    <row r="211" spans="1:32" ht="14.25" customHeight="1">
      <c r="A211" s="300" t="s">
        <v>1075</v>
      </c>
      <c r="B211" s="301" t="s">
        <v>1073</v>
      </c>
      <c r="C211" s="1" t="s">
        <v>1082</v>
      </c>
      <c r="D211" s="1" t="s">
        <v>1056</v>
      </c>
      <c r="E211" s="1" t="s">
        <v>1083</v>
      </c>
      <c r="F211" s="283" t="s">
        <v>3</v>
      </c>
      <c r="G211" s="1" t="s">
        <v>1064</v>
      </c>
      <c r="H211" s="285">
        <v>0</v>
      </c>
      <c r="I211" s="285">
        <f t="shared" si="94"/>
        <v>6647382.3920639995</v>
      </c>
      <c r="J211" s="280">
        <f t="shared" si="88"/>
        <v>214217.06924776343</v>
      </c>
      <c r="K211" s="288">
        <v>0</v>
      </c>
      <c r="L211" s="285" t="s">
        <v>1056</v>
      </c>
      <c r="M211" s="340"/>
      <c r="N211" s="289">
        <f t="shared" si="98"/>
        <v>130000</v>
      </c>
      <c r="O211" s="289">
        <v>0</v>
      </c>
      <c r="P211" s="366">
        <f t="shared" si="95"/>
        <v>130000</v>
      </c>
      <c r="Q211" s="289" t="s">
        <v>1056</v>
      </c>
      <c r="R211" s="345"/>
      <c r="S211" s="289">
        <v>3000000</v>
      </c>
      <c r="T211" s="345"/>
      <c r="U211" s="289" t="s">
        <v>1056</v>
      </c>
      <c r="V211" s="372"/>
      <c r="W211" s="289">
        <v>54000000</v>
      </c>
      <c r="X211" s="372"/>
      <c r="Y211" s="285">
        <f t="shared" si="96"/>
        <v>57000000</v>
      </c>
      <c r="Z211" s="289" t="s">
        <v>1056</v>
      </c>
      <c r="AA211" s="289">
        <v>132000</v>
      </c>
      <c r="AB211" s="289" t="s">
        <v>1056</v>
      </c>
      <c r="AC211" s="289" t="s">
        <v>1056</v>
      </c>
      <c r="AD211" s="345"/>
      <c r="AE211" s="285">
        <f t="shared" si="97"/>
        <v>132000</v>
      </c>
      <c r="AF211" s="287">
        <v>0</v>
      </c>
    </row>
    <row r="212" spans="1:32" ht="14.25" customHeight="1">
      <c r="A212" s="300" t="s">
        <v>1075</v>
      </c>
      <c r="B212" s="301" t="s">
        <v>1074</v>
      </c>
      <c r="C212" s="1" t="s">
        <v>1082</v>
      </c>
      <c r="D212" s="1" t="s">
        <v>1056</v>
      </c>
      <c r="E212" s="1" t="s">
        <v>1083</v>
      </c>
      <c r="F212" s="283" t="s">
        <v>3</v>
      </c>
      <c r="G212" s="1" t="s">
        <v>1061</v>
      </c>
      <c r="H212" s="285">
        <v>1</v>
      </c>
      <c r="I212" s="285">
        <f t="shared" si="94"/>
        <v>6647382.3920639995</v>
      </c>
      <c r="J212" s="280">
        <f t="shared" si="88"/>
        <v>214217.06924776343</v>
      </c>
      <c r="K212" s="288">
        <v>0.35</v>
      </c>
      <c r="L212" s="285">
        <f>$J$277</f>
        <v>7000000</v>
      </c>
      <c r="M212" s="341"/>
      <c r="N212" s="289">
        <f t="shared" si="98"/>
        <v>130000</v>
      </c>
      <c r="O212" s="289">
        <v>0</v>
      </c>
      <c r="P212" s="366">
        <f t="shared" si="95"/>
        <v>130000</v>
      </c>
      <c r="Q212" s="289">
        <f>$H$277</f>
        <v>737748.94000000006</v>
      </c>
      <c r="R212" s="345"/>
      <c r="S212" s="289">
        <v>3000000</v>
      </c>
      <c r="T212" s="345"/>
      <c r="U212" s="289" t="s">
        <v>1056</v>
      </c>
      <c r="V212" s="372"/>
      <c r="W212" s="289" t="s">
        <v>1056</v>
      </c>
      <c r="X212" s="372"/>
      <c r="Y212" s="285">
        <f t="shared" si="96"/>
        <v>3737748.94</v>
      </c>
      <c r="Z212" s="289">
        <f>$I$277</f>
        <v>34797.203000000001</v>
      </c>
      <c r="AA212" s="289">
        <v>132000</v>
      </c>
      <c r="AB212" s="289" t="s">
        <v>1056</v>
      </c>
      <c r="AC212" s="289" t="s">
        <v>1056</v>
      </c>
      <c r="AD212" s="345"/>
      <c r="AE212" s="285">
        <f t="shared" si="97"/>
        <v>166797.20300000001</v>
      </c>
      <c r="AF212" s="287">
        <v>0</v>
      </c>
    </row>
    <row r="213" spans="1:32" ht="14.25" customHeight="1">
      <c r="A213" s="300" t="s">
        <v>1075</v>
      </c>
      <c r="B213" s="301" t="s">
        <v>1074</v>
      </c>
      <c r="C213" s="1" t="s">
        <v>1082</v>
      </c>
      <c r="D213" s="1" t="s">
        <v>1056</v>
      </c>
      <c r="E213" s="1" t="s">
        <v>1083</v>
      </c>
      <c r="F213" s="283" t="s">
        <v>3</v>
      </c>
      <c r="G213" s="1" t="s">
        <v>51</v>
      </c>
      <c r="H213" s="285">
        <v>0</v>
      </c>
      <c r="I213" s="285">
        <f t="shared" si="94"/>
        <v>6647382.3920639995</v>
      </c>
      <c r="J213" s="280">
        <f t="shared" si="88"/>
        <v>214217.06924776343</v>
      </c>
      <c r="K213" s="288">
        <v>0.99</v>
      </c>
      <c r="L213" s="285">
        <f>$J$277</f>
        <v>7000000</v>
      </c>
      <c r="M213" s="341"/>
      <c r="N213" s="289">
        <f t="shared" si="98"/>
        <v>130000</v>
      </c>
      <c r="O213" s="289">
        <v>0</v>
      </c>
      <c r="P213" s="366">
        <f t="shared" si="95"/>
        <v>130000</v>
      </c>
      <c r="Q213" s="289">
        <f>$H$277</f>
        <v>737748.94000000006</v>
      </c>
      <c r="R213" s="345"/>
      <c r="S213" s="289">
        <v>3000000</v>
      </c>
      <c r="T213" s="345"/>
      <c r="U213" s="289">
        <v>200000</v>
      </c>
      <c r="V213" s="372"/>
      <c r="W213" s="289" t="s">
        <v>1056</v>
      </c>
      <c r="X213" s="372"/>
      <c r="Y213" s="285">
        <f t="shared" si="96"/>
        <v>3937748.94</v>
      </c>
      <c r="Z213" s="289">
        <f>$I$277</f>
        <v>34797.203000000001</v>
      </c>
      <c r="AA213" s="289">
        <v>132000</v>
      </c>
      <c r="AB213" s="289">
        <v>16400</v>
      </c>
      <c r="AC213" s="289" t="s">
        <v>1056</v>
      </c>
      <c r="AD213" s="345"/>
      <c r="AE213" s="285">
        <f t="shared" si="97"/>
        <v>183197.20300000001</v>
      </c>
      <c r="AF213" s="287">
        <v>0</v>
      </c>
    </row>
    <row r="214" spans="1:32" ht="14.25" customHeight="1">
      <c r="A214" s="300" t="s">
        <v>1075</v>
      </c>
      <c r="B214" s="301" t="s">
        <v>1074</v>
      </c>
      <c r="C214" s="1" t="s">
        <v>1082</v>
      </c>
      <c r="D214" s="1" t="s">
        <v>1056</v>
      </c>
      <c r="E214" s="1" t="s">
        <v>1083</v>
      </c>
      <c r="F214" s="283" t="s">
        <v>3</v>
      </c>
      <c r="G214" s="1" t="s">
        <v>1062</v>
      </c>
      <c r="H214" s="285">
        <v>0</v>
      </c>
      <c r="I214" s="285">
        <f t="shared" si="94"/>
        <v>6647382.3920639995</v>
      </c>
      <c r="J214" s="280">
        <f t="shared" si="88"/>
        <v>214217.06924776343</v>
      </c>
      <c r="K214" s="288">
        <v>0.99</v>
      </c>
      <c r="L214" s="285">
        <f>$J$277</f>
        <v>7000000</v>
      </c>
      <c r="M214" s="341"/>
      <c r="N214" s="289">
        <f t="shared" si="98"/>
        <v>130000</v>
      </c>
      <c r="O214" s="289">
        <v>0</v>
      </c>
      <c r="P214" s="366">
        <f t="shared" si="95"/>
        <v>130000</v>
      </c>
      <c r="Q214" s="289">
        <f>$H$277</f>
        <v>737748.94000000006</v>
      </c>
      <c r="R214" s="345"/>
      <c r="S214" s="289">
        <v>3000000</v>
      </c>
      <c r="T214" s="345"/>
      <c r="U214" s="289">
        <v>200000</v>
      </c>
      <c r="V214" s="372"/>
      <c r="W214" s="289" t="s">
        <v>1056</v>
      </c>
      <c r="X214" s="372"/>
      <c r="Y214" s="285">
        <f t="shared" si="96"/>
        <v>3937748.94</v>
      </c>
      <c r="Z214" s="289">
        <f>$I$277</f>
        <v>34797.203000000001</v>
      </c>
      <c r="AA214" s="289">
        <v>132000</v>
      </c>
      <c r="AB214" s="289">
        <v>16400</v>
      </c>
      <c r="AC214" s="289">
        <f>I214*$C$284*$E$289</f>
        <v>257060.48309731612</v>
      </c>
      <c r="AD214" s="363">
        <f>J214*1.2*5</f>
        <v>1285302.4154865807</v>
      </c>
      <c r="AE214" s="285">
        <f t="shared" si="97"/>
        <v>1725560.1015838967</v>
      </c>
      <c r="AF214" s="287">
        <v>0</v>
      </c>
    </row>
    <row r="215" spans="1:32" ht="14.25" customHeight="1">
      <c r="A215" s="300" t="s">
        <v>1075</v>
      </c>
      <c r="B215" s="301" t="s">
        <v>1074</v>
      </c>
      <c r="C215" s="1" t="s">
        <v>1082</v>
      </c>
      <c r="D215" s="1" t="s">
        <v>1056</v>
      </c>
      <c r="E215" s="1" t="s">
        <v>1083</v>
      </c>
      <c r="F215" s="283" t="s">
        <v>3</v>
      </c>
      <c r="G215" s="1" t="s">
        <v>1063</v>
      </c>
      <c r="H215" s="285">
        <v>0</v>
      </c>
      <c r="I215" s="285">
        <f t="shared" si="94"/>
        <v>6647382.3920639995</v>
      </c>
      <c r="J215" s="280">
        <f t="shared" si="88"/>
        <v>214217.06924776343</v>
      </c>
      <c r="K215" s="288">
        <v>0</v>
      </c>
      <c r="L215" s="285">
        <f>$J$277</f>
        <v>7000000</v>
      </c>
      <c r="M215" s="341"/>
      <c r="N215" s="289">
        <f t="shared" si="98"/>
        <v>130000</v>
      </c>
      <c r="O215" s="289">
        <v>0</v>
      </c>
      <c r="P215" s="366">
        <f t="shared" si="95"/>
        <v>130000</v>
      </c>
      <c r="Q215" s="289">
        <f>$H$277</f>
        <v>737748.94000000006</v>
      </c>
      <c r="R215" s="345"/>
      <c r="S215" s="289">
        <v>3000000</v>
      </c>
      <c r="T215" s="345"/>
      <c r="U215" s="289" t="s">
        <v>1056</v>
      </c>
      <c r="V215" s="372"/>
      <c r="W215" s="286">
        <f>W216</f>
        <v>54000000</v>
      </c>
      <c r="X215" s="371"/>
      <c r="Y215" s="285">
        <f t="shared" si="96"/>
        <v>57737748.939999998</v>
      </c>
      <c r="Z215" s="289">
        <f>$I$277</f>
        <v>34797.203000000001</v>
      </c>
      <c r="AA215" s="289">
        <v>132000</v>
      </c>
      <c r="AB215" s="289" t="s">
        <v>1056</v>
      </c>
      <c r="AC215" s="289" t="s">
        <v>1056</v>
      </c>
      <c r="AD215" s="345"/>
      <c r="AE215" s="285">
        <f t="shared" si="97"/>
        <v>166797.20300000001</v>
      </c>
      <c r="AF215" s="287">
        <v>0</v>
      </c>
    </row>
    <row r="216" spans="1:32" ht="14.25" customHeight="1">
      <c r="A216" s="300" t="s">
        <v>1075</v>
      </c>
      <c r="B216" s="301" t="s">
        <v>1074</v>
      </c>
      <c r="C216" s="1" t="s">
        <v>1082</v>
      </c>
      <c r="D216" s="1" t="s">
        <v>1056</v>
      </c>
      <c r="E216" s="1" t="s">
        <v>1083</v>
      </c>
      <c r="F216" s="283" t="s">
        <v>3</v>
      </c>
      <c r="G216" s="1" t="s">
        <v>1064</v>
      </c>
      <c r="H216" s="285">
        <v>0</v>
      </c>
      <c r="I216" s="285">
        <f t="shared" si="94"/>
        <v>6647382.3920639995</v>
      </c>
      <c r="J216" s="280">
        <f t="shared" si="88"/>
        <v>214217.06924776343</v>
      </c>
      <c r="K216" s="288">
        <v>0</v>
      </c>
      <c r="L216" s="285">
        <f>$J$277</f>
        <v>7000000</v>
      </c>
      <c r="M216" s="341"/>
      <c r="N216" s="289">
        <f t="shared" si="98"/>
        <v>130000</v>
      </c>
      <c r="O216" s="289">
        <v>0</v>
      </c>
      <c r="P216" s="366">
        <f t="shared" si="95"/>
        <v>130000</v>
      </c>
      <c r="Q216" s="289">
        <f>$H$277</f>
        <v>737748.94000000006</v>
      </c>
      <c r="R216" s="345"/>
      <c r="S216" s="289">
        <v>3000000</v>
      </c>
      <c r="T216" s="345"/>
      <c r="U216" s="289" t="s">
        <v>1056</v>
      </c>
      <c r="V216" s="372"/>
      <c r="W216" s="289">
        <v>54000000</v>
      </c>
      <c r="X216" s="372"/>
      <c r="Y216" s="285">
        <f t="shared" si="96"/>
        <v>57737748.939999998</v>
      </c>
      <c r="Z216" s="289">
        <f>$I$277</f>
        <v>34797.203000000001</v>
      </c>
      <c r="AA216" s="289">
        <v>132000</v>
      </c>
      <c r="AB216" s="289" t="s">
        <v>1056</v>
      </c>
      <c r="AC216" s="289" t="s">
        <v>1056</v>
      </c>
      <c r="AD216" s="345"/>
      <c r="AE216" s="285">
        <f t="shared" si="97"/>
        <v>166797.20300000001</v>
      </c>
      <c r="AF216" s="287">
        <v>0</v>
      </c>
    </row>
    <row r="217" spans="1:32">
      <c r="A217" s="300" t="s">
        <v>1075</v>
      </c>
      <c r="B217" s="301" t="s">
        <v>1073</v>
      </c>
      <c r="C217" s="1" t="s">
        <v>1084</v>
      </c>
      <c r="D217" s="1" t="s">
        <v>1056</v>
      </c>
      <c r="E217" s="1" t="s">
        <v>1085</v>
      </c>
      <c r="F217" s="307" t="s">
        <v>3</v>
      </c>
      <c r="G217" s="1" t="s">
        <v>1092</v>
      </c>
      <c r="H217" s="285">
        <v>82</v>
      </c>
      <c r="I217" s="285">
        <f t="shared" ref="I217:I227" si="99">$F$278</f>
        <v>3435067.9664639998</v>
      </c>
      <c r="J217" s="280">
        <f t="shared" si="88"/>
        <v>110697.73770218031</v>
      </c>
      <c r="K217" s="288">
        <v>0</v>
      </c>
      <c r="L217" s="285" t="s">
        <v>1056</v>
      </c>
      <c r="M217" s="340"/>
      <c r="N217" s="289" t="s">
        <v>1056</v>
      </c>
      <c r="O217" s="289">
        <v>0</v>
      </c>
      <c r="P217" s="366">
        <f>SUM(N217:O217)</f>
        <v>0</v>
      </c>
      <c r="Q217" s="289" t="s">
        <v>1056</v>
      </c>
      <c r="R217" s="345"/>
      <c r="S217" s="286" t="s">
        <v>1056</v>
      </c>
      <c r="T217" s="344"/>
      <c r="U217" s="289" t="s">
        <v>1056</v>
      </c>
      <c r="V217" s="372"/>
      <c r="W217" s="286" t="s">
        <v>1056</v>
      </c>
      <c r="X217" s="371"/>
      <c r="Y217" s="285" t="s">
        <v>1056</v>
      </c>
      <c r="Z217" s="289" t="s">
        <v>1056</v>
      </c>
      <c r="AA217" s="289" t="s">
        <v>1056</v>
      </c>
      <c r="AB217" s="289" t="s">
        <v>1056</v>
      </c>
      <c r="AC217" s="286" t="s">
        <v>1056</v>
      </c>
      <c r="AD217" s="344"/>
      <c r="AE217" s="285" t="s">
        <v>1056</v>
      </c>
      <c r="AF217" s="287" t="s">
        <v>1056</v>
      </c>
    </row>
    <row r="218" spans="1:32">
      <c r="A218" s="300" t="s">
        <v>1075</v>
      </c>
      <c r="B218" s="301" t="s">
        <v>1073</v>
      </c>
      <c r="C218" s="1" t="s">
        <v>1084</v>
      </c>
      <c r="D218" s="1" t="s">
        <v>1056</v>
      </c>
      <c r="E218" s="1" t="s">
        <v>1085</v>
      </c>
      <c r="F218" s="283" t="s">
        <v>3</v>
      </c>
      <c r="G218" s="1" t="s">
        <v>1061</v>
      </c>
      <c r="H218" s="285">
        <v>0</v>
      </c>
      <c r="I218" s="285">
        <f t="shared" si="99"/>
        <v>3435067.9664639998</v>
      </c>
      <c r="J218" s="280">
        <f t="shared" si="88"/>
        <v>110697.73770218031</v>
      </c>
      <c r="K218" s="288">
        <v>0.35</v>
      </c>
      <c r="L218" s="285" t="s">
        <v>1056</v>
      </c>
      <c r="M218" s="340"/>
      <c r="N218" s="289" t="s">
        <v>1056</v>
      </c>
      <c r="O218" s="289">
        <v>0</v>
      </c>
      <c r="P218" s="366">
        <f t="shared" ref="P218:P227" si="100">SUM(N218:O218)</f>
        <v>0</v>
      </c>
      <c r="Q218" s="289" t="s">
        <v>1056</v>
      </c>
      <c r="R218" s="345"/>
      <c r="S218" s="289">
        <v>2270000</v>
      </c>
      <c r="T218" s="345"/>
      <c r="U218" s="289" t="s">
        <v>1056</v>
      </c>
      <c r="V218" s="372"/>
      <c r="W218" s="289" t="s">
        <v>1056</v>
      </c>
      <c r="X218" s="372"/>
      <c r="Y218" s="285">
        <f t="shared" ref="Y218:Y227" si="101">SUM(Q218:W218)</f>
        <v>2270000</v>
      </c>
      <c r="Z218" s="289" t="s">
        <v>1056</v>
      </c>
      <c r="AA218" s="289">
        <v>86600</v>
      </c>
      <c r="AB218" s="289" t="s">
        <v>1056</v>
      </c>
      <c r="AC218" s="289" t="s">
        <v>1056</v>
      </c>
      <c r="AD218" s="345"/>
      <c r="AE218" s="285">
        <f t="shared" ref="AE218:AE227" si="102">SUM(Z218:AD218)</f>
        <v>86600</v>
      </c>
      <c r="AF218" s="287">
        <v>0</v>
      </c>
    </row>
    <row r="219" spans="1:32">
      <c r="A219" s="300" t="s">
        <v>1075</v>
      </c>
      <c r="B219" s="301" t="s">
        <v>1073</v>
      </c>
      <c r="C219" s="1" t="s">
        <v>1084</v>
      </c>
      <c r="D219" s="1" t="s">
        <v>1056</v>
      </c>
      <c r="E219" s="1" t="s">
        <v>1085</v>
      </c>
      <c r="F219" s="283" t="s">
        <v>3</v>
      </c>
      <c r="G219" s="1" t="s">
        <v>51</v>
      </c>
      <c r="H219" s="285">
        <v>0</v>
      </c>
      <c r="I219" s="285">
        <f t="shared" si="99"/>
        <v>3435067.9664639998</v>
      </c>
      <c r="J219" s="280">
        <f t="shared" si="88"/>
        <v>110697.73770218031</v>
      </c>
      <c r="K219" s="288">
        <v>0.99</v>
      </c>
      <c r="L219" s="285" t="s">
        <v>1056</v>
      </c>
      <c r="M219" s="340"/>
      <c r="N219" s="289" t="s">
        <v>1056</v>
      </c>
      <c r="O219" s="289">
        <v>0</v>
      </c>
      <c r="P219" s="366">
        <f t="shared" si="100"/>
        <v>0</v>
      </c>
      <c r="Q219" s="289" t="s">
        <v>1056</v>
      </c>
      <c r="R219" s="345"/>
      <c r="S219" s="289">
        <v>2270000</v>
      </c>
      <c r="T219" s="345"/>
      <c r="U219" s="289">
        <v>200000</v>
      </c>
      <c r="V219" s="372"/>
      <c r="W219" s="289" t="s">
        <v>1056</v>
      </c>
      <c r="X219" s="372"/>
      <c r="Y219" s="285">
        <f t="shared" si="101"/>
        <v>2470000</v>
      </c>
      <c r="Z219" s="289" t="s">
        <v>1056</v>
      </c>
      <c r="AA219" s="289">
        <v>86600</v>
      </c>
      <c r="AB219" s="289">
        <v>16400</v>
      </c>
      <c r="AC219" s="289" t="s">
        <v>1056</v>
      </c>
      <c r="AD219" s="345"/>
      <c r="AE219" s="285">
        <f t="shared" si="102"/>
        <v>103000</v>
      </c>
      <c r="AF219" s="287">
        <v>0</v>
      </c>
    </row>
    <row r="220" spans="1:32">
      <c r="A220" s="300" t="s">
        <v>1075</v>
      </c>
      <c r="B220" s="301" t="s">
        <v>1073</v>
      </c>
      <c r="C220" s="1" t="s">
        <v>1084</v>
      </c>
      <c r="D220" s="1" t="s">
        <v>1056</v>
      </c>
      <c r="E220" s="1" t="s">
        <v>1085</v>
      </c>
      <c r="F220" s="283" t="s">
        <v>3</v>
      </c>
      <c r="G220" s="1" t="s">
        <v>1062</v>
      </c>
      <c r="H220" s="285">
        <v>0</v>
      </c>
      <c r="I220" s="285">
        <f t="shared" si="99"/>
        <v>3435067.9664639998</v>
      </c>
      <c r="J220" s="280">
        <f t="shared" si="88"/>
        <v>110697.73770218031</v>
      </c>
      <c r="K220" s="288">
        <v>0.99</v>
      </c>
      <c r="L220" s="285" t="s">
        <v>1056</v>
      </c>
      <c r="M220" s="340"/>
      <c r="N220" s="289" t="s">
        <v>1056</v>
      </c>
      <c r="O220" s="289">
        <v>0</v>
      </c>
      <c r="P220" s="366">
        <f t="shared" si="100"/>
        <v>0</v>
      </c>
      <c r="Q220" s="289" t="s">
        <v>1056</v>
      </c>
      <c r="R220" s="345"/>
      <c r="S220" s="289">
        <v>2270000</v>
      </c>
      <c r="T220" s="345"/>
      <c r="U220" s="289">
        <v>200000</v>
      </c>
      <c r="V220" s="372"/>
      <c r="W220" s="289" t="s">
        <v>1056</v>
      </c>
      <c r="X220" s="372"/>
      <c r="Y220" s="285">
        <f t="shared" si="101"/>
        <v>2470000</v>
      </c>
      <c r="Z220" s="289" t="s">
        <v>1056</v>
      </c>
      <c r="AA220" s="289">
        <v>86600</v>
      </c>
      <c r="AB220" s="289">
        <v>16400</v>
      </c>
      <c r="AC220" s="289">
        <f>I220*$C$284*$E$289</f>
        <v>132837.28524261637</v>
      </c>
      <c r="AD220" s="345"/>
      <c r="AE220" s="285">
        <f t="shared" si="102"/>
        <v>235837.28524261637</v>
      </c>
      <c r="AF220" s="287">
        <v>0</v>
      </c>
    </row>
    <row r="221" spans="1:32">
      <c r="A221" s="300" t="s">
        <v>1075</v>
      </c>
      <c r="B221" s="301" t="s">
        <v>1073</v>
      </c>
      <c r="C221" s="1" t="s">
        <v>1084</v>
      </c>
      <c r="D221" s="1" t="s">
        <v>1056</v>
      </c>
      <c r="E221" s="1" t="s">
        <v>1085</v>
      </c>
      <c r="F221" s="283" t="s">
        <v>3</v>
      </c>
      <c r="G221" s="1" t="s">
        <v>1063</v>
      </c>
      <c r="H221" s="285">
        <v>0</v>
      </c>
      <c r="I221" s="285">
        <f t="shared" si="99"/>
        <v>3435067.9664639998</v>
      </c>
      <c r="J221" s="280">
        <f t="shared" si="88"/>
        <v>110697.73770218031</v>
      </c>
      <c r="K221" s="288">
        <v>0</v>
      </c>
      <c r="L221" s="285" t="s">
        <v>1056</v>
      </c>
      <c r="M221" s="340"/>
      <c r="N221" s="289">
        <f t="shared" ref="N221:N227" si="103">$K$278</f>
        <v>100000</v>
      </c>
      <c r="O221" s="289">
        <v>0</v>
      </c>
      <c r="P221" s="366">
        <f t="shared" si="100"/>
        <v>100000</v>
      </c>
      <c r="Q221" s="289" t="s">
        <v>1056</v>
      </c>
      <c r="R221" s="345"/>
      <c r="S221" s="289">
        <v>2270000</v>
      </c>
      <c r="T221" s="345"/>
      <c r="U221" s="289" t="s">
        <v>1056</v>
      </c>
      <c r="V221" s="372"/>
      <c r="W221" s="286">
        <f>W222</f>
        <v>54000000</v>
      </c>
      <c r="X221" s="371"/>
      <c r="Y221" s="285">
        <f t="shared" si="101"/>
        <v>56270000</v>
      </c>
      <c r="Z221" s="289" t="s">
        <v>1056</v>
      </c>
      <c r="AA221" s="289">
        <v>86600</v>
      </c>
      <c r="AB221" s="289" t="s">
        <v>1056</v>
      </c>
      <c r="AC221" s="289" t="s">
        <v>1056</v>
      </c>
      <c r="AD221" s="345"/>
      <c r="AE221" s="285">
        <f t="shared" si="102"/>
        <v>86600</v>
      </c>
      <c r="AF221" s="287">
        <v>0</v>
      </c>
    </row>
    <row r="222" spans="1:32">
      <c r="A222" s="300" t="s">
        <v>1075</v>
      </c>
      <c r="B222" s="301" t="s">
        <v>1073</v>
      </c>
      <c r="C222" s="1" t="s">
        <v>1084</v>
      </c>
      <c r="D222" s="1" t="s">
        <v>1056</v>
      </c>
      <c r="E222" s="1" t="s">
        <v>1085</v>
      </c>
      <c r="F222" s="283" t="s">
        <v>3</v>
      </c>
      <c r="G222" s="1" t="s">
        <v>1064</v>
      </c>
      <c r="H222" s="285">
        <v>0</v>
      </c>
      <c r="I222" s="285">
        <f t="shared" si="99"/>
        <v>3435067.9664639998</v>
      </c>
      <c r="J222" s="280">
        <f t="shared" si="88"/>
        <v>110697.73770218031</v>
      </c>
      <c r="K222" s="288">
        <v>0</v>
      </c>
      <c r="L222" s="285" t="s">
        <v>1056</v>
      </c>
      <c r="M222" s="340"/>
      <c r="N222" s="289">
        <f t="shared" si="103"/>
        <v>100000</v>
      </c>
      <c r="O222" s="289">
        <v>0</v>
      </c>
      <c r="P222" s="366">
        <f t="shared" si="100"/>
        <v>100000</v>
      </c>
      <c r="Q222" s="289" t="s">
        <v>1056</v>
      </c>
      <c r="R222" s="345"/>
      <c r="S222" s="289">
        <v>2270000</v>
      </c>
      <c r="T222" s="345"/>
      <c r="U222" s="289" t="s">
        <v>1056</v>
      </c>
      <c r="V222" s="372"/>
      <c r="W222" s="289">
        <v>54000000</v>
      </c>
      <c r="X222" s="372"/>
      <c r="Y222" s="285">
        <f t="shared" si="101"/>
        <v>56270000</v>
      </c>
      <c r="Z222" s="289" t="s">
        <v>1056</v>
      </c>
      <c r="AA222" s="289">
        <v>86600</v>
      </c>
      <c r="AB222" s="289" t="s">
        <v>1056</v>
      </c>
      <c r="AC222" s="289" t="s">
        <v>1056</v>
      </c>
      <c r="AD222" s="345"/>
      <c r="AE222" s="285">
        <f t="shared" si="102"/>
        <v>86600</v>
      </c>
      <c r="AF222" s="287">
        <v>0</v>
      </c>
    </row>
    <row r="223" spans="1:32">
      <c r="A223" s="300" t="s">
        <v>1075</v>
      </c>
      <c r="B223" s="301" t="s">
        <v>1074</v>
      </c>
      <c r="C223" s="1" t="s">
        <v>1084</v>
      </c>
      <c r="D223" s="1" t="s">
        <v>1056</v>
      </c>
      <c r="E223" s="1" t="s">
        <v>1085</v>
      </c>
      <c r="F223" s="283" t="s">
        <v>3</v>
      </c>
      <c r="G223" s="1" t="s">
        <v>1061</v>
      </c>
      <c r="H223" s="285">
        <v>6</v>
      </c>
      <c r="I223" s="285">
        <f t="shared" si="99"/>
        <v>3435067.9664639998</v>
      </c>
      <c r="J223" s="280">
        <f t="shared" si="88"/>
        <v>110697.73770218031</v>
      </c>
      <c r="K223" s="288">
        <v>0.35</v>
      </c>
      <c r="L223" s="285">
        <f>$J$278</f>
        <v>3800000</v>
      </c>
      <c r="M223" s="341"/>
      <c r="N223" s="289">
        <f t="shared" si="103"/>
        <v>100000</v>
      </c>
      <c r="O223" s="289">
        <v>0</v>
      </c>
      <c r="P223" s="366">
        <f t="shared" si="100"/>
        <v>100000</v>
      </c>
      <c r="Q223" s="289">
        <f>$H$278</f>
        <v>381235.44</v>
      </c>
      <c r="R223" s="345"/>
      <c r="S223" s="289">
        <v>2270000</v>
      </c>
      <c r="T223" s="345"/>
      <c r="U223" s="289" t="s">
        <v>1056</v>
      </c>
      <c r="V223" s="372"/>
      <c r="W223" s="289" t="s">
        <v>1056</v>
      </c>
      <c r="X223" s="372"/>
      <c r="Y223" s="285">
        <f t="shared" si="101"/>
        <v>2651235.44</v>
      </c>
      <c r="Z223" s="289">
        <f>$I$278</f>
        <v>17981.628000000001</v>
      </c>
      <c r="AA223" s="289">
        <v>86600</v>
      </c>
      <c r="AB223" s="289" t="s">
        <v>1056</v>
      </c>
      <c r="AC223" s="289" t="s">
        <v>1056</v>
      </c>
      <c r="AD223" s="345"/>
      <c r="AE223" s="285">
        <f t="shared" si="102"/>
        <v>104581.628</v>
      </c>
      <c r="AF223" s="287">
        <v>0</v>
      </c>
    </row>
    <row r="224" spans="1:32">
      <c r="A224" s="300" t="s">
        <v>1075</v>
      </c>
      <c r="B224" s="301" t="s">
        <v>1074</v>
      </c>
      <c r="C224" s="1" t="s">
        <v>1084</v>
      </c>
      <c r="D224" s="1" t="s">
        <v>1056</v>
      </c>
      <c r="E224" s="1" t="s">
        <v>1085</v>
      </c>
      <c r="F224" s="283" t="s">
        <v>3</v>
      </c>
      <c r="G224" s="1" t="s">
        <v>51</v>
      </c>
      <c r="H224" s="285">
        <v>0</v>
      </c>
      <c r="I224" s="285">
        <f t="shared" si="99"/>
        <v>3435067.9664639998</v>
      </c>
      <c r="J224" s="280">
        <f t="shared" si="88"/>
        <v>110697.73770218031</v>
      </c>
      <c r="K224" s="288">
        <v>0.99</v>
      </c>
      <c r="L224" s="285">
        <f>$J$278</f>
        <v>3800000</v>
      </c>
      <c r="M224" s="341"/>
      <c r="N224" s="289">
        <f t="shared" si="103"/>
        <v>100000</v>
      </c>
      <c r="O224" s="289">
        <v>0</v>
      </c>
      <c r="P224" s="366">
        <f t="shared" si="100"/>
        <v>100000</v>
      </c>
      <c r="Q224" s="289">
        <f>$H$278</f>
        <v>381235.44</v>
      </c>
      <c r="R224" s="345"/>
      <c r="S224" s="289">
        <v>2270000</v>
      </c>
      <c r="T224" s="345"/>
      <c r="U224" s="289">
        <v>200000</v>
      </c>
      <c r="V224" s="372"/>
      <c r="W224" s="289" t="s">
        <v>1056</v>
      </c>
      <c r="X224" s="372"/>
      <c r="Y224" s="285">
        <f t="shared" si="101"/>
        <v>2851235.44</v>
      </c>
      <c r="Z224" s="289">
        <f>$I$278</f>
        <v>17981.628000000001</v>
      </c>
      <c r="AA224" s="289">
        <v>86600</v>
      </c>
      <c r="AB224" s="289">
        <v>16400</v>
      </c>
      <c r="AC224" s="289" t="s">
        <v>1056</v>
      </c>
      <c r="AD224" s="345"/>
      <c r="AE224" s="285">
        <f t="shared" si="102"/>
        <v>120981.628</v>
      </c>
      <c r="AF224" s="287">
        <v>0</v>
      </c>
    </row>
    <row r="225" spans="1:32">
      <c r="A225" s="300" t="s">
        <v>1075</v>
      </c>
      <c r="B225" s="301" t="s">
        <v>1074</v>
      </c>
      <c r="C225" s="1" t="s">
        <v>1084</v>
      </c>
      <c r="D225" s="1" t="s">
        <v>1056</v>
      </c>
      <c r="E225" s="1" t="s">
        <v>1085</v>
      </c>
      <c r="F225" s="283" t="s">
        <v>3</v>
      </c>
      <c r="G225" s="1" t="s">
        <v>1062</v>
      </c>
      <c r="H225" s="285">
        <v>0</v>
      </c>
      <c r="I225" s="285">
        <f t="shared" si="99"/>
        <v>3435067.9664639998</v>
      </c>
      <c r="J225" s="280">
        <f t="shared" si="88"/>
        <v>110697.73770218031</v>
      </c>
      <c r="K225" s="288">
        <v>0.99</v>
      </c>
      <c r="L225" s="285">
        <f>$J$278</f>
        <v>3800000</v>
      </c>
      <c r="M225" s="341"/>
      <c r="N225" s="289">
        <f t="shared" si="103"/>
        <v>100000</v>
      </c>
      <c r="O225" s="289">
        <v>0</v>
      </c>
      <c r="P225" s="366">
        <f t="shared" si="100"/>
        <v>100000</v>
      </c>
      <c r="Q225" s="289">
        <f>$H$278</f>
        <v>381235.44</v>
      </c>
      <c r="R225" s="345"/>
      <c r="S225" s="289">
        <v>2270000</v>
      </c>
      <c r="T225" s="345"/>
      <c r="U225" s="289">
        <v>200000</v>
      </c>
      <c r="V225" s="372"/>
      <c r="W225" s="289" t="s">
        <v>1056</v>
      </c>
      <c r="X225" s="372"/>
      <c r="Y225" s="285">
        <f t="shared" si="101"/>
        <v>2851235.44</v>
      </c>
      <c r="Z225" s="289">
        <f>$I$278</f>
        <v>17981.628000000001</v>
      </c>
      <c r="AA225" s="289">
        <v>86600</v>
      </c>
      <c r="AB225" s="289">
        <v>16400</v>
      </c>
      <c r="AC225" s="289">
        <f>I225*$C$284*$E$289</f>
        <v>132837.28524261637</v>
      </c>
      <c r="AD225" s="345"/>
      <c r="AE225" s="285">
        <f t="shared" si="102"/>
        <v>253818.91324261637</v>
      </c>
      <c r="AF225" s="287">
        <v>0</v>
      </c>
    </row>
    <row r="226" spans="1:32">
      <c r="A226" s="300" t="s">
        <v>1075</v>
      </c>
      <c r="B226" s="301" t="s">
        <v>1074</v>
      </c>
      <c r="C226" s="1" t="s">
        <v>1084</v>
      </c>
      <c r="D226" s="1" t="s">
        <v>1056</v>
      </c>
      <c r="E226" s="1" t="s">
        <v>1085</v>
      </c>
      <c r="F226" s="283" t="s">
        <v>3</v>
      </c>
      <c r="G226" s="1" t="s">
        <v>1063</v>
      </c>
      <c r="H226" s="285">
        <v>0</v>
      </c>
      <c r="I226" s="285">
        <f t="shared" si="99"/>
        <v>3435067.9664639998</v>
      </c>
      <c r="J226" s="280">
        <f t="shared" si="88"/>
        <v>110697.73770218031</v>
      </c>
      <c r="K226" s="288">
        <v>0</v>
      </c>
      <c r="L226" s="285">
        <f>$J$278</f>
        <v>3800000</v>
      </c>
      <c r="M226" s="341"/>
      <c r="N226" s="289">
        <f t="shared" si="103"/>
        <v>100000</v>
      </c>
      <c r="O226" s="289">
        <v>0</v>
      </c>
      <c r="P226" s="366">
        <f t="shared" si="100"/>
        <v>100000</v>
      </c>
      <c r="Q226" s="289">
        <f>$H$278</f>
        <v>381235.44</v>
      </c>
      <c r="R226" s="345"/>
      <c r="S226" s="289">
        <v>2270000</v>
      </c>
      <c r="T226" s="345"/>
      <c r="U226" s="289" t="s">
        <v>1056</v>
      </c>
      <c r="V226" s="372"/>
      <c r="W226" s="286">
        <f>W227</f>
        <v>54000000</v>
      </c>
      <c r="X226" s="371"/>
      <c r="Y226" s="285">
        <f t="shared" si="101"/>
        <v>56651235.439999998</v>
      </c>
      <c r="Z226" s="289">
        <f>$I$278</f>
        <v>17981.628000000001</v>
      </c>
      <c r="AA226" s="289">
        <v>86600</v>
      </c>
      <c r="AB226" s="289" t="s">
        <v>1056</v>
      </c>
      <c r="AC226" s="289" t="s">
        <v>1056</v>
      </c>
      <c r="AD226" s="345"/>
      <c r="AE226" s="285">
        <f t="shared" si="102"/>
        <v>104581.628</v>
      </c>
      <c r="AF226" s="287">
        <v>0</v>
      </c>
    </row>
    <row r="227" spans="1:32">
      <c r="A227" s="300" t="s">
        <v>1075</v>
      </c>
      <c r="B227" s="301" t="s">
        <v>1074</v>
      </c>
      <c r="C227" s="1" t="s">
        <v>1084</v>
      </c>
      <c r="D227" s="1" t="s">
        <v>1056</v>
      </c>
      <c r="E227" s="1" t="s">
        <v>1085</v>
      </c>
      <c r="F227" s="283" t="s">
        <v>3</v>
      </c>
      <c r="G227" s="1" t="s">
        <v>1064</v>
      </c>
      <c r="H227" s="285">
        <v>0</v>
      </c>
      <c r="I227" s="285">
        <f t="shared" si="99"/>
        <v>3435067.9664639998</v>
      </c>
      <c r="J227" s="280">
        <f t="shared" si="88"/>
        <v>110697.73770218031</v>
      </c>
      <c r="K227" s="288">
        <v>0</v>
      </c>
      <c r="L227" s="285">
        <f>$J$278</f>
        <v>3800000</v>
      </c>
      <c r="M227" s="341"/>
      <c r="N227" s="289">
        <f t="shared" si="103"/>
        <v>100000</v>
      </c>
      <c r="O227" s="289">
        <v>0</v>
      </c>
      <c r="P227" s="366">
        <f t="shared" si="100"/>
        <v>100000</v>
      </c>
      <c r="Q227" s="289">
        <f>$H$278</f>
        <v>381235.44</v>
      </c>
      <c r="R227" s="345"/>
      <c r="S227" s="289">
        <v>2270000</v>
      </c>
      <c r="T227" s="345"/>
      <c r="U227" s="289" t="s">
        <v>1056</v>
      </c>
      <c r="V227" s="372"/>
      <c r="W227" s="289">
        <v>54000000</v>
      </c>
      <c r="X227" s="372"/>
      <c r="Y227" s="285">
        <f t="shared" si="101"/>
        <v>56651235.439999998</v>
      </c>
      <c r="Z227" s="289">
        <f>$I$278</f>
        <v>17981.628000000001</v>
      </c>
      <c r="AA227" s="289">
        <v>86600</v>
      </c>
      <c r="AB227" s="289" t="s">
        <v>1056</v>
      </c>
      <c r="AC227" s="289" t="s">
        <v>1056</v>
      </c>
      <c r="AD227" s="345"/>
      <c r="AE227" s="285">
        <f t="shared" si="102"/>
        <v>104581.628</v>
      </c>
      <c r="AF227" s="287">
        <v>0</v>
      </c>
    </row>
    <row r="228" spans="1:32">
      <c r="A228" s="300" t="s">
        <v>1075</v>
      </c>
      <c r="B228" s="301" t="s">
        <v>1073</v>
      </c>
      <c r="C228" s="301" t="s">
        <v>1086</v>
      </c>
      <c r="D228" s="301" t="s">
        <v>1056</v>
      </c>
      <c r="E228" s="301" t="s">
        <v>1087</v>
      </c>
      <c r="F228" s="307" t="s">
        <v>3</v>
      </c>
      <c r="G228" s="1" t="s">
        <v>1092</v>
      </c>
      <c r="H228" s="285">
        <v>140</v>
      </c>
      <c r="I228" s="285">
        <f>$F$279</f>
        <v>1612854.702336</v>
      </c>
      <c r="J228" s="280">
        <f t="shared" si="88"/>
        <v>51975.497583736025</v>
      </c>
      <c r="K228" s="288">
        <v>0</v>
      </c>
      <c r="L228" s="285" t="s">
        <v>1056</v>
      </c>
      <c r="M228" s="340"/>
      <c r="N228" s="289" t="s">
        <v>1056</v>
      </c>
      <c r="O228" s="289">
        <v>0</v>
      </c>
      <c r="P228" s="366">
        <f>SUM(N228:O228)</f>
        <v>0</v>
      </c>
      <c r="Q228" s="289" t="s">
        <v>1056</v>
      </c>
      <c r="R228" s="345"/>
      <c r="S228" s="286" t="s">
        <v>1056</v>
      </c>
      <c r="T228" s="344"/>
      <c r="U228" s="289" t="s">
        <v>1056</v>
      </c>
      <c r="V228" s="372"/>
      <c r="W228" s="286" t="s">
        <v>1056</v>
      </c>
      <c r="X228" s="371"/>
      <c r="Y228" s="285" t="s">
        <v>1056</v>
      </c>
      <c r="Z228" s="289" t="s">
        <v>1056</v>
      </c>
      <c r="AA228" s="289" t="s">
        <v>1056</v>
      </c>
      <c r="AB228" s="289" t="s">
        <v>1056</v>
      </c>
      <c r="AC228" s="286" t="s">
        <v>1056</v>
      </c>
      <c r="AD228" s="344"/>
      <c r="AE228" s="285" t="s">
        <v>1056</v>
      </c>
      <c r="AF228" s="287" t="s">
        <v>1056</v>
      </c>
    </row>
    <row r="229" spans="1:32">
      <c r="A229" s="300" t="s">
        <v>1075</v>
      </c>
      <c r="B229" s="301" t="s">
        <v>1073</v>
      </c>
      <c r="C229" s="301" t="s">
        <v>1086</v>
      </c>
      <c r="D229" s="301" t="s">
        <v>1056</v>
      </c>
      <c r="E229" s="301" t="s">
        <v>1087</v>
      </c>
      <c r="F229" s="283" t="s">
        <v>3</v>
      </c>
      <c r="G229" s="1" t="s">
        <v>1061</v>
      </c>
      <c r="H229" s="285">
        <v>0</v>
      </c>
      <c r="I229" s="285">
        <f t="shared" ref="I229:I238" si="104">$F$279</f>
        <v>1612854.702336</v>
      </c>
      <c r="J229" s="280">
        <f t="shared" si="88"/>
        <v>51975.497583736025</v>
      </c>
      <c r="K229" s="288">
        <v>0.35</v>
      </c>
      <c r="L229" s="285" t="s">
        <v>1056</v>
      </c>
      <c r="M229" s="340"/>
      <c r="N229" s="289" t="s">
        <v>1056</v>
      </c>
      <c r="O229" s="289">
        <v>0</v>
      </c>
      <c r="P229" s="366">
        <f t="shared" ref="P229:P238" si="105">SUM(N229:O229)</f>
        <v>0</v>
      </c>
      <c r="Q229" s="289" t="s">
        <v>1056</v>
      </c>
      <c r="R229" s="345"/>
      <c r="S229" s="289">
        <v>2270000</v>
      </c>
      <c r="T229" s="345"/>
      <c r="U229" s="289" t="s">
        <v>1056</v>
      </c>
      <c r="V229" s="372"/>
      <c r="W229" s="289" t="s">
        <v>1056</v>
      </c>
      <c r="X229" s="372"/>
      <c r="Y229" s="285">
        <f t="shared" ref="Y229:Y238" si="106">SUM(Q229:W229)</f>
        <v>2270000</v>
      </c>
      <c r="Z229" s="289" t="s">
        <v>1056</v>
      </c>
      <c r="AA229" s="289">
        <v>86600</v>
      </c>
      <c r="AB229" s="289" t="s">
        <v>1056</v>
      </c>
      <c r="AC229" s="289" t="s">
        <v>1056</v>
      </c>
      <c r="AD229" s="345"/>
      <c r="AE229" s="285">
        <f t="shared" ref="AE229:AE238" si="107">SUM(Z229:AD229)</f>
        <v>86600</v>
      </c>
      <c r="AF229" s="287">
        <v>0</v>
      </c>
    </row>
    <row r="230" spans="1:32">
      <c r="A230" s="300" t="s">
        <v>1075</v>
      </c>
      <c r="B230" s="301" t="s">
        <v>1073</v>
      </c>
      <c r="C230" s="301" t="s">
        <v>1086</v>
      </c>
      <c r="D230" s="301" t="s">
        <v>1056</v>
      </c>
      <c r="E230" s="301" t="s">
        <v>1087</v>
      </c>
      <c r="F230" s="283" t="s">
        <v>3</v>
      </c>
      <c r="G230" s="1" t="s">
        <v>51</v>
      </c>
      <c r="H230" s="285">
        <v>0</v>
      </c>
      <c r="I230" s="285">
        <f t="shared" si="104"/>
        <v>1612854.702336</v>
      </c>
      <c r="J230" s="280">
        <f t="shared" si="88"/>
        <v>51975.497583736025</v>
      </c>
      <c r="K230" s="288">
        <v>0.99</v>
      </c>
      <c r="L230" s="285" t="s">
        <v>1056</v>
      </c>
      <c r="M230" s="340"/>
      <c r="N230" s="289" t="s">
        <v>1056</v>
      </c>
      <c r="O230" s="289">
        <v>0</v>
      </c>
      <c r="P230" s="366">
        <f t="shared" si="105"/>
        <v>0</v>
      </c>
      <c r="Q230" s="289" t="s">
        <v>1056</v>
      </c>
      <c r="R230" s="345"/>
      <c r="S230" s="289">
        <v>2270000</v>
      </c>
      <c r="T230" s="345"/>
      <c r="U230" s="289">
        <v>132500</v>
      </c>
      <c r="V230" s="372"/>
      <c r="W230" s="289" t="s">
        <v>1056</v>
      </c>
      <c r="X230" s="372"/>
      <c r="Y230" s="285">
        <f t="shared" si="106"/>
        <v>2402500</v>
      </c>
      <c r="Z230" s="289" t="s">
        <v>1056</v>
      </c>
      <c r="AA230" s="289">
        <v>86600</v>
      </c>
      <c r="AB230" s="289">
        <v>9465</v>
      </c>
      <c r="AC230" s="289" t="s">
        <v>1056</v>
      </c>
      <c r="AD230" s="345"/>
      <c r="AE230" s="285">
        <f t="shared" si="107"/>
        <v>96065</v>
      </c>
      <c r="AF230" s="287">
        <v>0</v>
      </c>
    </row>
    <row r="231" spans="1:32">
      <c r="A231" s="300" t="s">
        <v>1075</v>
      </c>
      <c r="B231" s="301" t="s">
        <v>1073</v>
      </c>
      <c r="C231" s="301" t="s">
        <v>1086</v>
      </c>
      <c r="D231" s="301" t="s">
        <v>1056</v>
      </c>
      <c r="E231" s="301" t="s">
        <v>1087</v>
      </c>
      <c r="F231" s="283" t="s">
        <v>3</v>
      </c>
      <c r="G231" s="1" t="s">
        <v>1062</v>
      </c>
      <c r="H231" s="285">
        <v>0</v>
      </c>
      <c r="I231" s="285">
        <f t="shared" si="104"/>
        <v>1612854.702336</v>
      </c>
      <c r="J231" s="280">
        <f t="shared" si="88"/>
        <v>51975.497583736025</v>
      </c>
      <c r="K231" s="288">
        <v>0.99</v>
      </c>
      <c r="L231" s="285" t="s">
        <v>1056</v>
      </c>
      <c r="M231" s="340"/>
      <c r="N231" s="289" t="s">
        <v>1056</v>
      </c>
      <c r="O231" s="289">
        <v>0</v>
      </c>
      <c r="P231" s="366">
        <f t="shared" si="105"/>
        <v>0</v>
      </c>
      <c r="Q231" s="289" t="s">
        <v>1056</v>
      </c>
      <c r="R231" s="345"/>
      <c r="S231" s="289">
        <v>2270000</v>
      </c>
      <c r="T231" s="345"/>
      <c r="U231" s="289">
        <v>132500</v>
      </c>
      <c r="V231" s="372"/>
      <c r="W231" s="289" t="s">
        <v>1056</v>
      </c>
      <c r="X231" s="372"/>
      <c r="Y231" s="285">
        <f t="shared" si="106"/>
        <v>2402500</v>
      </c>
      <c r="Z231" s="289" t="s">
        <v>1056</v>
      </c>
      <c r="AA231" s="289">
        <v>86600</v>
      </c>
      <c r="AB231" s="289">
        <v>9465</v>
      </c>
      <c r="AC231" s="289">
        <f>I231*$C$284*$E$289</f>
        <v>62370.597100483232</v>
      </c>
      <c r="AD231" s="345"/>
      <c r="AE231" s="285">
        <f t="shared" si="107"/>
        <v>158435.59710048322</v>
      </c>
      <c r="AF231" s="287">
        <v>0</v>
      </c>
    </row>
    <row r="232" spans="1:32">
      <c r="A232" s="300" t="s">
        <v>1075</v>
      </c>
      <c r="B232" s="301" t="s">
        <v>1073</v>
      </c>
      <c r="C232" s="301" t="s">
        <v>1086</v>
      </c>
      <c r="D232" s="301" t="s">
        <v>1056</v>
      </c>
      <c r="E232" s="301" t="s">
        <v>1087</v>
      </c>
      <c r="F232" s="283" t="s">
        <v>3</v>
      </c>
      <c r="G232" s="1" t="s">
        <v>1063</v>
      </c>
      <c r="H232" s="285">
        <v>0</v>
      </c>
      <c r="I232" s="285">
        <f t="shared" si="104"/>
        <v>1612854.702336</v>
      </c>
      <c r="J232" s="280">
        <f t="shared" si="88"/>
        <v>51975.497583736025</v>
      </c>
      <c r="K232" s="288">
        <v>0</v>
      </c>
      <c r="L232" s="285" t="s">
        <v>1056</v>
      </c>
      <c r="M232" s="340"/>
      <c r="N232" s="289">
        <f t="shared" ref="N232:N238" si="108">$K$279</f>
        <v>65000</v>
      </c>
      <c r="O232" s="289">
        <v>0</v>
      </c>
      <c r="P232" s="366">
        <f t="shared" si="105"/>
        <v>65000</v>
      </c>
      <c r="Q232" s="289" t="s">
        <v>1056</v>
      </c>
      <c r="R232" s="345"/>
      <c r="S232" s="289">
        <v>2270000</v>
      </c>
      <c r="T232" s="345"/>
      <c r="U232" s="289" t="s">
        <v>1056</v>
      </c>
      <c r="V232" s="372"/>
      <c r="W232" s="286">
        <f>W233</f>
        <v>54000000</v>
      </c>
      <c r="X232" s="371"/>
      <c r="Y232" s="285">
        <f t="shared" si="106"/>
        <v>56270000</v>
      </c>
      <c r="Z232" s="289" t="s">
        <v>1056</v>
      </c>
      <c r="AA232" s="289">
        <v>86600</v>
      </c>
      <c r="AB232" s="289" t="s">
        <v>1056</v>
      </c>
      <c r="AC232" s="289" t="s">
        <v>1056</v>
      </c>
      <c r="AD232" s="345"/>
      <c r="AE232" s="285">
        <f t="shared" si="107"/>
        <v>86600</v>
      </c>
      <c r="AF232" s="287">
        <v>0</v>
      </c>
    </row>
    <row r="233" spans="1:32">
      <c r="A233" s="300" t="s">
        <v>1075</v>
      </c>
      <c r="B233" s="301" t="s">
        <v>1073</v>
      </c>
      <c r="C233" s="301" t="s">
        <v>1086</v>
      </c>
      <c r="D233" s="301" t="s">
        <v>1056</v>
      </c>
      <c r="E233" s="301" t="s">
        <v>1087</v>
      </c>
      <c r="F233" s="283" t="s">
        <v>3</v>
      </c>
      <c r="G233" s="1" t="s">
        <v>1064</v>
      </c>
      <c r="H233" s="285">
        <v>0</v>
      </c>
      <c r="I233" s="285">
        <f t="shared" si="104"/>
        <v>1612854.702336</v>
      </c>
      <c r="J233" s="280">
        <f t="shared" si="88"/>
        <v>51975.497583736025</v>
      </c>
      <c r="K233" s="288">
        <v>0</v>
      </c>
      <c r="L233" s="285" t="s">
        <v>1056</v>
      </c>
      <c r="M233" s="340"/>
      <c r="N233" s="289">
        <f t="shared" si="108"/>
        <v>65000</v>
      </c>
      <c r="O233" s="289">
        <v>0</v>
      </c>
      <c r="P233" s="366">
        <f t="shared" si="105"/>
        <v>65000</v>
      </c>
      <c r="Q233" s="289" t="s">
        <v>1056</v>
      </c>
      <c r="R233" s="345"/>
      <c r="S233" s="289">
        <v>2270000</v>
      </c>
      <c r="T233" s="345"/>
      <c r="U233" s="289" t="s">
        <v>1056</v>
      </c>
      <c r="V233" s="372"/>
      <c r="W233" s="289">
        <v>54000000</v>
      </c>
      <c r="X233" s="372"/>
      <c r="Y233" s="285">
        <f t="shared" si="106"/>
        <v>56270000</v>
      </c>
      <c r="Z233" s="289" t="s">
        <v>1056</v>
      </c>
      <c r="AA233" s="289">
        <v>86600</v>
      </c>
      <c r="AB233" s="289" t="s">
        <v>1056</v>
      </c>
      <c r="AC233" s="289" t="s">
        <v>1056</v>
      </c>
      <c r="AD233" s="345"/>
      <c r="AE233" s="285">
        <f t="shared" si="107"/>
        <v>86600</v>
      </c>
      <c r="AF233" s="287">
        <v>0</v>
      </c>
    </row>
    <row r="234" spans="1:32">
      <c r="A234" s="300" t="s">
        <v>1075</v>
      </c>
      <c r="B234" s="301" t="s">
        <v>1074</v>
      </c>
      <c r="C234" s="301" t="s">
        <v>1086</v>
      </c>
      <c r="D234" s="301" t="s">
        <v>1056</v>
      </c>
      <c r="E234" s="301" t="s">
        <v>1087</v>
      </c>
      <c r="F234" s="283" t="s">
        <v>3</v>
      </c>
      <c r="G234" s="1" t="s">
        <v>1061</v>
      </c>
      <c r="H234" s="285">
        <v>11</v>
      </c>
      <c r="I234" s="285">
        <f t="shared" si="104"/>
        <v>1612854.702336</v>
      </c>
      <c r="J234" s="280">
        <f t="shared" si="88"/>
        <v>51975.497583736025</v>
      </c>
      <c r="K234" s="288">
        <v>0.35</v>
      </c>
      <c r="L234" s="285">
        <f>$J$279</f>
        <v>1900000</v>
      </c>
      <c r="M234" s="341"/>
      <c r="N234" s="289">
        <f t="shared" si="108"/>
        <v>65000</v>
      </c>
      <c r="O234" s="289">
        <v>0</v>
      </c>
      <c r="P234" s="366">
        <f t="shared" si="105"/>
        <v>65000</v>
      </c>
      <c r="Q234" s="289">
        <f>$H$279</f>
        <v>179000.06</v>
      </c>
      <c r="R234" s="345"/>
      <c r="S234" s="289">
        <v>2270000</v>
      </c>
      <c r="T234" s="345"/>
      <c r="U234" s="289" t="s">
        <v>1056</v>
      </c>
      <c r="V234" s="372"/>
      <c r="W234" s="289" t="s">
        <v>1056</v>
      </c>
      <c r="X234" s="372"/>
      <c r="Y234" s="285">
        <f t="shared" si="106"/>
        <v>2449000.06</v>
      </c>
      <c r="Z234" s="289">
        <f>$I$279</f>
        <v>8442.8469999999998</v>
      </c>
      <c r="AA234" s="289">
        <v>86600</v>
      </c>
      <c r="AB234" s="289" t="s">
        <v>1056</v>
      </c>
      <c r="AC234" s="289" t="s">
        <v>1056</v>
      </c>
      <c r="AD234" s="345"/>
      <c r="AE234" s="285">
        <f t="shared" si="107"/>
        <v>95042.846999999994</v>
      </c>
      <c r="AF234" s="287">
        <v>0</v>
      </c>
    </row>
    <row r="235" spans="1:32">
      <c r="A235" s="300" t="s">
        <v>1075</v>
      </c>
      <c r="B235" s="301" t="s">
        <v>1074</v>
      </c>
      <c r="C235" s="301" t="s">
        <v>1086</v>
      </c>
      <c r="D235" s="301" t="s">
        <v>1056</v>
      </c>
      <c r="E235" s="301" t="s">
        <v>1087</v>
      </c>
      <c r="F235" s="283" t="s">
        <v>3</v>
      </c>
      <c r="G235" s="1" t="s">
        <v>51</v>
      </c>
      <c r="H235" s="285">
        <v>0</v>
      </c>
      <c r="I235" s="285">
        <f t="shared" si="104"/>
        <v>1612854.702336</v>
      </c>
      <c r="J235" s="280">
        <f t="shared" si="88"/>
        <v>51975.497583736025</v>
      </c>
      <c r="K235" s="288">
        <v>0.99</v>
      </c>
      <c r="L235" s="285">
        <f>$J$279</f>
        <v>1900000</v>
      </c>
      <c r="M235" s="341"/>
      <c r="N235" s="289">
        <f t="shared" si="108"/>
        <v>65000</v>
      </c>
      <c r="O235" s="289">
        <v>0</v>
      </c>
      <c r="P235" s="366">
        <f t="shared" si="105"/>
        <v>65000</v>
      </c>
      <c r="Q235" s="289">
        <f>$H$279</f>
        <v>179000.06</v>
      </c>
      <c r="R235" s="345"/>
      <c r="S235" s="289">
        <v>2270000</v>
      </c>
      <c r="T235" s="345"/>
      <c r="U235" s="289">
        <v>132500</v>
      </c>
      <c r="V235" s="372"/>
      <c r="W235" s="289" t="s">
        <v>1056</v>
      </c>
      <c r="X235" s="372"/>
      <c r="Y235" s="285">
        <f t="shared" si="106"/>
        <v>2581500.06</v>
      </c>
      <c r="Z235" s="289">
        <f>$I$279</f>
        <v>8442.8469999999998</v>
      </c>
      <c r="AA235" s="289">
        <v>86600</v>
      </c>
      <c r="AB235" s="289">
        <v>9465</v>
      </c>
      <c r="AC235" s="289" t="s">
        <v>1056</v>
      </c>
      <c r="AD235" s="345"/>
      <c r="AE235" s="285">
        <f t="shared" si="107"/>
        <v>104507.84699999999</v>
      </c>
      <c r="AF235" s="287">
        <v>0</v>
      </c>
    </row>
    <row r="236" spans="1:32">
      <c r="A236" s="300" t="s">
        <v>1075</v>
      </c>
      <c r="B236" s="301" t="s">
        <v>1074</v>
      </c>
      <c r="C236" s="301" t="s">
        <v>1086</v>
      </c>
      <c r="D236" s="301" t="s">
        <v>1056</v>
      </c>
      <c r="E236" s="301" t="s">
        <v>1087</v>
      </c>
      <c r="F236" s="283" t="s">
        <v>3</v>
      </c>
      <c r="G236" s="1" t="s">
        <v>1062</v>
      </c>
      <c r="H236" s="285">
        <v>0</v>
      </c>
      <c r="I236" s="285">
        <f t="shared" si="104"/>
        <v>1612854.702336</v>
      </c>
      <c r="J236" s="280">
        <f t="shared" si="88"/>
        <v>51975.497583736025</v>
      </c>
      <c r="K236" s="288">
        <v>0.99</v>
      </c>
      <c r="L236" s="285">
        <f>$J$279</f>
        <v>1900000</v>
      </c>
      <c r="M236" s="341"/>
      <c r="N236" s="289">
        <f t="shared" si="108"/>
        <v>65000</v>
      </c>
      <c r="O236" s="289">
        <v>0</v>
      </c>
      <c r="P236" s="366">
        <f t="shared" si="105"/>
        <v>65000</v>
      </c>
      <c r="Q236" s="289">
        <f>$H$279</f>
        <v>179000.06</v>
      </c>
      <c r="R236" s="345"/>
      <c r="S236" s="289">
        <v>2270000</v>
      </c>
      <c r="T236" s="345"/>
      <c r="U236" s="289">
        <v>132500</v>
      </c>
      <c r="V236" s="372"/>
      <c r="W236" s="289" t="s">
        <v>1056</v>
      </c>
      <c r="X236" s="372"/>
      <c r="Y236" s="285">
        <f t="shared" si="106"/>
        <v>2581500.06</v>
      </c>
      <c r="Z236" s="289">
        <f>$I$279</f>
        <v>8442.8469999999998</v>
      </c>
      <c r="AA236" s="289">
        <v>86600</v>
      </c>
      <c r="AB236" s="289">
        <v>9465</v>
      </c>
      <c r="AC236" s="289">
        <f>I236*$C$284*$E$289</f>
        <v>62370.597100483232</v>
      </c>
      <c r="AD236" s="345"/>
      <c r="AE236" s="285">
        <f t="shared" si="107"/>
        <v>166878.44410048323</v>
      </c>
      <c r="AF236" s="287">
        <v>0</v>
      </c>
    </row>
    <row r="237" spans="1:32">
      <c r="A237" s="300" t="s">
        <v>1075</v>
      </c>
      <c r="B237" s="301" t="s">
        <v>1074</v>
      </c>
      <c r="C237" s="301" t="s">
        <v>1086</v>
      </c>
      <c r="D237" s="301" t="s">
        <v>1056</v>
      </c>
      <c r="E237" s="301" t="s">
        <v>1087</v>
      </c>
      <c r="F237" s="283" t="s">
        <v>3</v>
      </c>
      <c r="G237" s="1" t="s">
        <v>1063</v>
      </c>
      <c r="H237" s="285">
        <v>0</v>
      </c>
      <c r="I237" s="285">
        <f t="shared" si="104"/>
        <v>1612854.702336</v>
      </c>
      <c r="J237" s="280">
        <f t="shared" si="88"/>
        <v>51975.497583736025</v>
      </c>
      <c r="K237" s="288">
        <v>0</v>
      </c>
      <c r="L237" s="285">
        <f>$J$279</f>
        <v>1900000</v>
      </c>
      <c r="M237" s="341"/>
      <c r="N237" s="289">
        <f t="shared" si="108"/>
        <v>65000</v>
      </c>
      <c r="O237" s="289">
        <v>0</v>
      </c>
      <c r="P237" s="366">
        <f t="shared" si="105"/>
        <v>65000</v>
      </c>
      <c r="Q237" s="289">
        <f>$H$279</f>
        <v>179000.06</v>
      </c>
      <c r="R237" s="345"/>
      <c r="S237" s="289">
        <v>2270000</v>
      </c>
      <c r="T237" s="345"/>
      <c r="U237" s="289" t="s">
        <v>1056</v>
      </c>
      <c r="V237" s="372"/>
      <c r="W237" s="286">
        <f>W238</f>
        <v>54000000</v>
      </c>
      <c r="X237" s="371"/>
      <c r="Y237" s="285">
        <f t="shared" si="106"/>
        <v>56449000.060000002</v>
      </c>
      <c r="Z237" s="289">
        <f>$I$279</f>
        <v>8442.8469999999998</v>
      </c>
      <c r="AA237" s="289">
        <v>86600</v>
      </c>
      <c r="AB237" s="289" t="s">
        <v>1056</v>
      </c>
      <c r="AC237" s="289" t="s">
        <v>1056</v>
      </c>
      <c r="AD237" s="345"/>
      <c r="AE237" s="285">
        <f t="shared" si="107"/>
        <v>95042.846999999994</v>
      </c>
      <c r="AF237" s="287">
        <v>0</v>
      </c>
    </row>
    <row r="238" spans="1:32">
      <c r="A238" s="300" t="s">
        <v>1075</v>
      </c>
      <c r="B238" s="301" t="s">
        <v>1074</v>
      </c>
      <c r="C238" s="301" t="s">
        <v>1086</v>
      </c>
      <c r="D238" s="301" t="s">
        <v>1056</v>
      </c>
      <c r="E238" s="301" t="s">
        <v>1087</v>
      </c>
      <c r="F238" s="283" t="s">
        <v>3</v>
      </c>
      <c r="G238" s="1" t="s">
        <v>1064</v>
      </c>
      <c r="H238" s="285">
        <v>0</v>
      </c>
      <c r="I238" s="285">
        <f t="shared" si="104"/>
        <v>1612854.702336</v>
      </c>
      <c r="J238" s="280">
        <f t="shared" si="88"/>
        <v>51975.497583736025</v>
      </c>
      <c r="K238" s="288">
        <v>0</v>
      </c>
      <c r="L238" s="285">
        <f>$J$279</f>
        <v>1900000</v>
      </c>
      <c r="M238" s="341"/>
      <c r="N238" s="289">
        <f t="shared" si="108"/>
        <v>65000</v>
      </c>
      <c r="O238" s="289">
        <v>0</v>
      </c>
      <c r="P238" s="366">
        <f t="shared" si="105"/>
        <v>65000</v>
      </c>
      <c r="Q238" s="289">
        <f>$H$279</f>
        <v>179000.06</v>
      </c>
      <c r="R238" s="345"/>
      <c r="S238" s="289">
        <v>2270000</v>
      </c>
      <c r="T238" s="345"/>
      <c r="U238" s="289" t="s">
        <v>1056</v>
      </c>
      <c r="V238" s="372"/>
      <c r="W238" s="289">
        <v>54000000</v>
      </c>
      <c r="X238" s="372"/>
      <c r="Y238" s="285">
        <f t="shared" si="106"/>
        <v>56449000.060000002</v>
      </c>
      <c r="Z238" s="289">
        <f>$I$279</f>
        <v>8442.8469999999998</v>
      </c>
      <c r="AA238" s="289">
        <v>86600</v>
      </c>
      <c r="AB238" s="289" t="s">
        <v>1056</v>
      </c>
      <c r="AC238" s="289" t="s">
        <v>1056</v>
      </c>
      <c r="AD238" s="345"/>
      <c r="AE238" s="285">
        <f t="shared" si="107"/>
        <v>95042.846999999994</v>
      </c>
      <c r="AF238" s="287">
        <v>0</v>
      </c>
    </row>
    <row r="239" spans="1:32">
      <c r="A239" s="300" t="s">
        <v>1075</v>
      </c>
      <c r="B239" s="301" t="s">
        <v>1073</v>
      </c>
      <c r="C239" s="301" t="s">
        <v>1088</v>
      </c>
      <c r="D239" s="301" t="s">
        <v>1056</v>
      </c>
      <c r="E239" s="301" t="s">
        <v>1089</v>
      </c>
      <c r="F239" s="307" t="s">
        <v>3</v>
      </c>
      <c r="G239" s="1" t="s">
        <v>1092</v>
      </c>
      <c r="H239" s="285">
        <v>230</v>
      </c>
      <c r="I239" s="285">
        <f>$F$280</f>
        <v>840907.01951999997</v>
      </c>
      <c r="J239" s="280">
        <f t="shared" si="88"/>
        <v>27098.882929693187</v>
      </c>
      <c r="K239" s="288">
        <v>0</v>
      </c>
      <c r="L239" s="285" t="s">
        <v>1056</v>
      </c>
      <c r="M239" s="340"/>
      <c r="N239" s="289" t="s">
        <v>1056</v>
      </c>
      <c r="O239" s="289">
        <v>0</v>
      </c>
      <c r="P239" s="366">
        <f>SUM(N239:O239)</f>
        <v>0</v>
      </c>
      <c r="Q239" s="289" t="s">
        <v>1056</v>
      </c>
      <c r="R239" s="345"/>
      <c r="S239" s="286" t="s">
        <v>1056</v>
      </c>
      <c r="T239" s="344"/>
      <c r="U239" s="289" t="s">
        <v>1056</v>
      </c>
      <c r="V239" s="372"/>
      <c r="W239" s="286" t="s">
        <v>1056</v>
      </c>
      <c r="X239" s="371"/>
      <c r="Y239" s="285" t="s">
        <v>1056</v>
      </c>
      <c r="Z239" s="289" t="s">
        <v>1056</v>
      </c>
      <c r="AA239" s="289" t="s">
        <v>1056</v>
      </c>
      <c r="AB239" s="289" t="s">
        <v>1056</v>
      </c>
      <c r="AC239" s="286" t="s">
        <v>1056</v>
      </c>
      <c r="AD239" s="344"/>
      <c r="AE239" s="285" t="s">
        <v>1056</v>
      </c>
      <c r="AF239" s="287" t="s">
        <v>1056</v>
      </c>
    </row>
    <row r="240" spans="1:32">
      <c r="A240" s="300" t="s">
        <v>1075</v>
      </c>
      <c r="B240" s="301" t="s">
        <v>1073</v>
      </c>
      <c r="C240" s="301" t="s">
        <v>1088</v>
      </c>
      <c r="D240" s="301" t="s">
        <v>1056</v>
      </c>
      <c r="E240" s="301" t="s">
        <v>1089</v>
      </c>
      <c r="F240" s="283" t="s">
        <v>3</v>
      </c>
      <c r="G240" s="1" t="s">
        <v>1061</v>
      </c>
      <c r="H240" s="285">
        <v>0</v>
      </c>
      <c r="I240" s="285">
        <f t="shared" ref="I240:I249" si="109">$F$280</f>
        <v>840907.01951999997</v>
      </c>
      <c r="J240" s="280">
        <f t="shared" si="88"/>
        <v>27098.882929693187</v>
      </c>
      <c r="K240" s="288">
        <v>0.35</v>
      </c>
      <c r="L240" s="285" t="s">
        <v>1056</v>
      </c>
      <c r="M240" s="340"/>
      <c r="N240" s="289" t="s">
        <v>1056</v>
      </c>
      <c r="O240" s="289">
        <v>0</v>
      </c>
      <c r="P240" s="366">
        <f t="shared" ref="P240:P249" si="110">SUM(N240:O240)</f>
        <v>0</v>
      </c>
      <c r="Q240" s="289" t="s">
        <v>1056</v>
      </c>
      <c r="R240" s="345"/>
      <c r="S240" s="289">
        <v>845000</v>
      </c>
      <c r="T240" s="345"/>
      <c r="U240" s="289" t="s">
        <v>1056</v>
      </c>
      <c r="V240" s="372"/>
      <c r="W240" s="289" t="s">
        <v>1056</v>
      </c>
      <c r="X240" s="372"/>
      <c r="Y240" s="285">
        <f t="shared" ref="Y240:Y249" si="111">SUM(Q240:W240)</f>
        <v>845000</v>
      </c>
      <c r="Z240" s="289" t="s">
        <v>1056</v>
      </c>
      <c r="AA240" s="289">
        <v>36535</v>
      </c>
      <c r="AB240" s="289" t="s">
        <v>1056</v>
      </c>
      <c r="AC240" s="289" t="s">
        <v>1056</v>
      </c>
      <c r="AD240" s="345"/>
      <c r="AE240" s="285">
        <f t="shared" ref="AE240:AE249" si="112">SUM(Z240:AD240)</f>
        <v>36535</v>
      </c>
      <c r="AF240" s="287">
        <v>0</v>
      </c>
    </row>
    <row r="241" spans="1:32">
      <c r="A241" s="300" t="s">
        <v>1075</v>
      </c>
      <c r="B241" s="301" t="s">
        <v>1073</v>
      </c>
      <c r="C241" s="301" t="s">
        <v>1088</v>
      </c>
      <c r="D241" s="301" t="s">
        <v>1056</v>
      </c>
      <c r="E241" s="301" t="s">
        <v>1089</v>
      </c>
      <c r="F241" s="283" t="s">
        <v>3</v>
      </c>
      <c r="G241" s="1" t="s">
        <v>51</v>
      </c>
      <c r="H241" s="285">
        <v>0</v>
      </c>
      <c r="I241" s="285">
        <f t="shared" si="109"/>
        <v>840907.01951999997</v>
      </c>
      <c r="J241" s="280">
        <f t="shared" si="88"/>
        <v>27098.882929693187</v>
      </c>
      <c r="K241" s="288">
        <v>0.99</v>
      </c>
      <c r="L241" s="285" t="s">
        <v>1056</v>
      </c>
      <c r="M241" s="340"/>
      <c r="N241" s="289" t="s">
        <v>1056</v>
      </c>
      <c r="O241" s="289">
        <v>0</v>
      </c>
      <c r="P241" s="366">
        <f t="shared" si="110"/>
        <v>0</v>
      </c>
      <c r="Q241" s="289" t="s">
        <v>1056</v>
      </c>
      <c r="R241" s="345"/>
      <c r="S241" s="289">
        <v>845000</v>
      </c>
      <c r="T241" s="345"/>
      <c r="U241" s="289">
        <v>132500</v>
      </c>
      <c r="V241" s="372"/>
      <c r="W241" s="289" t="s">
        <v>1056</v>
      </c>
      <c r="X241" s="372"/>
      <c r="Y241" s="285">
        <f t="shared" si="111"/>
        <v>977500</v>
      </c>
      <c r="Z241" s="289" t="s">
        <v>1056</v>
      </c>
      <c r="AA241" s="289">
        <v>36535</v>
      </c>
      <c r="AB241" s="289">
        <v>9465</v>
      </c>
      <c r="AC241" s="289" t="s">
        <v>1056</v>
      </c>
      <c r="AD241" s="345"/>
      <c r="AE241" s="285">
        <f t="shared" si="112"/>
        <v>46000</v>
      </c>
      <c r="AF241" s="287">
        <v>0</v>
      </c>
    </row>
    <row r="242" spans="1:32">
      <c r="A242" s="300" t="s">
        <v>1075</v>
      </c>
      <c r="B242" s="301" t="s">
        <v>1073</v>
      </c>
      <c r="C242" s="301" t="s">
        <v>1088</v>
      </c>
      <c r="D242" s="301" t="s">
        <v>1056</v>
      </c>
      <c r="E242" s="301" t="s">
        <v>1089</v>
      </c>
      <c r="F242" s="283" t="s">
        <v>3</v>
      </c>
      <c r="G242" s="1" t="s">
        <v>1062</v>
      </c>
      <c r="H242" s="285">
        <v>0</v>
      </c>
      <c r="I242" s="285">
        <f t="shared" si="109"/>
        <v>840907.01951999997</v>
      </c>
      <c r="J242" s="280">
        <f t="shared" si="88"/>
        <v>27098.882929693187</v>
      </c>
      <c r="K242" s="288">
        <v>0.99</v>
      </c>
      <c r="L242" s="285" t="s">
        <v>1056</v>
      </c>
      <c r="M242" s="340"/>
      <c r="N242" s="289" t="s">
        <v>1056</v>
      </c>
      <c r="O242" s="289">
        <v>0</v>
      </c>
      <c r="P242" s="366">
        <f t="shared" si="110"/>
        <v>0</v>
      </c>
      <c r="Q242" s="289" t="s">
        <v>1056</v>
      </c>
      <c r="R242" s="345"/>
      <c r="S242" s="289">
        <v>845000</v>
      </c>
      <c r="T242" s="345"/>
      <c r="U242" s="289">
        <v>132500</v>
      </c>
      <c r="V242" s="372"/>
      <c r="W242" s="289" t="s">
        <v>1056</v>
      </c>
      <c r="X242" s="372"/>
      <c r="Y242" s="285">
        <f t="shared" si="111"/>
        <v>977500</v>
      </c>
      <c r="Z242" s="289" t="s">
        <v>1056</v>
      </c>
      <c r="AA242" s="289">
        <v>36535</v>
      </c>
      <c r="AB242" s="289">
        <v>9465</v>
      </c>
      <c r="AC242" s="289">
        <f>I242*$C$284*$E$289</f>
        <v>32518.659515631825</v>
      </c>
      <c r="AD242" s="345"/>
      <c r="AE242" s="285">
        <f t="shared" si="112"/>
        <v>78518.659515631822</v>
      </c>
      <c r="AF242" s="287">
        <v>0</v>
      </c>
    </row>
    <row r="243" spans="1:32">
      <c r="A243" s="300" t="s">
        <v>1075</v>
      </c>
      <c r="B243" s="301" t="s">
        <v>1073</v>
      </c>
      <c r="C243" s="301" t="s">
        <v>1088</v>
      </c>
      <c r="D243" s="301" t="s">
        <v>1056</v>
      </c>
      <c r="E243" s="301" t="s">
        <v>1089</v>
      </c>
      <c r="F243" s="283" t="s">
        <v>3</v>
      </c>
      <c r="G243" s="1" t="s">
        <v>1063</v>
      </c>
      <c r="H243" s="285">
        <v>0</v>
      </c>
      <c r="I243" s="285">
        <f t="shared" si="109"/>
        <v>840907.01951999997</v>
      </c>
      <c r="J243" s="280">
        <f t="shared" si="88"/>
        <v>27098.882929693187</v>
      </c>
      <c r="K243" s="288">
        <v>0</v>
      </c>
      <c r="L243" s="285" t="s">
        <v>1056</v>
      </c>
      <c r="M243" s="340"/>
      <c r="N243" s="289">
        <f t="shared" ref="N243:N249" si="113">$K$280</f>
        <v>50000</v>
      </c>
      <c r="O243" s="289">
        <v>0</v>
      </c>
      <c r="P243" s="366">
        <f t="shared" si="110"/>
        <v>50000</v>
      </c>
      <c r="Q243" s="289" t="s">
        <v>1056</v>
      </c>
      <c r="R243" s="345"/>
      <c r="S243" s="289">
        <v>845000</v>
      </c>
      <c r="T243" s="345"/>
      <c r="U243" s="289" t="s">
        <v>1056</v>
      </c>
      <c r="V243" s="372"/>
      <c r="W243" s="286">
        <f>W244</f>
        <v>54000000</v>
      </c>
      <c r="X243" s="371"/>
      <c r="Y243" s="285">
        <f t="shared" si="111"/>
        <v>54845000</v>
      </c>
      <c r="Z243" s="289" t="s">
        <v>1056</v>
      </c>
      <c r="AA243" s="289">
        <v>36535</v>
      </c>
      <c r="AB243" s="289" t="s">
        <v>1056</v>
      </c>
      <c r="AC243" s="289" t="s">
        <v>1056</v>
      </c>
      <c r="AD243" s="345"/>
      <c r="AE243" s="285">
        <f t="shared" si="112"/>
        <v>36535</v>
      </c>
      <c r="AF243" s="287">
        <v>0</v>
      </c>
    </row>
    <row r="244" spans="1:32">
      <c r="A244" s="300" t="s">
        <v>1075</v>
      </c>
      <c r="B244" s="301" t="s">
        <v>1073</v>
      </c>
      <c r="C244" s="301" t="s">
        <v>1088</v>
      </c>
      <c r="D244" s="301" t="s">
        <v>1056</v>
      </c>
      <c r="E244" s="301" t="s">
        <v>1089</v>
      </c>
      <c r="F244" s="283" t="s">
        <v>3</v>
      </c>
      <c r="G244" s="1" t="s">
        <v>1064</v>
      </c>
      <c r="H244" s="285">
        <v>0</v>
      </c>
      <c r="I244" s="285">
        <f t="shared" si="109"/>
        <v>840907.01951999997</v>
      </c>
      <c r="J244" s="280">
        <f t="shared" si="88"/>
        <v>27098.882929693187</v>
      </c>
      <c r="K244" s="288">
        <v>0</v>
      </c>
      <c r="L244" s="285" t="s">
        <v>1056</v>
      </c>
      <c r="M244" s="340"/>
      <c r="N244" s="289">
        <f t="shared" si="113"/>
        <v>50000</v>
      </c>
      <c r="O244" s="289">
        <v>0</v>
      </c>
      <c r="P244" s="366">
        <f t="shared" si="110"/>
        <v>50000</v>
      </c>
      <c r="Q244" s="289" t="s">
        <v>1056</v>
      </c>
      <c r="R244" s="345"/>
      <c r="S244" s="289">
        <v>845000</v>
      </c>
      <c r="T244" s="345"/>
      <c r="U244" s="289" t="s">
        <v>1056</v>
      </c>
      <c r="V244" s="372"/>
      <c r="W244" s="289">
        <v>54000000</v>
      </c>
      <c r="X244" s="372"/>
      <c r="Y244" s="285">
        <f t="shared" si="111"/>
        <v>54845000</v>
      </c>
      <c r="Z244" s="289" t="s">
        <v>1056</v>
      </c>
      <c r="AA244" s="289">
        <v>36535</v>
      </c>
      <c r="AB244" s="289" t="s">
        <v>1056</v>
      </c>
      <c r="AC244" s="289" t="s">
        <v>1056</v>
      </c>
      <c r="AD244" s="345"/>
      <c r="AE244" s="285">
        <f t="shared" si="112"/>
        <v>36535</v>
      </c>
      <c r="AF244" s="287">
        <v>0</v>
      </c>
    </row>
    <row r="245" spans="1:32">
      <c r="A245" s="300" t="s">
        <v>1075</v>
      </c>
      <c r="B245" s="301" t="s">
        <v>1074</v>
      </c>
      <c r="C245" s="301" t="s">
        <v>1088</v>
      </c>
      <c r="D245" s="301" t="s">
        <v>1056</v>
      </c>
      <c r="E245" s="301" t="s">
        <v>1089</v>
      </c>
      <c r="F245" s="283" t="s">
        <v>3</v>
      </c>
      <c r="G245" s="1" t="s">
        <v>1061</v>
      </c>
      <c r="H245" s="285">
        <v>18</v>
      </c>
      <c r="I245" s="285">
        <f t="shared" si="109"/>
        <v>840907.01951999997</v>
      </c>
      <c r="J245" s="280">
        <f t="shared" si="88"/>
        <v>27098.882929693187</v>
      </c>
      <c r="K245" s="288">
        <v>0.35</v>
      </c>
      <c r="L245" s="285">
        <f>$J$280</f>
        <v>1200000</v>
      </c>
      <c r="M245" s="341"/>
      <c r="N245" s="289">
        <f t="shared" si="113"/>
        <v>50000</v>
      </c>
      <c r="O245" s="289">
        <v>0</v>
      </c>
      <c r="P245" s="366">
        <f t="shared" si="110"/>
        <v>50000</v>
      </c>
      <c r="Q245" s="289">
        <f>$H$280</f>
        <v>93326.7</v>
      </c>
      <c r="R245" s="345"/>
      <c r="S245" s="289">
        <v>845000</v>
      </c>
      <c r="T245" s="345"/>
      <c r="U245" s="289" t="s">
        <v>1056</v>
      </c>
      <c r="V245" s="372"/>
      <c r="W245" s="289" t="s">
        <v>1056</v>
      </c>
      <c r="X245" s="372"/>
      <c r="Y245" s="285">
        <f t="shared" si="111"/>
        <v>938326.7</v>
      </c>
      <c r="Z245" s="289">
        <f>$I$280</f>
        <v>4401.915</v>
      </c>
      <c r="AA245" s="289">
        <v>36535</v>
      </c>
      <c r="AB245" s="289" t="s">
        <v>1056</v>
      </c>
      <c r="AC245" s="289" t="s">
        <v>1056</v>
      </c>
      <c r="AD245" s="345"/>
      <c r="AE245" s="285">
        <f t="shared" si="112"/>
        <v>40936.915000000001</v>
      </c>
      <c r="AF245" s="287">
        <v>0</v>
      </c>
    </row>
    <row r="246" spans="1:32">
      <c r="A246" s="300" t="s">
        <v>1075</v>
      </c>
      <c r="B246" s="301" t="s">
        <v>1074</v>
      </c>
      <c r="C246" s="301" t="s">
        <v>1088</v>
      </c>
      <c r="D246" s="301" t="s">
        <v>1056</v>
      </c>
      <c r="E246" s="301" t="s">
        <v>1089</v>
      </c>
      <c r="F246" s="283" t="s">
        <v>3</v>
      </c>
      <c r="G246" s="1" t="s">
        <v>51</v>
      </c>
      <c r="H246" s="285">
        <v>0</v>
      </c>
      <c r="I246" s="285">
        <f t="shared" si="109"/>
        <v>840907.01951999997</v>
      </c>
      <c r="J246" s="280">
        <f t="shared" si="88"/>
        <v>27098.882929693187</v>
      </c>
      <c r="K246" s="288">
        <v>0.99</v>
      </c>
      <c r="L246" s="285">
        <f>$J$280</f>
        <v>1200000</v>
      </c>
      <c r="M246" s="341"/>
      <c r="N246" s="289">
        <f t="shared" si="113"/>
        <v>50000</v>
      </c>
      <c r="O246" s="289">
        <v>0</v>
      </c>
      <c r="P246" s="366">
        <f t="shared" si="110"/>
        <v>50000</v>
      </c>
      <c r="Q246" s="289">
        <f>$H$280</f>
        <v>93326.7</v>
      </c>
      <c r="R246" s="345"/>
      <c r="S246" s="289">
        <v>845000</v>
      </c>
      <c r="T246" s="345"/>
      <c r="U246" s="289">
        <v>132500</v>
      </c>
      <c r="V246" s="372"/>
      <c r="W246" s="289" t="s">
        <v>1056</v>
      </c>
      <c r="X246" s="372"/>
      <c r="Y246" s="285">
        <f t="shared" si="111"/>
        <v>1070826.7</v>
      </c>
      <c r="Z246" s="289">
        <f>$I$280</f>
        <v>4401.915</v>
      </c>
      <c r="AA246" s="289">
        <v>36535</v>
      </c>
      <c r="AB246" s="289">
        <v>9465</v>
      </c>
      <c r="AC246" s="289" t="s">
        <v>1056</v>
      </c>
      <c r="AD246" s="345"/>
      <c r="AE246" s="285">
        <f t="shared" si="112"/>
        <v>50401.915000000001</v>
      </c>
      <c r="AF246" s="287">
        <v>0</v>
      </c>
    </row>
    <row r="247" spans="1:32">
      <c r="A247" s="300" t="s">
        <v>1075</v>
      </c>
      <c r="B247" s="301" t="s">
        <v>1074</v>
      </c>
      <c r="C247" s="301" t="s">
        <v>1088</v>
      </c>
      <c r="D247" s="301" t="s">
        <v>1056</v>
      </c>
      <c r="E247" s="301" t="s">
        <v>1089</v>
      </c>
      <c r="F247" s="283" t="s">
        <v>3</v>
      </c>
      <c r="G247" s="1" t="s">
        <v>1062</v>
      </c>
      <c r="H247" s="285">
        <v>0</v>
      </c>
      <c r="I247" s="285">
        <f t="shared" si="109"/>
        <v>840907.01951999997</v>
      </c>
      <c r="J247" s="280">
        <f t="shared" si="88"/>
        <v>27098.882929693187</v>
      </c>
      <c r="K247" s="288">
        <v>0.99</v>
      </c>
      <c r="L247" s="285">
        <f>$J$280</f>
        <v>1200000</v>
      </c>
      <c r="M247" s="341"/>
      <c r="N247" s="289">
        <f t="shared" si="113"/>
        <v>50000</v>
      </c>
      <c r="O247" s="289">
        <v>0</v>
      </c>
      <c r="P247" s="366">
        <f t="shared" si="110"/>
        <v>50000</v>
      </c>
      <c r="Q247" s="289">
        <f>$H$280</f>
        <v>93326.7</v>
      </c>
      <c r="R247" s="345"/>
      <c r="S247" s="289">
        <v>845000</v>
      </c>
      <c r="T247" s="345"/>
      <c r="U247" s="289">
        <v>132500</v>
      </c>
      <c r="V247" s="372"/>
      <c r="W247" s="289" t="s">
        <v>1056</v>
      </c>
      <c r="X247" s="372"/>
      <c r="Y247" s="285">
        <f t="shared" si="111"/>
        <v>1070826.7</v>
      </c>
      <c r="Z247" s="289">
        <f>$I$280</f>
        <v>4401.915</v>
      </c>
      <c r="AA247" s="289">
        <v>36535</v>
      </c>
      <c r="AB247" s="289">
        <v>9465</v>
      </c>
      <c r="AC247" s="289">
        <f>I247*$C$284*$E$289</f>
        <v>32518.659515631825</v>
      </c>
      <c r="AD247" s="345"/>
      <c r="AE247" s="285">
        <f t="shared" si="112"/>
        <v>82920.57451563183</v>
      </c>
      <c r="AF247" s="287">
        <v>0</v>
      </c>
    </row>
    <row r="248" spans="1:32">
      <c r="A248" s="300" t="s">
        <v>1075</v>
      </c>
      <c r="B248" s="301" t="s">
        <v>1074</v>
      </c>
      <c r="C248" s="301" t="s">
        <v>1088</v>
      </c>
      <c r="D248" s="301" t="s">
        <v>1056</v>
      </c>
      <c r="E248" s="301" t="s">
        <v>1089</v>
      </c>
      <c r="F248" s="283" t="s">
        <v>3</v>
      </c>
      <c r="G248" s="1" t="s">
        <v>1063</v>
      </c>
      <c r="H248" s="285">
        <v>0</v>
      </c>
      <c r="I248" s="285">
        <f t="shared" si="109"/>
        <v>840907.01951999997</v>
      </c>
      <c r="J248" s="280">
        <f t="shared" si="88"/>
        <v>27098.882929693187</v>
      </c>
      <c r="K248" s="288">
        <v>0</v>
      </c>
      <c r="L248" s="285">
        <f>$J$280</f>
        <v>1200000</v>
      </c>
      <c r="M248" s="341"/>
      <c r="N248" s="289">
        <f t="shared" si="113"/>
        <v>50000</v>
      </c>
      <c r="O248" s="289">
        <v>0</v>
      </c>
      <c r="P248" s="366">
        <f t="shared" si="110"/>
        <v>50000</v>
      </c>
      <c r="Q248" s="289">
        <f>$H$280</f>
        <v>93326.7</v>
      </c>
      <c r="R248" s="345"/>
      <c r="S248" s="289">
        <v>845000</v>
      </c>
      <c r="T248" s="345"/>
      <c r="U248" s="289" t="s">
        <v>1056</v>
      </c>
      <c r="V248" s="372"/>
      <c r="W248" s="286">
        <f>W249</f>
        <v>54000000</v>
      </c>
      <c r="X248" s="371"/>
      <c r="Y248" s="285">
        <f t="shared" si="111"/>
        <v>54938326.700000003</v>
      </c>
      <c r="Z248" s="289">
        <f>$I$280</f>
        <v>4401.915</v>
      </c>
      <c r="AA248" s="289">
        <v>36535</v>
      </c>
      <c r="AB248" s="289" t="s">
        <v>1056</v>
      </c>
      <c r="AC248" s="289" t="s">
        <v>1056</v>
      </c>
      <c r="AD248" s="345"/>
      <c r="AE248" s="285">
        <f t="shared" si="112"/>
        <v>40936.915000000001</v>
      </c>
      <c r="AF248" s="287">
        <v>0</v>
      </c>
    </row>
    <row r="249" spans="1:32">
      <c r="A249" s="300" t="s">
        <v>1075</v>
      </c>
      <c r="B249" s="301" t="s">
        <v>1074</v>
      </c>
      <c r="C249" s="301" t="s">
        <v>1088</v>
      </c>
      <c r="D249" s="301" t="s">
        <v>1056</v>
      </c>
      <c r="E249" s="301" t="s">
        <v>1089</v>
      </c>
      <c r="F249" s="283" t="s">
        <v>3</v>
      </c>
      <c r="G249" s="1" t="s">
        <v>1064</v>
      </c>
      <c r="H249" s="285">
        <v>0</v>
      </c>
      <c r="I249" s="285">
        <f t="shared" si="109"/>
        <v>840907.01951999997</v>
      </c>
      <c r="J249" s="280">
        <f t="shared" si="88"/>
        <v>27098.882929693187</v>
      </c>
      <c r="K249" s="288">
        <v>0</v>
      </c>
      <c r="L249" s="285">
        <f>$J$280</f>
        <v>1200000</v>
      </c>
      <c r="M249" s="341"/>
      <c r="N249" s="289">
        <f t="shared" si="113"/>
        <v>50000</v>
      </c>
      <c r="O249" s="289">
        <v>0</v>
      </c>
      <c r="P249" s="366">
        <f t="shared" si="110"/>
        <v>50000</v>
      </c>
      <c r="Q249" s="289">
        <f>$H$280</f>
        <v>93326.7</v>
      </c>
      <c r="R249" s="345"/>
      <c r="S249" s="289">
        <v>845000</v>
      </c>
      <c r="T249" s="345"/>
      <c r="U249" s="289" t="s">
        <v>1056</v>
      </c>
      <c r="V249" s="372"/>
      <c r="W249" s="289">
        <v>54000000</v>
      </c>
      <c r="X249" s="372"/>
      <c r="Y249" s="285">
        <f t="shared" si="111"/>
        <v>54938326.700000003</v>
      </c>
      <c r="Z249" s="289">
        <f>$I$280</f>
        <v>4401.915</v>
      </c>
      <c r="AA249" s="289">
        <v>36535</v>
      </c>
      <c r="AB249" s="289" t="s">
        <v>1056</v>
      </c>
      <c r="AC249" s="289" t="s">
        <v>1056</v>
      </c>
      <c r="AD249" s="345"/>
      <c r="AE249" s="285">
        <f t="shared" si="112"/>
        <v>40936.915000000001</v>
      </c>
      <c r="AF249" s="287">
        <v>0</v>
      </c>
    </row>
    <row r="250" spans="1:32">
      <c r="A250" s="300" t="s">
        <v>1075</v>
      </c>
      <c r="B250" s="301" t="s">
        <v>1073</v>
      </c>
      <c r="C250" s="301" t="s">
        <v>1090</v>
      </c>
      <c r="D250" s="301" t="s">
        <v>1056</v>
      </c>
      <c r="E250" s="301" t="s">
        <v>1091</v>
      </c>
      <c r="F250" s="307" t="s">
        <v>3</v>
      </c>
      <c r="G250" s="1" t="s">
        <v>1092</v>
      </c>
      <c r="H250" s="285">
        <v>845</v>
      </c>
      <c r="I250" s="285">
        <f>$F$281</f>
        <v>312797.56684799999</v>
      </c>
      <c r="J250" s="280">
        <f t="shared" si="88"/>
        <v>10080.144948183808</v>
      </c>
      <c r="K250" s="288">
        <v>0</v>
      </c>
      <c r="L250" s="285" t="s">
        <v>1056</v>
      </c>
      <c r="M250" s="340"/>
      <c r="N250" s="289" t="s">
        <v>1056</v>
      </c>
      <c r="O250" s="286">
        <v>0</v>
      </c>
      <c r="P250" s="366">
        <f>SUM(N250:O250)</f>
        <v>0</v>
      </c>
      <c r="Q250" s="289" t="s">
        <v>1056</v>
      </c>
      <c r="R250" s="345"/>
      <c r="S250" s="286" t="s">
        <v>1056</v>
      </c>
      <c r="T250" s="344"/>
      <c r="U250" s="289" t="s">
        <v>1056</v>
      </c>
      <c r="V250" s="372"/>
      <c r="W250" s="286" t="s">
        <v>1056</v>
      </c>
      <c r="X250" s="371"/>
      <c r="Y250" s="285" t="s">
        <v>1056</v>
      </c>
      <c r="Z250" s="289" t="s">
        <v>1056</v>
      </c>
      <c r="AA250" s="289" t="s">
        <v>1056</v>
      </c>
      <c r="AB250" s="289" t="s">
        <v>1056</v>
      </c>
      <c r="AC250" s="286" t="s">
        <v>1056</v>
      </c>
      <c r="AD250" s="344"/>
      <c r="AE250" s="285" t="s">
        <v>1056</v>
      </c>
      <c r="AF250" s="287" t="s">
        <v>1056</v>
      </c>
    </row>
    <row r="251" spans="1:32">
      <c r="A251" s="300" t="s">
        <v>1075</v>
      </c>
      <c r="B251" s="301" t="s">
        <v>1073</v>
      </c>
      <c r="C251" s="301" t="s">
        <v>1090</v>
      </c>
      <c r="D251" s="301" t="s">
        <v>1056</v>
      </c>
      <c r="E251" s="301" t="s">
        <v>1091</v>
      </c>
      <c r="F251" s="283" t="s">
        <v>3</v>
      </c>
      <c r="G251" s="1" t="s">
        <v>1061</v>
      </c>
      <c r="H251" s="285">
        <v>0</v>
      </c>
      <c r="I251" s="285">
        <f t="shared" ref="I251:I260" si="114">$F$281</f>
        <v>312797.56684799999</v>
      </c>
      <c r="J251" s="280">
        <f t="shared" si="88"/>
        <v>10080.144948183808</v>
      </c>
      <c r="K251" s="288">
        <v>0.35</v>
      </c>
      <c r="L251" s="285" t="s">
        <v>1056</v>
      </c>
      <c r="M251" s="340"/>
      <c r="N251" s="289" t="s">
        <v>1056</v>
      </c>
      <c r="O251" s="289">
        <v>0</v>
      </c>
      <c r="P251" s="366">
        <f t="shared" ref="P251:P260" si="115">SUM(N251:O251)</f>
        <v>0</v>
      </c>
      <c r="Q251" s="289" t="s">
        <v>1056</v>
      </c>
      <c r="R251" s="345"/>
      <c r="S251" s="289">
        <v>845000</v>
      </c>
      <c r="T251" s="345"/>
      <c r="U251" s="289" t="s">
        <v>1056</v>
      </c>
      <c r="V251" s="372"/>
      <c r="W251" s="289" t="s">
        <v>1056</v>
      </c>
      <c r="X251" s="372"/>
      <c r="Y251" s="285">
        <f t="shared" ref="Y251:Y260" si="116">SUM(Q251:W251)</f>
        <v>845000</v>
      </c>
      <c r="Z251" s="289" t="s">
        <v>1056</v>
      </c>
      <c r="AA251" s="289">
        <v>36535</v>
      </c>
      <c r="AB251" s="289" t="s">
        <v>1056</v>
      </c>
      <c r="AC251" s="289" t="s">
        <v>1056</v>
      </c>
      <c r="AD251" s="345"/>
      <c r="AE251" s="285">
        <f t="shared" ref="AE251:AE260" si="117">SUM(Z251:AD251)</f>
        <v>36535</v>
      </c>
      <c r="AF251" s="287">
        <v>0</v>
      </c>
    </row>
    <row r="252" spans="1:32">
      <c r="A252" s="300" t="s">
        <v>1075</v>
      </c>
      <c r="B252" s="301" t="s">
        <v>1073</v>
      </c>
      <c r="C252" s="301" t="s">
        <v>1090</v>
      </c>
      <c r="D252" s="301" t="s">
        <v>1056</v>
      </c>
      <c r="E252" s="301" t="s">
        <v>1091</v>
      </c>
      <c r="F252" s="283" t="s">
        <v>3</v>
      </c>
      <c r="G252" s="1" t="s">
        <v>51</v>
      </c>
      <c r="H252" s="285">
        <v>0</v>
      </c>
      <c r="I252" s="285">
        <f t="shared" si="114"/>
        <v>312797.56684799999</v>
      </c>
      <c r="J252" s="280">
        <f t="shared" si="88"/>
        <v>10080.144948183808</v>
      </c>
      <c r="K252" s="288">
        <v>0.99</v>
      </c>
      <c r="L252" s="285" t="s">
        <v>1056</v>
      </c>
      <c r="M252" s="340"/>
      <c r="N252" s="289" t="s">
        <v>1056</v>
      </c>
      <c r="O252" s="289">
        <v>0</v>
      </c>
      <c r="P252" s="366">
        <f t="shared" si="115"/>
        <v>0</v>
      </c>
      <c r="Q252" s="289" t="s">
        <v>1056</v>
      </c>
      <c r="R252" s="345"/>
      <c r="S252" s="289">
        <v>845000</v>
      </c>
      <c r="T252" s="345"/>
      <c r="U252" s="289">
        <v>132500</v>
      </c>
      <c r="V252" s="372"/>
      <c r="W252" s="289" t="s">
        <v>1056</v>
      </c>
      <c r="X252" s="372"/>
      <c r="Y252" s="285">
        <f t="shared" si="116"/>
        <v>977500</v>
      </c>
      <c r="Z252" s="289" t="s">
        <v>1056</v>
      </c>
      <c r="AA252" s="289">
        <v>36535</v>
      </c>
      <c r="AB252" s="289">
        <v>9465</v>
      </c>
      <c r="AC252" s="289" t="s">
        <v>1056</v>
      </c>
      <c r="AD252" s="345"/>
      <c r="AE252" s="285">
        <f t="shared" si="117"/>
        <v>46000</v>
      </c>
      <c r="AF252" s="287">
        <v>0</v>
      </c>
    </row>
    <row r="253" spans="1:32">
      <c r="A253" s="300" t="s">
        <v>1075</v>
      </c>
      <c r="B253" s="301" t="s">
        <v>1073</v>
      </c>
      <c r="C253" s="301" t="s">
        <v>1090</v>
      </c>
      <c r="D253" s="301" t="s">
        <v>1056</v>
      </c>
      <c r="E253" s="301" t="s">
        <v>1091</v>
      </c>
      <c r="F253" s="283" t="s">
        <v>3</v>
      </c>
      <c r="G253" s="1" t="s">
        <v>1062</v>
      </c>
      <c r="H253" s="285">
        <v>0</v>
      </c>
      <c r="I253" s="285">
        <f t="shared" si="114"/>
        <v>312797.56684799999</v>
      </c>
      <c r="J253" s="280">
        <f t="shared" si="88"/>
        <v>10080.144948183808</v>
      </c>
      <c r="K253" s="288">
        <v>0.99</v>
      </c>
      <c r="L253" s="285" t="s">
        <v>1056</v>
      </c>
      <c r="M253" s="340"/>
      <c r="N253" s="289" t="s">
        <v>1056</v>
      </c>
      <c r="O253" s="289">
        <v>0</v>
      </c>
      <c r="P253" s="366">
        <f t="shared" si="115"/>
        <v>0</v>
      </c>
      <c r="Q253" s="289" t="s">
        <v>1056</v>
      </c>
      <c r="R253" s="345"/>
      <c r="S253" s="289">
        <v>845000</v>
      </c>
      <c r="T253" s="345"/>
      <c r="U253" s="289">
        <v>132500</v>
      </c>
      <c r="V253" s="372"/>
      <c r="W253" s="289" t="s">
        <v>1056</v>
      </c>
      <c r="X253" s="372"/>
      <c r="Y253" s="285">
        <f t="shared" si="116"/>
        <v>977500</v>
      </c>
      <c r="Z253" s="289" t="s">
        <v>1056</v>
      </c>
      <c r="AA253" s="289">
        <v>36535</v>
      </c>
      <c r="AB253" s="289">
        <v>9465</v>
      </c>
      <c r="AC253" s="289">
        <f>I253*$C$284*$E$289</f>
        <v>12096.173937820569</v>
      </c>
      <c r="AD253" s="345"/>
      <c r="AE253" s="285">
        <f t="shared" si="117"/>
        <v>58096.173937820568</v>
      </c>
      <c r="AF253" s="287">
        <v>0</v>
      </c>
    </row>
    <row r="254" spans="1:32">
      <c r="A254" s="300" t="s">
        <v>1075</v>
      </c>
      <c r="B254" s="301" t="s">
        <v>1073</v>
      </c>
      <c r="C254" s="301" t="s">
        <v>1090</v>
      </c>
      <c r="D254" s="301" t="s">
        <v>1056</v>
      </c>
      <c r="E254" s="301" t="s">
        <v>1091</v>
      </c>
      <c r="F254" s="283" t="s">
        <v>3</v>
      </c>
      <c r="G254" s="1" t="s">
        <v>1063</v>
      </c>
      <c r="H254" s="285">
        <v>0</v>
      </c>
      <c r="I254" s="285">
        <f t="shared" si="114"/>
        <v>312797.56684799999</v>
      </c>
      <c r="J254" s="280">
        <f t="shared" si="88"/>
        <v>10080.144948183808</v>
      </c>
      <c r="K254" s="288">
        <v>0</v>
      </c>
      <c r="L254" s="285" t="s">
        <v>1056</v>
      </c>
      <c r="M254" s="340"/>
      <c r="N254" s="289">
        <f t="shared" ref="N254:N260" si="118">$K$281</f>
        <v>25000</v>
      </c>
      <c r="O254" s="289">
        <v>0</v>
      </c>
      <c r="P254" s="366">
        <f t="shared" si="115"/>
        <v>25000</v>
      </c>
      <c r="Q254" s="289" t="s">
        <v>1056</v>
      </c>
      <c r="R254" s="345"/>
      <c r="S254" s="289">
        <v>845000</v>
      </c>
      <c r="T254" s="345"/>
      <c r="U254" s="289" t="s">
        <v>1056</v>
      </c>
      <c r="V254" s="372"/>
      <c r="W254" s="286">
        <f>W255</f>
        <v>54000000</v>
      </c>
      <c r="X254" s="371"/>
      <c r="Y254" s="285">
        <f t="shared" si="116"/>
        <v>54845000</v>
      </c>
      <c r="Z254" s="289" t="s">
        <v>1056</v>
      </c>
      <c r="AA254" s="289">
        <v>36535</v>
      </c>
      <c r="AB254" s="289" t="s">
        <v>1056</v>
      </c>
      <c r="AC254" s="289" t="s">
        <v>1056</v>
      </c>
      <c r="AD254" s="345"/>
      <c r="AE254" s="285">
        <f t="shared" si="117"/>
        <v>36535</v>
      </c>
      <c r="AF254" s="287">
        <v>0</v>
      </c>
    </row>
    <row r="255" spans="1:32">
      <c r="A255" s="300" t="s">
        <v>1075</v>
      </c>
      <c r="B255" s="301" t="s">
        <v>1073</v>
      </c>
      <c r="C255" s="301" t="s">
        <v>1090</v>
      </c>
      <c r="D255" s="301" t="s">
        <v>1056</v>
      </c>
      <c r="E255" s="301" t="s">
        <v>1091</v>
      </c>
      <c r="F255" s="283" t="s">
        <v>3</v>
      </c>
      <c r="G255" s="1" t="s">
        <v>1064</v>
      </c>
      <c r="H255" s="285">
        <v>0</v>
      </c>
      <c r="I255" s="285">
        <f t="shared" si="114"/>
        <v>312797.56684799999</v>
      </c>
      <c r="J255" s="280">
        <f t="shared" si="88"/>
        <v>10080.144948183808</v>
      </c>
      <c r="K255" s="288">
        <v>0</v>
      </c>
      <c r="L255" s="285" t="s">
        <v>1056</v>
      </c>
      <c r="M255" s="340"/>
      <c r="N255" s="289">
        <f t="shared" si="118"/>
        <v>25000</v>
      </c>
      <c r="O255" s="289">
        <v>0</v>
      </c>
      <c r="P255" s="366">
        <f t="shared" si="115"/>
        <v>25000</v>
      </c>
      <c r="Q255" s="289" t="s">
        <v>1056</v>
      </c>
      <c r="R255" s="345"/>
      <c r="S255" s="289">
        <v>845000</v>
      </c>
      <c r="T255" s="345"/>
      <c r="U255" s="289" t="s">
        <v>1056</v>
      </c>
      <c r="V255" s="372"/>
      <c r="W255" s="289">
        <v>54000000</v>
      </c>
      <c r="X255" s="372"/>
      <c r="Y255" s="285">
        <f t="shared" si="116"/>
        <v>54845000</v>
      </c>
      <c r="Z255" s="289" t="s">
        <v>1056</v>
      </c>
      <c r="AA255" s="289">
        <v>36535</v>
      </c>
      <c r="AB255" s="289" t="s">
        <v>1056</v>
      </c>
      <c r="AC255" s="289" t="s">
        <v>1056</v>
      </c>
      <c r="AD255" s="345"/>
      <c r="AE255" s="285">
        <f t="shared" si="117"/>
        <v>36535</v>
      </c>
      <c r="AF255" s="287">
        <v>0</v>
      </c>
    </row>
    <row r="256" spans="1:32">
      <c r="A256" s="300" t="s">
        <v>1075</v>
      </c>
      <c r="B256" s="301" t="s">
        <v>1074</v>
      </c>
      <c r="C256" s="301" t="s">
        <v>1090</v>
      </c>
      <c r="D256" s="301" t="s">
        <v>1056</v>
      </c>
      <c r="E256" s="301" t="s">
        <v>1091</v>
      </c>
      <c r="F256" s="283" t="s">
        <v>3</v>
      </c>
      <c r="G256" s="1" t="s">
        <v>1061</v>
      </c>
      <c r="H256" s="285">
        <v>65</v>
      </c>
      <c r="I256" s="285">
        <f t="shared" si="114"/>
        <v>312797.56684799999</v>
      </c>
      <c r="J256" s="280">
        <f t="shared" si="88"/>
        <v>10080.144948183808</v>
      </c>
      <c r="K256" s="288">
        <v>0.35</v>
      </c>
      <c r="L256" s="285">
        <f>$J$281</f>
        <v>560000</v>
      </c>
      <c r="M256" s="341"/>
      <c r="N256" s="289">
        <f t="shared" si="118"/>
        <v>25000</v>
      </c>
      <c r="O256" s="289">
        <v>0</v>
      </c>
      <c r="P256" s="366">
        <f t="shared" si="115"/>
        <v>25000</v>
      </c>
      <c r="Q256" s="289">
        <f>$H$281</f>
        <v>34715.33</v>
      </c>
      <c r="R256" s="345"/>
      <c r="S256" s="289">
        <v>845000</v>
      </c>
      <c r="T256" s="345"/>
      <c r="U256" s="289" t="s">
        <v>1056</v>
      </c>
      <c r="V256" s="372"/>
      <c r="W256" s="289" t="s">
        <v>1056</v>
      </c>
      <c r="X256" s="372"/>
      <c r="Y256" s="285">
        <f t="shared" si="116"/>
        <v>879715.33</v>
      </c>
      <c r="Z256" s="289">
        <f>$I$281</f>
        <v>1637.4085</v>
      </c>
      <c r="AA256" s="289">
        <v>36535</v>
      </c>
      <c r="AB256" s="289" t="s">
        <v>1056</v>
      </c>
      <c r="AC256" s="289" t="s">
        <v>1056</v>
      </c>
      <c r="AD256" s="345"/>
      <c r="AE256" s="285">
        <f t="shared" si="117"/>
        <v>38172.408499999998</v>
      </c>
      <c r="AF256" s="287">
        <v>0</v>
      </c>
    </row>
    <row r="257" spans="1:32">
      <c r="A257" s="300" t="s">
        <v>1075</v>
      </c>
      <c r="B257" s="301" t="s">
        <v>1074</v>
      </c>
      <c r="C257" s="301" t="s">
        <v>1090</v>
      </c>
      <c r="D257" s="301" t="s">
        <v>1056</v>
      </c>
      <c r="E257" s="301" t="s">
        <v>1091</v>
      </c>
      <c r="F257" s="283" t="s">
        <v>3</v>
      </c>
      <c r="G257" s="1" t="s">
        <v>51</v>
      </c>
      <c r="H257" s="285">
        <v>0</v>
      </c>
      <c r="I257" s="285">
        <f t="shared" si="114"/>
        <v>312797.56684799999</v>
      </c>
      <c r="J257" s="280">
        <f t="shared" si="88"/>
        <v>10080.144948183808</v>
      </c>
      <c r="K257" s="288">
        <v>0.99</v>
      </c>
      <c r="L257" s="285">
        <f>$J$281</f>
        <v>560000</v>
      </c>
      <c r="M257" s="341"/>
      <c r="N257" s="289">
        <f t="shared" si="118"/>
        <v>25000</v>
      </c>
      <c r="O257" s="289">
        <v>0</v>
      </c>
      <c r="P257" s="366">
        <f t="shared" si="115"/>
        <v>25000</v>
      </c>
      <c r="Q257" s="289">
        <f>$H$281</f>
        <v>34715.33</v>
      </c>
      <c r="R257" s="345"/>
      <c r="S257" s="289">
        <v>845000</v>
      </c>
      <c r="T257" s="345"/>
      <c r="U257" s="289">
        <v>132500</v>
      </c>
      <c r="V257" s="372"/>
      <c r="W257" s="289" t="s">
        <v>1056</v>
      </c>
      <c r="X257" s="372"/>
      <c r="Y257" s="285">
        <f t="shared" si="116"/>
        <v>1012215.33</v>
      </c>
      <c r="Z257" s="289">
        <f>$I$281</f>
        <v>1637.4085</v>
      </c>
      <c r="AA257" s="289">
        <v>36535</v>
      </c>
      <c r="AB257" s="289">
        <v>9465</v>
      </c>
      <c r="AC257" s="289" t="s">
        <v>1056</v>
      </c>
      <c r="AD257" s="345"/>
      <c r="AE257" s="285">
        <f t="shared" si="117"/>
        <v>47637.408499999998</v>
      </c>
      <c r="AF257" s="287">
        <v>0</v>
      </c>
    </row>
    <row r="258" spans="1:32">
      <c r="A258" s="300" t="s">
        <v>1075</v>
      </c>
      <c r="B258" s="301" t="s">
        <v>1074</v>
      </c>
      <c r="C258" s="301" t="s">
        <v>1090</v>
      </c>
      <c r="D258" s="301" t="s">
        <v>1056</v>
      </c>
      <c r="E258" s="301" t="s">
        <v>1091</v>
      </c>
      <c r="F258" s="283" t="s">
        <v>3</v>
      </c>
      <c r="G258" s="1" t="s">
        <v>1062</v>
      </c>
      <c r="H258" s="285">
        <v>0</v>
      </c>
      <c r="I258" s="285">
        <f t="shared" si="114"/>
        <v>312797.56684799999</v>
      </c>
      <c r="J258" s="280">
        <f t="shared" si="88"/>
        <v>10080.144948183808</v>
      </c>
      <c r="K258" s="288">
        <v>0.99</v>
      </c>
      <c r="L258" s="285">
        <f>$J$281</f>
        <v>560000</v>
      </c>
      <c r="M258" s="341"/>
      <c r="N258" s="289">
        <f t="shared" si="118"/>
        <v>25000</v>
      </c>
      <c r="O258" s="289">
        <v>0</v>
      </c>
      <c r="P258" s="366">
        <f t="shared" si="115"/>
        <v>25000</v>
      </c>
      <c r="Q258" s="289">
        <f>$H$281</f>
        <v>34715.33</v>
      </c>
      <c r="R258" s="345"/>
      <c r="S258" s="289">
        <v>845000</v>
      </c>
      <c r="T258" s="345"/>
      <c r="U258" s="289">
        <v>132500</v>
      </c>
      <c r="V258" s="372"/>
      <c r="W258" s="289" t="s">
        <v>1056</v>
      </c>
      <c r="X258" s="372"/>
      <c r="Y258" s="285">
        <f t="shared" si="116"/>
        <v>1012215.33</v>
      </c>
      <c r="Z258" s="289">
        <f>$I$281</f>
        <v>1637.4085</v>
      </c>
      <c r="AA258" s="289">
        <v>36535</v>
      </c>
      <c r="AB258" s="289">
        <v>9465</v>
      </c>
      <c r="AC258" s="289">
        <f>I258*$C$284*$E$289</f>
        <v>12096.173937820569</v>
      </c>
      <c r="AD258" s="345"/>
      <c r="AE258" s="285">
        <f t="shared" si="117"/>
        <v>59733.582437820565</v>
      </c>
      <c r="AF258" s="287">
        <v>0</v>
      </c>
    </row>
    <row r="259" spans="1:32">
      <c r="A259" s="300" t="s">
        <v>1075</v>
      </c>
      <c r="B259" s="301" t="s">
        <v>1074</v>
      </c>
      <c r="C259" s="301" t="s">
        <v>1090</v>
      </c>
      <c r="D259" s="301" t="s">
        <v>1056</v>
      </c>
      <c r="E259" s="301" t="s">
        <v>1091</v>
      </c>
      <c r="F259" s="283" t="s">
        <v>3</v>
      </c>
      <c r="G259" s="1" t="s">
        <v>1063</v>
      </c>
      <c r="H259" s="285">
        <v>0</v>
      </c>
      <c r="I259" s="285">
        <f t="shared" si="114"/>
        <v>312797.56684799999</v>
      </c>
      <c r="J259" s="280">
        <f t="shared" si="88"/>
        <v>10080.144948183808</v>
      </c>
      <c r="K259" s="288">
        <v>0</v>
      </c>
      <c r="L259" s="285">
        <f>$J$281</f>
        <v>560000</v>
      </c>
      <c r="M259" s="341"/>
      <c r="N259" s="289">
        <f t="shared" si="118"/>
        <v>25000</v>
      </c>
      <c r="O259" s="289">
        <v>0</v>
      </c>
      <c r="P259" s="366">
        <f t="shared" si="115"/>
        <v>25000</v>
      </c>
      <c r="Q259" s="289">
        <f>$H$281</f>
        <v>34715.33</v>
      </c>
      <c r="R259" s="345"/>
      <c r="S259" s="289">
        <v>845000</v>
      </c>
      <c r="T259" s="345"/>
      <c r="U259" s="289" t="s">
        <v>1056</v>
      </c>
      <c r="V259" s="372"/>
      <c r="W259" s="286">
        <f>W260</f>
        <v>54000000</v>
      </c>
      <c r="X259" s="371"/>
      <c r="Y259" s="285">
        <f t="shared" si="116"/>
        <v>54879715.329999998</v>
      </c>
      <c r="Z259" s="289">
        <f>$I$281</f>
        <v>1637.4085</v>
      </c>
      <c r="AA259" s="289">
        <v>36535</v>
      </c>
      <c r="AB259" s="289" t="s">
        <v>1056</v>
      </c>
      <c r="AC259" s="289" t="s">
        <v>1056</v>
      </c>
      <c r="AD259" s="345"/>
      <c r="AE259" s="285">
        <f t="shared" si="117"/>
        <v>38172.408499999998</v>
      </c>
      <c r="AF259" s="287">
        <v>0</v>
      </c>
    </row>
    <row r="260" spans="1:32">
      <c r="A260" s="308" t="s">
        <v>1075</v>
      </c>
      <c r="B260" s="309" t="s">
        <v>1074</v>
      </c>
      <c r="C260" s="309" t="s">
        <v>1090</v>
      </c>
      <c r="D260" s="309" t="s">
        <v>1056</v>
      </c>
      <c r="E260" s="309" t="s">
        <v>1091</v>
      </c>
      <c r="F260" s="293" t="s">
        <v>3</v>
      </c>
      <c r="G260" s="294" t="s">
        <v>1064</v>
      </c>
      <c r="H260" s="295">
        <v>0</v>
      </c>
      <c r="I260" s="295">
        <f t="shared" si="114"/>
        <v>312797.56684799999</v>
      </c>
      <c r="J260" s="296">
        <f t="shared" ref="J260" si="119">I260*$E$289</f>
        <v>10080.144948183808</v>
      </c>
      <c r="K260" s="297">
        <v>0</v>
      </c>
      <c r="L260" s="295">
        <f>$J$281</f>
        <v>560000</v>
      </c>
      <c r="M260" s="342"/>
      <c r="N260" s="310">
        <f t="shared" si="118"/>
        <v>25000</v>
      </c>
      <c r="O260" s="310">
        <v>0</v>
      </c>
      <c r="P260" s="367">
        <f t="shared" si="115"/>
        <v>25000</v>
      </c>
      <c r="Q260" s="310">
        <f>$H$281</f>
        <v>34715.33</v>
      </c>
      <c r="R260" s="346"/>
      <c r="S260" s="310">
        <v>845000</v>
      </c>
      <c r="T260" s="346"/>
      <c r="U260" s="310" t="s">
        <v>1056</v>
      </c>
      <c r="V260" s="374"/>
      <c r="W260" s="311">
        <v>54000000</v>
      </c>
      <c r="X260" s="378"/>
      <c r="Y260" s="295">
        <f t="shared" si="116"/>
        <v>54879715.329999998</v>
      </c>
      <c r="Z260" s="310">
        <f>$I$281</f>
        <v>1637.4085</v>
      </c>
      <c r="AA260" s="310">
        <v>36535</v>
      </c>
      <c r="AB260" s="310" t="s">
        <v>1056</v>
      </c>
      <c r="AC260" s="310" t="s">
        <v>1056</v>
      </c>
      <c r="AD260" s="346"/>
      <c r="AE260" s="295">
        <f t="shared" si="117"/>
        <v>38172.408499999998</v>
      </c>
      <c r="AF260" s="299">
        <v>0</v>
      </c>
    </row>
    <row r="262" spans="1:32">
      <c r="H262" s="312"/>
    </row>
    <row r="264" spans="1:32" s="45" customFormat="1" ht="42" customHeight="1">
      <c r="C264" s="313" t="s">
        <v>1093</v>
      </c>
      <c r="D264" s="314" t="s">
        <v>1094</v>
      </c>
      <c r="E264" s="314" t="s">
        <v>1095</v>
      </c>
      <c r="F264" s="315" t="s">
        <v>1096</v>
      </c>
      <c r="G264" s="315" t="s">
        <v>1097</v>
      </c>
      <c r="H264" s="314" t="s">
        <v>1098</v>
      </c>
      <c r="I264" s="314" t="s">
        <v>1099</v>
      </c>
      <c r="J264" s="314" t="s">
        <v>1100</v>
      </c>
      <c r="K264" s="314" t="s">
        <v>1101</v>
      </c>
      <c r="L264" s="315" t="s">
        <v>1102</v>
      </c>
      <c r="M264" s="315"/>
      <c r="Q264" s="315" t="s">
        <v>1103</v>
      </c>
      <c r="R264" s="315"/>
      <c r="S264" s="315" t="s">
        <v>1104</v>
      </c>
      <c r="T264" s="315"/>
      <c r="U264" s="316" t="s">
        <v>1037</v>
      </c>
      <c r="V264" s="377"/>
      <c r="W264" s="316" t="s">
        <v>1039</v>
      </c>
      <c r="X264" s="377"/>
      <c r="Y264" s="316" t="s">
        <v>1040</v>
      </c>
      <c r="AD264" s="316"/>
    </row>
    <row r="265" spans="1:32">
      <c r="C265" s="2" t="s">
        <v>1105</v>
      </c>
      <c r="D265" s="2">
        <v>417</v>
      </c>
      <c r="E265" s="317">
        <v>15677.67374236196</v>
      </c>
      <c r="F265" s="318">
        <f>G265/$E$289</f>
        <v>177570605.61771742</v>
      </c>
      <c r="G265" s="318">
        <f>E265*365</f>
        <v>5722350.9159621149</v>
      </c>
      <c r="H265" s="14"/>
      <c r="I265" s="14"/>
      <c r="J265" s="14"/>
      <c r="K265" s="14"/>
      <c r="L265" s="2"/>
      <c r="M265" s="2"/>
      <c r="Q265" s="2"/>
      <c r="R265" s="2"/>
      <c r="S265" s="2"/>
      <c r="T265" s="2"/>
      <c r="U265" s="2"/>
      <c r="V265" s="321"/>
      <c r="W265" s="2"/>
      <c r="X265" s="321"/>
      <c r="Y265" s="2"/>
      <c r="AD265" s="2"/>
    </row>
    <row r="266" spans="1:32">
      <c r="C266" s="2" t="s">
        <v>1106</v>
      </c>
      <c r="D266" s="2">
        <v>320</v>
      </c>
      <c r="E266" s="317">
        <v>59642.008053676196</v>
      </c>
      <c r="F266" s="318">
        <f t="shared" ref="F266:F271" si="120">G266/$E$289</f>
        <v>675525442.38316941</v>
      </c>
      <c r="G266" s="318">
        <f t="shared" ref="G266:G271" si="121">E266*365</f>
        <v>21769332.93959181</v>
      </c>
      <c r="H266" s="14"/>
      <c r="I266" s="14"/>
      <c r="J266" s="14"/>
      <c r="K266" s="14"/>
      <c r="L266" s="2"/>
      <c r="M266" s="2"/>
      <c r="Q266" s="2"/>
      <c r="R266" s="2"/>
      <c r="S266" s="2"/>
      <c r="T266" s="2"/>
      <c r="U266" s="2"/>
      <c r="V266" s="321"/>
      <c r="W266" s="2"/>
      <c r="X266" s="321"/>
      <c r="Y266" s="2"/>
      <c r="AD266" s="2"/>
    </row>
    <row r="267" spans="1:32">
      <c r="C267" s="2" t="s">
        <v>1107</v>
      </c>
      <c r="D267" s="2">
        <v>130</v>
      </c>
      <c r="E267" s="317">
        <v>71851.694482933337</v>
      </c>
      <c r="F267" s="318">
        <f t="shared" si="120"/>
        <v>813816457.31782389</v>
      </c>
      <c r="G267" s="318">
        <f t="shared" si="121"/>
        <v>26225868.48627067</v>
      </c>
      <c r="H267" s="14"/>
      <c r="I267" s="14"/>
      <c r="J267" s="14"/>
      <c r="K267" s="14"/>
      <c r="L267" s="2"/>
      <c r="M267" s="2"/>
      <c r="Q267" s="2"/>
      <c r="R267" s="2"/>
      <c r="S267" s="2"/>
      <c r="T267" s="2"/>
      <c r="U267" s="2"/>
      <c r="V267" s="321"/>
      <c r="W267" s="2"/>
      <c r="X267" s="321"/>
      <c r="Y267" s="2"/>
      <c r="AD267" s="2"/>
    </row>
    <row r="268" spans="1:32">
      <c r="C268" s="2" t="s">
        <v>1108</v>
      </c>
      <c r="D268" s="2">
        <v>171</v>
      </c>
      <c r="E268" s="317">
        <v>162252.45264992589</v>
      </c>
      <c r="F268" s="318">
        <f t="shared" si="120"/>
        <v>1837725848.4565661</v>
      </c>
      <c r="G268" s="318">
        <f t="shared" si="121"/>
        <v>59222145.217222951</v>
      </c>
      <c r="H268" s="14"/>
      <c r="I268" s="14"/>
      <c r="J268" s="14"/>
      <c r="K268" s="14"/>
      <c r="L268" s="2"/>
      <c r="M268" s="2"/>
      <c r="Q268" s="2"/>
      <c r="R268" s="2"/>
      <c r="S268" s="2"/>
      <c r="T268" s="2"/>
      <c r="U268" s="2"/>
      <c r="V268" s="321"/>
      <c r="W268" s="2"/>
      <c r="X268" s="321"/>
      <c r="Y268" s="2"/>
      <c r="AD268" s="2"/>
    </row>
    <row r="269" spans="1:32">
      <c r="C269" s="2" t="s">
        <v>1109</v>
      </c>
      <c r="D269" s="2">
        <v>150</v>
      </c>
      <c r="E269" s="317">
        <v>233972.89905061084</v>
      </c>
      <c r="F269" s="318">
        <f t="shared" si="120"/>
        <v>2650055745.8526821</v>
      </c>
      <c r="G269" s="318">
        <f t="shared" si="121"/>
        <v>85400108.15347296</v>
      </c>
      <c r="H269" s="14"/>
      <c r="I269" s="14"/>
      <c r="J269" s="14"/>
      <c r="K269" s="14"/>
      <c r="L269" s="2"/>
      <c r="M269" s="2"/>
      <c r="Q269" s="2"/>
      <c r="R269" s="2"/>
      <c r="S269" s="2"/>
      <c r="T269" s="2"/>
      <c r="U269" s="2"/>
      <c r="V269" s="321"/>
      <c r="W269" s="2"/>
      <c r="X269" s="321"/>
      <c r="Y269" s="2"/>
      <c r="AD269" s="2"/>
    </row>
    <row r="270" spans="1:32">
      <c r="C270" s="2" t="s">
        <v>1110</v>
      </c>
      <c r="D270" s="2">
        <v>188</v>
      </c>
      <c r="E270" s="317">
        <v>586382.14636649704</v>
      </c>
      <c r="F270" s="318">
        <f t="shared" si="120"/>
        <v>6641561405.3994722</v>
      </c>
      <c r="G270" s="318">
        <f t="shared" si="121"/>
        <v>214029483.42377141</v>
      </c>
      <c r="H270" s="14"/>
      <c r="I270" s="14"/>
      <c r="J270" s="14"/>
      <c r="K270" s="14"/>
      <c r="L270" s="2"/>
      <c r="M270" s="2"/>
      <c r="Q270" s="2"/>
      <c r="R270" s="2"/>
      <c r="S270" s="2"/>
      <c r="T270" s="2"/>
      <c r="U270" s="2"/>
      <c r="V270" s="321"/>
      <c r="W270" s="2"/>
      <c r="X270" s="321"/>
      <c r="Y270" s="2"/>
      <c r="AD270" s="2"/>
    </row>
    <row r="271" spans="1:32">
      <c r="C271" s="2" t="s">
        <v>1111</v>
      </c>
      <c r="D271" s="2">
        <v>98</v>
      </c>
      <c r="E271" s="317">
        <v>1016047.8274748635</v>
      </c>
      <c r="F271" s="318">
        <f t="shared" si="120"/>
        <v>11508099417.439205</v>
      </c>
      <c r="G271" s="318">
        <f t="shared" si="121"/>
        <v>370857457.0283252</v>
      </c>
      <c r="H271" s="14"/>
      <c r="I271" s="14"/>
      <c r="J271" s="14"/>
      <c r="K271" s="14"/>
      <c r="L271" s="2"/>
      <c r="M271" s="2"/>
      <c r="Q271" s="2"/>
      <c r="R271" s="2"/>
      <c r="S271" s="2"/>
      <c r="T271" s="2"/>
      <c r="U271" s="2"/>
      <c r="V271" s="321"/>
      <c r="W271" s="2"/>
      <c r="X271" s="321"/>
      <c r="Y271" s="2"/>
      <c r="AD271" s="2"/>
    </row>
    <row r="272" spans="1:32">
      <c r="G272" s="319"/>
    </row>
    <row r="273" spans="3:30" ht="56">
      <c r="C273" s="313" t="s">
        <v>1112</v>
      </c>
      <c r="D273" s="314"/>
      <c r="E273" s="314" t="s">
        <v>1113</v>
      </c>
      <c r="F273" s="314" t="s">
        <v>1096</v>
      </c>
      <c r="G273" s="315" t="s">
        <v>1097</v>
      </c>
      <c r="H273" s="314" t="s">
        <v>1098</v>
      </c>
      <c r="I273" s="314" t="s">
        <v>1099</v>
      </c>
      <c r="J273" s="314" t="s">
        <v>1100</v>
      </c>
      <c r="K273" s="314" t="s">
        <v>1101</v>
      </c>
      <c r="L273" s="315" t="s">
        <v>1102</v>
      </c>
      <c r="M273" s="315"/>
      <c r="Q273" s="315" t="s">
        <v>1103</v>
      </c>
      <c r="R273" s="315"/>
      <c r="S273" s="315" t="s">
        <v>1104</v>
      </c>
      <c r="T273" s="315"/>
      <c r="U273" s="316" t="s">
        <v>1037</v>
      </c>
      <c r="V273" s="377"/>
      <c r="W273" s="316" t="s">
        <v>1039</v>
      </c>
      <c r="X273" s="377"/>
      <c r="Y273" s="316" t="s">
        <v>1040</v>
      </c>
      <c r="AD273" s="316"/>
    </row>
    <row r="274" spans="3:30">
      <c r="C274" s="2" t="s">
        <v>1076</v>
      </c>
      <c r="D274" s="2"/>
      <c r="E274" s="8">
        <v>173244</v>
      </c>
      <c r="F274" s="8">
        <f>E274*365*24*$E$286</f>
        <v>42974069.524991997</v>
      </c>
      <c r="G274" s="320">
        <f>F274*$E$289</f>
        <v>1384872.8242689576</v>
      </c>
      <c r="H274" s="321">
        <f t="shared" ref="H274:H281" si="122">27.53*E274</f>
        <v>4769407.32</v>
      </c>
      <c r="I274" s="322">
        <f t="shared" ref="I274:I281" si="123">E274*1.2985</f>
        <v>224957.334</v>
      </c>
      <c r="J274" s="322">
        <v>43000000</v>
      </c>
      <c r="K274" s="323">
        <v>480000</v>
      </c>
      <c r="L274" s="324">
        <f>H274/G274/'[4]Finance Assumptions'!$D$6</f>
        <v>0.22959544185426847</v>
      </c>
      <c r="M274" s="324"/>
      <c r="Q274" s="324">
        <f>K274/G274/'[4]Finance Assumptions'!$D$6</f>
        <v>2.3106814892473657E-2</v>
      </c>
      <c r="R274" s="324"/>
      <c r="S274" s="324">
        <f t="shared" ref="S274:S281" si="124">SUM(L274:Q274)</f>
        <v>0.25270225674674213</v>
      </c>
      <c r="T274" s="324"/>
      <c r="U274" s="325">
        <f>Q179</f>
        <v>4769407.32</v>
      </c>
      <c r="V274" s="325"/>
      <c r="W274" s="325">
        <f>U180</f>
        <v>450000</v>
      </c>
      <c r="X274" s="325"/>
      <c r="Y274" s="325" t="e">
        <f>#REF!</f>
        <v>#REF!</v>
      </c>
      <c r="AD274" s="325"/>
    </row>
    <row r="275" spans="3:30">
      <c r="C275" s="2" t="s">
        <v>1078</v>
      </c>
      <c r="D275" s="2"/>
      <c r="E275" s="8">
        <v>67118</v>
      </c>
      <c r="F275" s="8">
        <f t="shared" ref="F275:F281" si="125">E275*365*24*$E$286</f>
        <v>16648966.765823999</v>
      </c>
      <c r="G275" s="320">
        <f t="shared" ref="G275:G281" si="126">F275*$E$289</f>
        <v>536525.90692482225</v>
      </c>
      <c r="H275" s="321">
        <f t="shared" si="122"/>
        <v>1847758.54</v>
      </c>
      <c r="I275" s="322">
        <f t="shared" si="123"/>
        <v>87152.722999999998</v>
      </c>
      <c r="J275" s="322">
        <v>16900000</v>
      </c>
      <c r="K275" s="323">
        <v>210000</v>
      </c>
      <c r="L275" s="324">
        <f>H275/G275/'[4]Finance Assumptions'!$D$6</f>
        <v>0.22959544185426844</v>
      </c>
      <c r="M275" s="324"/>
      <c r="Q275" s="324">
        <f>K275/G275/'[4]Finance Assumptions'!$D$6</f>
        <v>2.6093800540300235E-2</v>
      </c>
      <c r="R275" s="324"/>
      <c r="S275" s="324">
        <f t="shared" si="124"/>
        <v>0.25568924239456869</v>
      </c>
      <c r="T275" s="324"/>
      <c r="U275" s="325">
        <f>Q190</f>
        <v>1847758.54</v>
      </c>
      <c r="V275" s="325"/>
      <c r="W275" s="325">
        <f>U191</f>
        <v>225000</v>
      </c>
      <c r="X275" s="325"/>
      <c r="Y275" s="325" t="e">
        <f>#REF!</f>
        <v>#REF!</v>
      </c>
      <c r="AD275" s="325"/>
    </row>
    <row r="276" spans="3:30">
      <c r="C276" s="2" t="s">
        <v>1080</v>
      </c>
      <c r="D276" s="2"/>
      <c r="E276" s="8">
        <v>37134</v>
      </c>
      <c r="F276" s="8">
        <f t="shared" si="125"/>
        <v>9211280.6085119992</v>
      </c>
      <c r="G276" s="320">
        <f t="shared" si="126"/>
        <v>296840.68398561265</v>
      </c>
      <c r="H276" s="321">
        <f t="shared" si="122"/>
        <v>1022299.02</v>
      </c>
      <c r="I276" s="322">
        <f t="shared" si="123"/>
        <v>48218.498999999996</v>
      </c>
      <c r="J276" s="322">
        <v>9300000</v>
      </c>
      <c r="K276" s="323">
        <v>140000</v>
      </c>
      <c r="L276" s="324">
        <f>H276/G276/'[4]Finance Assumptions'!$D$6</f>
        <v>0.22959544185426844</v>
      </c>
      <c r="M276" s="324"/>
      <c r="Q276" s="324">
        <f>K276/G276/'[4]Finance Assumptions'!$D$6</f>
        <v>3.1442230923392239E-2</v>
      </c>
      <c r="R276" s="324"/>
      <c r="S276" s="324">
        <f t="shared" si="124"/>
        <v>0.26103767277766066</v>
      </c>
      <c r="T276" s="324"/>
      <c r="U276" s="325">
        <f>Q201</f>
        <v>1022299.02</v>
      </c>
      <c r="V276" s="325"/>
      <c r="W276" s="325">
        <f>U202</f>
        <v>200000</v>
      </c>
      <c r="X276" s="325"/>
      <c r="Y276" s="325" t="e">
        <f>#REF!</f>
        <v>#REF!</v>
      </c>
      <c r="AD276" s="325"/>
    </row>
    <row r="277" spans="3:30">
      <c r="C277" s="2" t="s">
        <v>1082</v>
      </c>
      <c r="D277" s="2"/>
      <c r="E277" s="8">
        <v>26798</v>
      </c>
      <c r="F277" s="8">
        <f t="shared" si="125"/>
        <v>6647382.3920639995</v>
      </c>
      <c r="G277" s="320">
        <f t="shared" si="126"/>
        <v>214217.06924776343</v>
      </c>
      <c r="H277" s="321">
        <f t="shared" si="122"/>
        <v>737748.94000000006</v>
      </c>
      <c r="I277" s="322">
        <f t="shared" si="123"/>
        <v>34797.203000000001</v>
      </c>
      <c r="J277" s="322">
        <v>7000000</v>
      </c>
      <c r="K277" s="323">
        <v>130000</v>
      </c>
      <c r="L277" s="324">
        <f>H277/G277/'[4]Finance Assumptions'!$D$6</f>
        <v>0.22959544185426847</v>
      </c>
      <c r="M277" s="324"/>
      <c r="Q277" s="324">
        <f>K277/G277/'[4]Finance Assumptions'!$D$6</f>
        <v>4.0457404711492909E-2</v>
      </c>
      <c r="R277" s="324"/>
      <c r="S277" s="324">
        <f t="shared" si="124"/>
        <v>0.2700528465657614</v>
      </c>
      <c r="T277" s="324"/>
      <c r="U277" s="325">
        <f>Q212</f>
        <v>737748.94000000006</v>
      </c>
      <c r="V277" s="325"/>
      <c r="W277" s="325">
        <f>U213</f>
        <v>200000</v>
      </c>
      <c r="X277" s="325"/>
      <c r="Y277" s="325" t="e">
        <f>#REF!</f>
        <v>#REF!</v>
      </c>
      <c r="AD277" s="325"/>
    </row>
    <row r="278" spans="3:30">
      <c r="C278" s="2" t="s">
        <v>1084</v>
      </c>
      <c r="D278" s="2"/>
      <c r="E278" s="8">
        <v>13848</v>
      </c>
      <c r="F278" s="8">
        <f t="shared" si="125"/>
        <v>3435067.9664639998</v>
      </c>
      <c r="G278" s="320">
        <f t="shared" si="126"/>
        <v>110697.73770218031</v>
      </c>
      <c r="H278" s="321">
        <f t="shared" si="122"/>
        <v>381235.44</v>
      </c>
      <c r="I278" s="322">
        <f t="shared" si="123"/>
        <v>17981.628000000001</v>
      </c>
      <c r="J278" s="322">
        <v>3800000</v>
      </c>
      <c r="K278" s="323">
        <v>100000</v>
      </c>
      <c r="L278" s="324">
        <f>H278/G278/'[4]Finance Assumptions'!$D$6</f>
        <v>0.22959544185426844</v>
      </c>
      <c r="M278" s="324"/>
      <c r="Q278" s="324">
        <f>K278/G278/'[4]Finance Assumptions'!$D$6</f>
        <v>6.0224055207005009E-2</v>
      </c>
      <c r="R278" s="324"/>
      <c r="S278" s="324">
        <f t="shared" si="124"/>
        <v>0.28981949706127347</v>
      </c>
      <c r="T278" s="324"/>
      <c r="U278" s="325">
        <f>Q223</f>
        <v>381235.44</v>
      </c>
      <c r="V278" s="325"/>
      <c r="W278" s="325">
        <f>U224</f>
        <v>200000</v>
      </c>
      <c r="X278" s="325"/>
      <c r="Y278" s="325" t="e">
        <f>#REF!</f>
        <v>#REF!</v>
      </c>
      <c r="AD278" s="325"/>
    </row>
    <row r="279" spans="3:30">
      <c r="C279" s="326" t="s">
        <v>1086</v>
      </c>
      <c r="D279" s="2"/>
      <c r="E279" s="8">
        <v>6502</v>
      </c>
      <c r="F279" s="8">
        <f t="shared" si="125"/>
        <v>1612854.702336</v>
      </c>
      <c r="G279" s="320">
        <f t="shared" si="126"/>
        <v>51975.497583736025</v>
      </c>
      <c r="H279" s="321">
        <f t="shared" si="122"/>
        <v>179000.06</v>
      </c>
      <c r="I279" s="322">
        <f t="shared" si="123"/>
        <v>8442.8469999999998</v>
      </c>
      <c r="J279" s="322">
        <v>1900000</v>
      </c>
      <c r="K279" s="323">
        <v>65000</v>
      </c>
      <c r="L279" s="324">
        <f>H279/G279/'[4]Finance Assumptions'!$D$6</f>
        <v>0.22959544185426842</v>
      </c>
      <c r="M279" s="324"/>
      <c r="Q279" s="324">
        <f>K279/G279/'[4]Finance Assumptions'!$D$6</f>
        <v>8.3372618537264451E-2</v>
      </c>
      <c r="R279" s="324"/>
      <c r="S279" s="324">
        <f t="shared" si="124"/>
        <v>0.31296806039153285</v>
      </c>
      <c r="T279" s="324"/>
      <c r="U279" s="325">
        <f>Q234</f>
        <v>179000.06</v>
      </c>
      <c r="V279" s="325"/>
      <c r="W279" s="325">
        <f>U235</f>
        <v>132500</v>
      </c>
      <c r="X279" s="325"/>
      <c r="Y279" s="325" t="e">
        <f>#REF!</f>
        <v>#REF!</v>
      </c>
      <c r="AD279" s="325"/>
    </row>
    <row r="280" spans="3:30">
      <c r="C280" s="326" t="s">
        <v>1088</v>
      </c>
      <c r="D280" s="2"/>
      <c r="E280" s="8">
        <v>3390</v>
      </c>
      <c r="F280" s="8">
        <f t="shared" si="125"/>
        <v>840907.01951999997</v>
      </c>
      <c r="G280" s="320">
        <f t="shared" si="126"/>
        <v>27098.882929693187</v>
      </c>
      <c r="H280" s="321">
        <f t="shared" si="122"/>
        <v>93326.7</v>
      </c>
      <c r="I280" s="322">
        <f t="shared" si="123"/>
        <v>4401.915</v>
      </c>
      <c r="J280" s="322">
        <v>1200000</v>
      </c>
      <c r="K280" s="323">
        <v>50000</v>
      </c>
      <c r="L280" s="324">
        <f>H280/G280/'[4]Finance Assumptions'!$D$6</f>
        <v>0.22959544185426844</v>
      </c>
      <c r="M280" s="324"/>
      <c r="Q280" s="324">
        <f>K280/G280/'[4]Finance Assumptions'!$D$6</f>
        <v>0.12300630036970579</v>
      </c>
      <c r="R280" s="324"/>
      <c r="S280" s="324">
        <f t="shared" si="124"/>
        <v>0.35260174222397422</v>
      </c>
      <c r="T280" s="324"/>
      <c r="U280" s="325">
        <f>Q245</f>
        <v>93326.7</v>
      </c>
      <c r="V280" s="325"/>
      <c r="W280" s="325">
        <f>U246</f>
        <v>132500</v>
      </c>
      <c r="X280" s="325"/>
      <c r="Y280" s="325" t="e">
        <f>#REF!</f>
        <v>#REF!</v>
      </c>
      <c r="AD280" s="325"/>
    </row>
    <row r="281" spans="3:30">
      <c r="C281" s="326" t="s">
        <v>1090</v>
      </c>
      <c r="D281" s="2"/>
      <c r="E281" s="8">
        <v>1261</v>
      </c>
      <c r="F281" s="8">
        <f t="shared" si="125"/>
        <v>312797.56684799999</v>
      </c>
      <c r="G281" s="320">
        <f t="shared" si="126"/>
        <v>10080.144948183808</v>
      </c>
      <c r="H281" s="321">
        <f t="shared" si="122"/>
        <v>34715.33</v>
      </c>
      <c r="I281" s="322">
        <f t="shared" si="123"/>
        <v>1637.4085</v>
      </c>
      <c r="J281" s="322">
        <v>560000</v>
      </c>
      <c r="K281" s="323">
        <v>25000</v>
      </c>
      <c r="L281" s="324">
        <f>H281/G281/'[4]Finance Assumptions'!$D$6</f>
        <v>0.22959544185426847</v>
      </c>
      <c r="M281" s="324"/>
      <c r="Q281" s="324">
        <f>K281/G281/'[4]Finance Assumptions'!$D$6</f>
        <v>0.16534153776895427</v>
      </c>
      <c r="R281" s="324"/>
      <c r="S281" s="324">
        <f t="shared" si="124"/>
        <v>0.39493697962322272</v>
      </c>
      <c r="T281" s="324"/>
      <c r="U281" s="325">
        <f>Q256</f>
        <v>34715.33</v>
      </c>
      <c r="V281" s="325"/>
      <c r="W281" s="325">
        <f>U257</f>
        <v>132500</v>
      </c>
      <c r="X281" s="325"/>
      <c r="Y281" s="325" t="e">
        <f>#REF!</f>
        <v>#REF!</v>
      </c>
      <c r="AD281" s="325"/>
    </row>
    <row r="282" spans="3:30">
      <c r="K282"/>
    </row>
    <row r="283" spans="3:30" ht="56">
      <c r="C283" s="7" t="s">
        <v>20</v>
      </c>
    </row>
    <row r="284" spans="3:30">
      <c r="C284">
        <v>1.2</v>
      </c>
    </row>
    <row r="285" spans="3:30">
      <c r="E285" s="327" t="s">
        <v>56</v>
      </c>
    </row>
    <row r="286" spans="3:30">
      <c r="E286" s="328">
        <v>2.83168E-2</v>
      </c>
      <c r="F286" t="s">
        <v>1114</v>
      </c>
    </row>
    <row r="287" spans="3:30">
      <c r="E287">
        <v>3.4000000000000002E-2</v>
      </c>
      <c r="F287" t="s">
        <v>53</v>
      </c>
    </row>
    <row r="288" spans="3:30">
      <c r="E288">
        <v>0.94781700000000002</v>
      </c>
      <c r="F288" t="s">
        <v>55</v>
      </c>
    </row>
    <row r="289" spans="5:6">
      <c r="E289">
        <f>E288*E287</f>
        <v>3.2225778000000004E-2</v>
      </c>
      <c r="F289" t="s">
        <v>54</v>
      </c>
    </row>
  </sheetData>
  <mergeCells count="6">
    <mergeCell ref="W1:X1"/>
    <mergeCell ref="I1:J1"/>
    <mergeCell ref="L1:M1"/>
    <mergeCell ref="Q1:R1"/>
    <mergeCell ref="S1:T1"/>
    <mergeCell ref="U1:V1"/>
  </mergeCells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58"/>
  <sheetViews>
    <sheetView workbookViewId="0">
      <selection activeCell="G1" sqref="G1"/>
    </sheetView>
  </sheetViews>
  <sheetFormatPr baseColWidth="10" defaultColWidth="8.83203125" defaultRowHeight="14" x14ac:dyDescent="0"/>
  <cols>
    <col min="1" max="1" width="18.33203125" customWidth="1"/>
    <col min="2" max="2" width="19.33203125" bestFit="1" customWidth="1"/>
    <col min="4" max="4" width="14.6640625" bestFit="1" customWidth="1"/>
    <col min="6" max="6" width="9.5" bestFit="1" customWidth="1"/>
    <col min="7" max="7" width="17.5" bestFit="1" customWidth="1"/>
    <col min="8" max="8" width="22.5" bestFit="1" customWidth="1"/>
  </cols>
  <sheetData>
    <row r="1" spans="1:8">
      <c r="A1" t="s">
        <v>23</v>
      </c>
    </row>
    <row r="2" spans="1:8">
      <c r="A2" s="2" t="s">
        <v>24</v>
      </c>
      <c r="B2" s="2"/>
      <c r="C2" s="2"/>
      <c r="D2" s="2"/>
      <c r="E2" s="2"/>
    </row>
    <row r="3" spans="1:8">
      <c r="A3" s="2" t="s">
        <v>25</v>
      </c>
      <c r="B3" s="2" t="s">
        <v>26</v>
      </c>
      <c r="C3" s="2" t="s">
        <v>16</v>
      </c>
      <c r="D3" s="2" t="s">
        <v>13</v>
      </c>
      <c r="E3" s="2" t="s">
        <v>15</v>
      </c>
    </row>
    <row r="4" spans="1:8">
      <c r="A4" s="2" t="s">
        <v>27</v>
      </c>
      <c r="B4" s="2">
        <v>749000</v>
      </c>
      <c r="C4" s="2">
        <v>660000</v>
      </c>
      <c r="D4" s="2">
        <v>43000</v>
      </c>
      <c r="E4" s="2">
        <v>48700</v>
      </c>
    </row>
    <row r="5" spans="1:8">
      <c r="A5" s="2" t="s">
        <v>28</v>
      </c>
      <c r="B5" s="2">
        <v>137000</v>
      </c>
      <c r="C5" s="2">
        <v>63400</v>
      </c>
      <c r="D5" s="2">
        <v>11700</v>
      </c>
      <c r="E5" s="2">
        <v>5000</v>
      </c>
    </row>
    <row r="6" spans="1:8">
      <c r="A6" s="2" t="s">
        <v>29</v>
      </c>
      <c r="B6" s="2">
        <v>18400</v>
      </c>
      <c r="C6" s="2">
        <v>4230</v>
      </c>
      <c r="D6" s="2">
        <v>1570</v>
      </c>
      <c r="E6" s="2">
        <v>2300</v>
      </c>
    </row>
    <row r="7" spans="1:8">
      <c r="A7" s="2" t="s">
        <v>30</v>
      </c>
      <c r="B7" s="2">
        <v>6440</v>
      </c>
      <c r="C7" s="2">
        <v>1050</v>
      </c>
      <c r="D7" s="2">
        <v>950</v>
      </c>
      <c r="E7" s="2">
        <v>3300</v>
      </c>
    </row>
    <row r="8" spans="1:8">
      <c r="A8" s="2" t="s">
        <v>31</v>
      </c>
      <c r="B8" s="2">
        <v>3000</v>
      </c>
      <c r="C8" s="2">
        <v>270</v>
      </c>
      <c r="D8" s="413">
        <v>780</v>
      </c>
      <c r="E8" s="2">
        <v>5700</v>
      </c>
    </row>
    <row r="9" spans="1:8">
      <c r="A9" s="2" t="s">
        <v>32</v>
      </c>
      <c r="B9" s="2">
        <v>700</v>
      </c>
      <c r="C9" s="413">
        <v>50</v>
      </c>
      <c r="D9" s="413"/>
      <c r="E9" s="413">
        <v>3300</v>
      </c>
    </row>
    <row r="10" spans="1:8">
      <c r="A10" s="2" t="s">
        <v>33</v>
      </c>
      <c r="B10" s="2">
        <v>260</v>
      </c>
      <c r="C10" s="413"/>
      <c r="D10" s="413"/>
      <c r="E10" s="413"/>
    </row>
    <row r="11" spans="1:8">
      <c r="A11" s="2" t="s">
        <v>34</v>
      </c>
      <c r="B11" s="2">
        <v>200</v>
      </c>
      <c r="C11" s="413"/>
      <c r="D11" s="413"/>
      <c r="E11" s="413"/>
    </row>
    <row r="12" spans="1:8">
      <c r="A12" s="2" t="s">
        <v>35</v>
      </c>
      <c r="B12" s="2">
        <f>SUM(B4:B11)</f>
        <v>915000</v>
      </c>
      <c r="C12" s="2">
        <f>SUM(C4:C11)</f>
        <v>729000</v>
      </c>
      <c r="D12" s="2">
        <f>SUM(D4:D11)</f>
        <v>58000</v>
      </c>
      <c r="E12" s="2">
        <f>SUM(E4:E11)</f>
        <v>68300</v>
      </c>
    </row>
    <row r="13" spans="1:8">
      <c r="A13" s="5"/>
    </row>
    <row r="14" spans="1:8">
      <c r="A14" s="1" t="s">
        <v>39</v>
      </c>
      <c r="H14" s="11" t="s">
        <v>59</v>
      </c>
    </row>
    <row r="15" spans="1:8">
      <c r="A15" s="3" t="s">
        <v>40</v>
      </c>
      <c r="B15" s="2" t="s">
        <v>25</v>
      </c>
      <c r="C15" s="2" t="s">
        <v>42</v>
      </c>
      <c r="H15" s="2" t="s">
        <v>60</v>
      </c>
    </row>
    <row r="16" spans="1:8">
      <c r="A16" s="8" t="s">
        <v>16</v>
      </c>
      <c r="B16" s="3" t="s">
        <v>36</v>
      </c>
      <c r="C16" s="2">
        <v>4230</v>
      </c>
      <c r="H16" s="14">
        <f>C16-SUM(D28:D30)</f>
        <v>4230</v>
      </c>
    </row>
    <row r="17" spans="1:8">
      <c r="A17" s="2"/>
      <c r="B17" s="3" t="s">
        <v>37</v>
      </c>
      <c r="C17" s="2">
        <v>1050</v>
      </c>
      <c r="H17" s="14">
        <f>C17-SUM(D31:D33)</f>
        <v>1050</v>
      </c>
    </row>
    <row r="18" spans="1:8">
      <c r="A18" s="8"/>
      <c r="B18" s="3" t="s">
        <v>38</v>
      </c>
      <c r="C18" s="2">
        <v>320</v>
      </c>
      <c r="H18" s="14">
        <f>C18-SUM(D34:D36)</f>
        <v>316</v>
      </c>
    </row>
    <row r="19" spans="1:8">
      <c r="A19" s="8" t="s">
        <v>13</v>
      </c>
      <c r="B19" s="3" t="s">
        <v>36</v>
      </c>
      <c r="C19" s="2">
        <v>1570</v>
      </c>
      <c r="H19" s="14">
        <f>C19-SUM(D37:D39)</f>
        <v>1507</v>
      </c>
    </row>
    <row r="20" spans="1:8">
      <c r="A20" s="8"/>
      <c r="B20" s="3" t="s">
        <v>37</v>
      </c>
      <c r="C20" s="2">
        <v>950</v>
      </c>
      <c r="H20" s="14">
        <f>C20-SUM(D40:D42)</f>
        <v>889</v>
      </c>
    </row>
    <row r="21" spans="1:8">
      <c r="A21" s="8"/>
      <c r="B21" s="3" t="s">
        <v>38</v>
      </c>
      <c r="C21" s="2">
        <v>780</v>
      </c>
      <c r="H21" s="14">
        <f>C21-SUM(D43:D45)</f>
        <v>716</v>
      </c>
    </row>
    <row r="22" spans="1:8">
      <c r="A22" s="8" t="s">
        <v>15</v>
      </c>
      <c r="B22" s="3" t="s">
        <v>36</v>
      </c>
      <c r="C22" s="2">
        <v>2300</v>
      </c>
      <c r="H22" s="14">
        <f>C22-SUM(D46:D48)</f>
        <v>2298</v>
      </c>
    </row>
    <row r="23" spans="1:8">
      <c r="A23" s="2"/>
      <c r="B23" s="3" t="s">
        <v>37</v>
      </c>
      <c r="C23" s="2">
        <v>3300</v>
      </c>
      <c r="H23" s="14">
        <f>C23-SUM(D49:D51)</f>
        <v>3298</v>
      </c>
    </row>
    <row r="24" spans="1:8">
      <c r="A24" s="8"/>
      <c r="B24" s="3" t="s">
        <v>38</v>
      </c>
      <c r="C24" s="2">
        <v>9000</v>
      </c>
      <c r="H24" s="14">
        <f>C24-SUM(D52:D54)</f>
        <v>8971</v>
      </c>
    </row>
    <row r="25" spans="1:8">
      <c r="A25" s="5"/>
    </row>
    <row r="26" spans="1:8">
      <c r="A26" s="5" t="s">
        <v>44</v>
      </c>
    </row>
    <row r="27" spans="1:8">
      <c r="A27" s="3" t="s">
        <v>40</v>
      </c>
      <c r="B27" s="2" t="s">
        <v>25</v>
      </c>
      <c r="C27" s="2" t="s">
        <v>43</v>
      </c>
      <c r="D27" s="2" t="s">
        <v>41</v>
      </c>
    </row>
    <row r="28" spans="1:8">
      <c r="A28" s="8" t="s">
        <v>16</v>
      </c>
      <c r="B28" s="3" t="s">
        <v>36</v>
      </c>
      <c r="C28" s="2" t="s">
        <v>2</v>
      </c>
      <c r="D28" s="2">
        <v>0</v>
      </c>
      <c r="F28" s="12"/>
      <c r="G28" s="12"/>
    </row>
    <row r="29" spans="1:8">
      <c r="A29" s="8"/>
      <c r="B29" s="3" t="s">
        <v>36</v>
      </c>
      <c r="C29" s="2" t="s">
        <v>3</v>
      </c>
      <c r="D29" s="2">
        <v>0</v>
      </c>
      <c r="F29" s="12"/>
      <c r="G29" s="12"/>
    </row>
    <row r="30" spans="1:8">
      <c r="A30" s="8"/>
      <c r="B30" s="3" t="s">
        <v>36</v>
      </c>
      <c r="C30" s="2" t="s">
        <v>4</v>
      </c>
      <c r="D30" s="2">
        <v>0</v>
      </c>
      <c r="F30" s="12"/>
      <c r="G30" s="12"/>
    </row>
    <row r="31" spans="1:8">
      <c r="A31" s="2"/>
      <c r="B31" s="3" t="s">
        <v>37</v>
      </c>
      <c r="C31" s="2" t="s">
        <v>2</v>
      </c>
      <c r="D31" s="2">
        <v>0</v>
      </c>
      <c r="F31" s="12"/>
      <c r="G31" s="12"/>
    </row>
    <row r="32" spans="1:8">
      <c r="A32" s="2"/>
      <c r="B32" s="3" t="s">
        <v>37</v>
      </c>
      <c r="C32" s="2" t="s">
        <v>3</v>
      </c>
      <c r="D32" s="2">
        <v>0</v>
      </c>
      <c r="F32" s="12"/>
      <c r="G32" s="12"/>
    </row>
    <row r="33" spans="1:7">
      <c r="A33" s="2"/>
      <c r="B33" s="3" t="s">
        <v>37</v>
      </c>
      <c r="C33" s="2" t="s">
        <v>4</v>
      </c>
      <c r="D33" s="2">
        <v>0</v>
      </c>
      <c r="F33" s="12"/>
      <c r="G33" s="12"/>
    </row>
    <row r="34" spans="1:7">
      <c r="A34" s="8"/>
      <c r="B34" s="3" t="s">
        <v>38</v>
      </c>
      <c r="C34" s="2" t="s">
        <v>2</v>
      </c>
      <c r="D34" s="2">
        <v>0</v>
      </c>
      <c r="F34" s="12"/>
      <c r="G34" s="13"/>
    </row>
    <row r="35" spans="1:7">
      <c r="A35" s="8"/>
      <c r="B35" s="3" t="s">
        <v>38</v>
      </c>
      <c r="C35" s="2" t="s">
        <v>3</v>
      </c>
      <c r="D35" s="2">
        <v>0</v>
      </c>
      <c r="F35" s="12"/>
      <c r="G35" s="13"/>
    </row>
    <row r="36" spans="1:7">
      <c r="A36" s="8"/>
      <c r="B36" s="3" t="s">
        <v>38</v>
      </c>
      <c r="C36" s="2" t="s">
        <v>4</v>
      </c>
      <c r="D36" s="2">
        <v>4</v>
      </c>
      <c r="F36" s="12"/>
      <c r="G36" s="13"/>
    </row>
    <row r="37" spans="1:7">
      <c r="A37" s="8" t="s">
        <v>13</v>
      </c>
      <c r="B37" s="3" t="s">
        <v>36</v>
      </c>
      <c r="C37" s="2" t="s">
        <v>2</v>
      </c>
      <c r="D37" s="2">
        <v>10</v>
      </c>
      <c r="F37" s="12"/>
      <c r="G37" s="12"/>
    </row>
    <row r="38" spans="1:7">
      <c r="A38" s="8"/>
      <c r="B38" s="3" t="s">
        <v>36</v>
      </c>
      <c r="C38" s="2" t="s">
        <v>3</v>
      </c>
      <c r="D38" s="2">
        <v>32</v>
      </c>
      <c r="F38" s="12"/>
      <c r="G38" s="12"/>
    </row>
    <row r="39" spans="1:7">
      <c r="A39" s="8"/>
      <c r="B39" s="3" t="s">
        <v>36</v>
      </c>
      <c r="C39" s="2" t="s">
        <v>4</v>
      </c>
      <c r="D39" s="2">
        <v>21</v>
      </c>
      <c r="F39" s="12"/>
      <c r="G39" s="12"/>
    </row>
    <row r="40" spans="1:7">
      <c r="A40" s="8"/>
      <c r="B40" s="3" t="s">
        <v>37</v>
      </c>
      <c r="C40" s="2" t="s">
        <v>2</v>
      </c>
      <c r="D40" s="2">
        <v>9</v>
      </c>
      <c r="F40" s="12"/>
      <c r="G40" s="12"/>
    </row>
    <row r="41" spans="1:7">
      <c r="A41" s="8"/>
      <c r="B41" s="3" t="s">
        <v>37</v>
      </c>
      <c r="C41" s="2" t="s">
        <v>3</v>
      </c>
      <c r="D41" s="2">
        <v>19</v>
      </c>
      <c r="F41" s="12"/>
      <c r="G41" s="12"/>
    </row>
    <row r="42" spans="1:7">
      <c r="A42" s="8"/>
      <c r="B42" s="3" t="s">
        <v>37</v>
      </c>
      <c r="C42" s="2" t="s">
        <v>4</v>
      </c>
      <c r="D42" s="2">
        <v>33</v>
      </c>
      <c r="F42" s="12"/>
      <c r="G42" s="12"/>
    </row>
    <row r="43" spans="1:7">
      <c r="A43" s="8"/>
      <c r="B43" s="3" t="s">
        <v>38</v>
      </c>
      <c r="C43" s="2" t="s">
        <v>2</v>
      </c>
      <c r="D43" s="2">
        <v>7</v>
      </c>
      <c r="F43" s="12"/>
      <c r="G43" s="12"/>
    </row>
    <row r="44" spans="1:7">
      <c r="A44" s="8"/>
      <c r="B44" s="3" t="s">
        <v>38</v>
      </c>
      <c r="C44" s="2" t="s">
        <v>3</v>
      </c>
      <c r="D44" s="2">
        <v>20</v>
      </c>
      <c r="F44" s="12"/>
      <c r="G44" s="12"/>
    </row>
    <row r="45" spans="1:7">
      <c r="A45" s="8"/>
      <c r="B45" s="3" t="s">
        <v>38</v>
      </c>
      <c r="C45" s="2" t="s">
        <v>4</v>
      </c>
      <c r="D45" s="2">
        <v>37</v>
      </c>
      <c r="F45" s="12"/>
      <c r="G45" s="12"/>
    </row>
    <row r="46" spans="1:7">
      <c r="A46" s="8" t="s">
        <v>15</v>
      </c>
      <c r="B46" s="3" t="s">
        <v>36</v>
      </c>
      <c r="C46" s="2" t="s">
        <v>2</v>
      </c>
      <c r="D46" s="2">
        <v>1</v>
      </c>
      <c r="F46" s="12"/>
      <c r="G46" s="13"/>
    </row>
    <row r="47" spans="1:7">
      <c r="A47" s="8"/>
      <c r="B47" s="3" t="s">
        <v>36</v>
      </c>
      <c r="C47" s="2" t="s">
        <v>3</v>
      </c>
      <c r="D47" s="2">
        <v>1</v>
      </c>
      <c r="F47" s="12"/>
      <c r="G47" s="12"/>
    </row>
    <row r="48" spans="1:7">
      <c r="A48" s="8"/>
      <c r="B48" s="3" t="s">
        <v>36</v>
      </c>
      <c r="C48" s="2" t="s">
        <v>4</v>
      </c>
      <c r="D48" s="2">
        <v>0</v>
      </c>
      <c r="F48" s="12"/>
      <c r="G48" s="13"/>
    </row>
    <row r="49" spans="1:7">
      <c r="A49" s="2"/>
      <c r="B49" s="3" t="s">
        <v>37</v>
      </c>
      <c r="C49" s="2" t="s">
        <v>2</v>
      </c>
      <c r="D49" s="2">
        <v>0</v>
      </c>
      <c r="F49" s="12"/>
      <c r="G49" s="12"/>
    </row>
    <row r="50" spans="1:7">
      <c r="A50" s="2"/>
      <c r="B50" s="3" t="s">
        <v>37</v>
      </c>
      <c r="C50" s="2" t="s">
        <v>3</v>
      </c>
      <c r="D50" s="2">
        <v>0</v>
      </c>
      <c r="F50" s="12"/>
      <c r="G50" s="12"/>
    </row>
    <row r="51" spans="1:7">
      <c r="A51" s="2"/>
      <c r="B51" s="3" t="s">
        <v>37</v>
      </c>
      <c r="C51" s="2" t="s">
        <v>4</v>
      </c>
      <c r="D51" s="2">
        <v>2</v>
      </c>
      <c r="F51" s="12"/>
      <c r="G51" s="13"/>
    </row>
    <row r="52" spans="1:7">
      <c r="A52" s="8"/>
      <c r="B52" s="3" t="s">
        <v>38</v>
      </c>
      <c r="C52" s="2" t="s">
        <v>2</v>
      </c>
      <c r="D52" s="2">
        <v>14</v>
      </c>
      <c r="F52" s="12"/>
      <c r="G52" s="12"/>
    </row>
    <row r="53" spans="1:7">
      <c r="A53" s="8"/>
      <c r="B53" s="3" t="s">
        <v>38</v>
      </c>
      <c r="C53" s="2" t="s">
        <v>3</v>
      </c>
      <c r="D53" s="2">
        <v>12</v>
      </c>
      <c r="F53" s="12"/>
      <c r="G53" s="12"/>
    </row>
    <row r="54" spans="1:7">
      <c r="A54" s="8"/>
      <c r="B54" s="3" t="s">
        <v>38</v>
      </c>
      <c r="C54" s="2" t="s">
        <v>4</v>
      </c>
      <c r="D54" s="2">
        <v>3</v>
      </c>
      <c r="F54" s="12"/>
      <c r="G54" s="12"/>
    </row>
    <row r="55" spans="1:7">
      <c r="A55" s="5"/>
    </row>
    <row r="56" spans="1:7">
      <c r="A56" s="5"/>
    </row>
    <row r="57" spans="1:7">
      <c r="A57" s="5"/>
    </row>
    <row r="58" spans="1:7">
      <c r="A58" s="5"/>
    </row>
  </sheetData>
  <mergeCells count="3">
    <mergeCell ref="D8:D11"/>
    <mergeCell ref="C9:C11"/>
    <mergeCell ref="E9:E11"/>
  </mergeCell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6"/>
  <sheetViews>
    <sheetView workbookViewId="0">
      <selection activeCell="B30" sqref="B30"/>
    </sheetView>
  </sheetViews>
  <sheetFormatPr baseColWidth="10" defaultColWidth="8.83203125" defaultRowHeight="14" x14ac:dyDescent="0"/>
  <cols>
    <col min="1" max="1" width="26.1640625" bestFit="1" customWidth="1"/>
    <col min="2" max="2" width="6.1640625" bestFit="1" customWidth="1"/>
    <col min="3" max="3" width="16.83203125" customWidth="1"/>
  </cols>
  <sheetData>
    <row r="1" spans="1:5">
      <c r="A1" s="20" t="s">
        <v>75</v>
      </c>
      <c r="B1" s="20" t="s">
        <v>76</v>
      </c>
      <c r="C1" s="20" t="s">
        <v>77</v>
      </c>
      <c r="D1" s="20"/>
      <c r="E1" s="23" t="s">
        <v>84</v>
      </c>
    </row>
    <row r="2" spans="1:5">
      <c r="A2" t="s">
        <v>82</v>
      </c>
      <c r="B2" s="17">
        <v>2</v>
      </c>
      <c r="C2" t="s">
        <v>65</v>
      </c>
      <c r="E2" t="s">
        <v>85</v>
      </c>
    </row>
    <row r="3" spans="1:5">
      <c r="B3" s="17"/>
    </row>
    <row r="4" spans="1:5">
      <c r="A4" t="s">
        <v>81</v>
      </c>
      <c r="B4" s="17">
        <v>15</v>
      </c>
      <c r="C4" t="s">
        <v>78</v>
      </c>
      <c r="E4" s="18" t="s">
        <v>66</v>
      </c>
    </row>
    <row r="5" spans="1:5">
      <c r="B5" s="17"/>
    </row>
    <row r="6" spans="1:5">
      <c r="A6" t="s">
        <v>79</v>
      </c>
      <c r="B6" s="17">
        <v>20</v>
      </c>
      <c r="E6" t="s">
        <v>67</v>
      </c>
    </row>
    <row r="7" spans="1:5">
      <c r="B7" s="17"/>
    </row>
    <row r="8" spans="1:5">
      <c r="A8" t="s">
        <v>80</v>
      </c>
      <c r="B8" s="17">
        <v>15</v>
      </c>
      <c r="E8" t="s">
        <v>68</v>
      </c>
    </row>
    <row r="9" spans="1:5">
      <c r="B9" s="17"/>
    </row>
    <row r="10" spans="1:5">
      <c r="A10" t="s">
        <v>69</v>
      </c>
      <c r="B10" s="17">
        <v>10</v>
      </c>
      <c r="C10" t="s">
        <v>70</v>
      </c>
      <c r="E10" s="18" t="s">
        <v>66</v>
      </c>
    </row>
    <row r="11" spans="1:5">
      <c r="B11" s="17"/>
    </row>
    <row r="12" spans="1:5">
      <c r="A12" t="s">
        <v>71</v>
      </c>
      <c r="B12" s="22">
        <v>0.4</v>
      </c>
      <c r="E12" s="19" t="s">
        <v>72</v>
      </c>
    </row>
    <row r="13" spans="1:5">
      <c r="B13" s="17"/>
    </row>
    <row r="14" spans="1:5">
      <c r="A14" t="s">
        <v>83</v>
      </c>
      <c r="B14" s="17">
        <v>2</v>
      </c>
      <c r="C14" t="s">
        <v>73</v>
      </c>
      <c r="E14" s="18" t="s">
        <v>66</v>
      </c>
    </row>
    <row r="15" spans="1:5">
      <c r="B15" s="17"/>
    </row>
    <row r="16" spans="1:5">
      <c r="A16" t="s">
        <v>74</v>
      </c>
      <c r="B16" s="22">
        <v>0.2</v>
      </c>
      <c r="E16" s="18" t="s">
        <v>66</v>
      </c>
    </row>
  </sheetData>
  <hyperlinks>
    <hyperlink ref="E4" r:id="rId1"/>
    <hyperlink ref="E10" r:id="rId2"/>
    <hyperlink ref="E16" r:id="rId3"/>
    <hyperlink ref="E14" r:id="rId4"/>
    <hyperlink ref="E12" r:id="rId5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654"/>
  <sheetViews>
    <sheetView topLeftCell="A4" workbookViewId="0">
      <selection activeCell="C35" sqref="C35"/>
    </sheetView>
  </sheetViews>
  <sheetFormatPr baseColWidth="10" defaultColWidth="8.83203125" defaultRowHeight="14" x14ac:dyDescent="0"/>
  <cols>
    <col min="1" max="1" width="52.83203125" bestFit="1" customWidth="1"/>
    <col min="2" max="2" width="12" bestFit="1" customWidth="1"/>
  </cols>
  <sheetData>
    <row r="1" spans="1:7">
      <c r="A1" t="s">
        <v>749</v>
      </c>
      <c r="B1" t="s">
        <v>750</v>
      </c>
      <c r="D1" t="s">
        <v>751</v>
      </c>
      <c r="E1" t="s">
        <v>14</v>
      </c>
      <c r="F1" t="s">
        <v>752</v>
      </c>
    </row>
    <row r="2" spans="1:7">
      <c r="A2" t="s">
        <v>101</v>
      </c>
      <c r="B2" s="17">
        <f t="array" ref="B2">SUM(IF('TEA data'!$A$4:$A$66='BSM Input'!$D2,IF('TEA data'!$B$4:$B$66='BSM Input'!$E2,IF('TEA data'!$D$4:$D$66='BSM Input'!$F2,IF('TEA data'!$E$4:$E$66='BSM Input'!$G2,'TEA data'!K$4:K$66,""),""),""),""))</f>
        <v>0</v>
      </c>
      <c r="D2" t="s">
        <v>753</v>
      </c>
      <c r="E2" t="s">
        <v>754</v>
      </c>
      <c r="F2" t="s">
        <v>2</v>
      </c>
      <c r="G2" t="s">
        <v>50</v>
      </c>
    </row>
    <row r="3" spans="1:7">
      <c r="A3" t="s">
        <v>102</v>
      </c>
      <c r="B3" s="17">
        <f t="array" ref="B3">SUM(IF('TEA data'!$A$4:$A$66='BSM Input'!$D3,IF('TEA data'!$B$4:$B$66='BSM Input'!$E3,IF('TEA data'!$D$4:$D$66='BSM Input'!$F3,IF('TEA data'!$E$4:$E$66='BSM Input'!$G3,'TEA data'!K$4:K$66,""),""),""),""))</f>
        <v>0</v>
      </c>
      <c r="D3" t="s">
        <v>753</v>
      </c>
      <c r="E3" t="s">
        <v>754</v>
      </c>
      <c r="F3" t="s">
        <v>2</v>
      </c>
      <c r="G3" t="s">
        <v>51</v>
      </c>
    </row>
    <row r="4" spans="1:7">
      <c r="A4" t="s">
        <v>103</v>
      </c>
      <c r="B4" s="17">
        <f t="array" ref="B4">SUM(IF('TEA data'!$A$4:$A$66='BSM Input'!$D4,IF('TEA data'!$B$4:$B$66='BSM Input'!$E4,IF('TEA data'!$D$4:$D$66='BSM Input'!$F4,IF('TEA data'!$E$4:$E$66='BSM Input'!$G4,'TEA data'!K$4:K$66,""),""),""),""))</f>
        <v>0</v>
      </c>
      <c r="D4" t="s">
        <v>753</v>
      </c>
      <c r="E4" t="s">
        <v>754</v>
      </c>
      <c r="F4" t="s">
        <v>2</v>
      </c>
      <c r="G4" t="s">
        <v>52</v>
      </c>
    </row>
    <row r="5" spans="1:7">
      <c r="A5" t="s">
        <v>104</v>
      </c>
      <c r="B5" s="17">
        <f t="array" ref="B5">SUM(IF('TEA data'!$A$4:$A$66='BSM Input'!$D5,IF('TEA data'!$B$4:$B$66='BSM Input'!$E5,IF('TEA data'!$D$4:$D$66='BSM Input'!$F5,IF('TEA data'!$E$4:$E$66='BSM Input'!$G5,'TEA data'!K$4:K$66,""),""),""),""))</f>
        <v>0</v>
      </c>
    </row>
    <row r="6" spans="1:7">
      <c r="A6" t="s">
        <v>105</v>
      </c>
      <c r="B6" s="17">
        <f t="array" ref="B6">SUM(IF('TEA data'!$A$4:$A$66='BSM Input'!$D6,IF('TEA data'!$B$4:$B$66='BSM Input'!$E6,IF('TEA data'!$D$4:$D$66='BSM Input'!$F6,IF('TEA data'!$E$4:$E$66='BSM Input'!$G6,'TEA data'!K$4:K$66,""),""),""),""))</f>
        <v>0</v>
      </c>
      <c r="D6" t="s">
        <v>753</v>
      </c>
      <c r="E6" t="s">
        <v>754</v>
      </c>
      <c r="F6" t="s">
        <v>3</v>
      </c>
      <c r="G6" t="s">
        <v>50</v>
      </c>
    </row>
    <row r="7" spans="1:7">
      <c r="A7" t="s">
        <v>106</v>
      </c>
      <c r="B7" s="17">
        <f t="array" ref="B7">SUM(IF('TEA data'!$A$4:$A$66='BSM Input'!$D7,IF('TEA data'!$B$4:$B$66='BSM Input'!$E7,IF('TEA data'!$D$4:$D$66='BSM Input'!$F7,IF('TEA data'!$E$4:$E$66='BSM Input'!$G7,'TEA data'!K$4:K$66,""),""),""),""))</f>
        <v>0</v>
      </c>
      <c r="D7" t="s">
        <v>753</v>
      </c>
      <c r="E7" t="s">
        <v>754</v>
      </c>
      <c r="F7" t="s">
        <v>3</v>
      </c>
      <c r="G7" t="s">
        <v>51</v>
      </c>
    </row>
    <row r="8" spans="1:7">
      <c r="A8" t="s">
        <v>107</v>
      </c>
      <c r="B8" s="17">
        <f t="array" ref="B8">SUM(IF('TEA data'!$A$4:$A$66='BSM Input'!$D8,IF('TEA data'!$B$4:$B$66='BSM Input'!$E8,IF('TEA data'!$D$4:$D$66='BSM Input'!$F8,IF('TEA data'!$E$4:$E$66='BSM Input'!$G8,'TEA data'!K$4:K$66,""),""),""),""))</f>
        <v>0</v>
      </c>
      <c r="D8" t="s">
        <v>753</v>
      </c>
      <c r="E8" t="s">
        <v>754</v>
      </c>
      <c r="F8" t="s">
        <v>3</v>
      </c>
      <c r="G8" t="s">
        <v>52</v>
      </c>
    </row>
    <row r="9" spans="1:7">
      <c r="A9" t="s">
        <v>108</v>
      </c>
      <c r="B9" s="17">
        <f t="array" ref="B9">SUM(IF('TEA data'!$A$4:$A$66='BSM Input'!$D9,IF('TEA data'!$B$4:$B$66='BSM Input'!$E9,IF('TEA data'!$D$4:$D$66='BSM Input'!$F9,IF('TEA data'!$E$4:$E$66='BSM Input'!$G9,'TEA data'!K$4:K$66,""),""),""),""))</f>
        <v>0</v>
      </c>
    </row>
    <row r="10" spans="1:7">
      <c r="A10" t="s">
        <v>109</v>
      </c>
      <c r="B10" s="17">
        <f t="array" ref="B10">SUM(IF('TEA data'!$A$4:$A$66='BSM Input'!$D10,IF('TEA data'!$B$4:$B$66='BSM Input'!$E10,IF('TEA data'!$D$4:$D$66='BSM Input'!$F10,IF('TEA data'!$E$4:$E$66='BSM Input'!$G10,'TEA data'!K$4:K$66,""),""),""),""))</f>
        <v>72065.531914893611</v>
      </c>
      <c r="D10" t="s">
        <v>753</v>
      </c>
      <c r="E10" t="s">
        <v>754</v>
      </c>
      <c r="F10" t="s">
        <v>4</v>
      </c>
      <c r="G10" t="s">
        <v>50</v>
      </c>
    </row>
    <row r="11" spans="1:7">
      <c r="A11" t="s">
        <v>110</v>
      </c>
      <c r="B11" s="17">
        <f t="array" ref="B11">SUM(IF('TEA data'!$A$4:$A$66='BSM Input'!$D11,IF('TEA data'!$B$4:$B$66='BSM Input'!$E11,IF('TEA data'!$D$4:$D$66='BSM Input'!$F11,IF('TEA data'!$E$4:$E$66='BSM Input'!$G11,'TEA data'!K$4:K$66,""),""),""),""))</f>
        <v>72065.531914893611</v>
      </c>
      <c r="D11" t="s">
        <v>753</v>
      </c>
      <c r="E11" t="s">
        <v>754</v>
      </c>
      <c r="F11" t="s">
        <v>4</v>
      </c>
      <c r="G11" t="s">
        <v>51</v>
      </c>
    </row>
    <row r="12" spans="1:7">
      <c r="A12" t="s">
        <v>111</v>
      </c>
      <c r="B12" s="17">
        <f t="array" ref="B12">SUM(IF('TEA data'!$A$4:$A$66='BSM Input'!$D12,IF('TEA data'!$B$4:$B$66='BSM Input'!$E12,IF('TEA data'!$D$4:$D$66='BSM Input'!$F12,IF('TEA data'!$E$4:$E$66='BSM Input'!$G12,'TEA data'!K$4:K$66,""),""),""),""))</f>
        <v>72065.531914893611</v>
      </c>
      <c r="D12" t="s">
        <v>753</v>
      </c>
      <c r="E12" t="s">
        <v>754</v>
      </c>
      <c r="F12" t="s">
        <v>4</v>
      </c>
      <c r="G12" t="s">
        <v>52</v>
      </c>
    </row>
    <row r="13" spans="1:7">
      <c r="A13" t="s">
        <v>112</v>
      </c>
      <c r="B13" s="17">
        <f t="array" ref="B13">SUM(IF('TEA data'!$A$4:$A$66='BSM Input'!$D13,IF('TEA data'!$B$4:$B$66='BSM Input'!$E13,IF('TEA data'!$D$4:$D$66='BSM Input'!$F13,IF('TEA data'!$E$4:$E$66='BSM Input'!$G13,'TEA data'!K$4:K$66,""),""),""),""))</f>
        <v>0</v>
      </c>
    </row>
    <row r="14" spans="1:7">
      <c r="A14" t="s">
        <v>113</v>
      </c>
      <c r="B14" s="17">
        <f t="array" ref="B14">SUM(IF('TEA data'!$A$4:$A$66='BSM Input'!$D14,IF('TEA data'!$B$4:$B$66='BSM Input'!$E14,IF('TEA data'!$D$4:$D$66='BSM Input'!$F14,IF('TEA data'!$E$4:$E$66='BSM Input'!$G14,'TEA data'!K$4:K$66,""),""),""),""))</f>
        <v>344859.90802547772</v>
      </c>
      <c r="D14" t="s">
        <v>755</v>
      </c>
      <c r="E14" t="s">
        <v>754</v>
      </c>
      <c r="F14" t="s">
        <v>2</v>
      </c>
      <c r="G14" t="s">
        <v>50</v>
      </c>
    </row>
    <row r="15" spans="1:7">
      <c r="A15" t="s">
        <v>114</v>
      </c>
      <c r="B15" s="17">
        <f t="array" ref="B15">SUM(IF('TEA data'!$A$4:$A$66='BSM Input'!$D15,IF('TEA data'!$B$4:$B$66='BSM Input'!$E15,IF('TEA data'!$D$4:$D$66='BSM Input'!$F15,IF('TEA data'!$E$4:$E$66='BSM Input'!$G15,'TEA data'!K$4:K$66,""),""),""),""))</f>
        <v>344859.90802547772</v>
      </c>
      <c r="D15" t="s">
        <v>755</v>
      </c>
      <c r="E15" t="s">
        <v>754</v>
      </c>
      <c r="F15" t="s">
        <v>2</v>
      </c>
      <c r="G15" t="s">
        <v>51</v>
      </c>
    </row>
    <row r="16" spans="1:7">
      <c r="A16" t="s">
        <v>115</v>
      </c>
      <c r="B16" s="17">
        <f t="array" ref="B16">SUM(IF('TEA data'!$A$4:$A$66='BSM Input'!$D16,IF('TEA data'!$B$4:$B$66='BSM Input'!$E16,IF('TEA data'!$D$4:$D$66='BSM Input'!$F16,IF('TEA data'!$E$4:$E$66='BSM Input'!$G16,'TEA data'!K$4:K$66,""),""),""),""))</f>
        <v>344859.90802547772</v>
      </c>
      <c r="D16" t="s">
        <v>755</v>
      </c>
      <c r="E16" t="s">
        <v>754</v>
      </c>
      <c r="F16" t="s">
        <v>2</v>
      </c>
      <c r="G16" t="s">
        <v>52</v>
      </c>
    </row>
    <row r="17" spans="1:7">
      <c r="A17" t="s">
        <v>116</v>
      </c>
      <c r="B17" s="17">
        <f t="array" ref="B17">SUM(IF('TEA data'!$A$4:$A$66='BSM Input'!$D17,IF('TEA data'!$B$4:$B$66='BSM Input'!$E17,IF('TEA data'!$D$4:$D$66='BSM Input'!$F17,IF('TEA data'!$E$4:$E$66='BSM Input'!$G17,'TEA data'!K$4:K$66,""),""),""),""))</f>
        <v>0</v>
      </c>
    </row>
    <row r="18" spans="1:7">
      <c r="A18" t="s">
        <v>117</v>
      </c>
      <c r="B18" s="17">
        <f t="array" ref="B18">SUM(IF('TEA data'!$A$4:$A$66='BSM Input'!$D18,IF('TEA data'!$B$4:$B$66='BSM Input'!$E18,IF('TEA data'!$D$4:$D$66='BSM Input'!$F18,IF('TEA data'!$E$4:$E$66='BSM Input'!$G18,'TEA data'!K$4:K$66,""),""),""),""))</f>
        <v>409129.20063694264</v>
      </c>
      <c r="D18" t="s">
        <v>755</v>
      </c>
      <c r="E18" t="s">
        <v>754</v>
      </c>
      <c r="F18" t="s">
        <v>3</v>
      </c>
      <c r="G18" t="s">
        <v>50</v>
      </c>
    </row>
    <row r="19" spans="1:7">
      <c r="A19" t="s">
        <v>118</v>
      </c>
      <c r="B19" s="17">
        <f t="array" ref="B19">SUM(IF('TEA data'!$A$4:$A$66='BSM Input'!$D19,IF('TEA data'!$B$4:$B$66='BSM Input'!$E19,IF('TEA data'!$D$4:$D$66='BSM Input'!$F19,IF('TEA data'!$E$4:$E$66='BSM Input'!$G19,'TEA data'!K$4:K$66,""),""),""),""))</f>
        <v>409129.20063694264</v>
      </c>
      <c r="D19" t="s">
        <v>755</v>
      </c>
      <c r="E19" t="s">
        <v>754</v>
      </c>
      <c r="F19" t="s">
        <v>3</v>
      </c>
      <c r="G19" t="s">
        <v>51</v>
      </c>
    </row>
    <row r="20" spans="1:7">
      <c r="A20" t="s">
        <v>119</v>
      </c>
      <c r="B20" s="17">
        <f t="array" ref="B20">SUM(IF('TEA data'!$A$4:$A$66='BSM Input'!$D20,IF('TEA data'!$B$4:$B$66='BSM Input'!$E20,IF('TEA data'!$D$4:$D$66='BSM Input'!$F20,IF('TEA data'!$E$4:$E$66='BSM Input'!$G20,'TEA data'!K$4:K$66,""),""),""),""))</f>
        <v>409129.20063694264</v>
      </c>
      <c r="D20" t="s">
        <v>755</v>
      </c>
      <c r="E20" t="s">
        <v>754</v>
      </c>
      <c r="F20" t="s">
        <v>3</v>
      </c>
      <c r="G20" t="s">
        <v>52</v>
      </c>
    </row>
    <row r="21" spans="1:7">
      <c r="A21" t="s">
        <v>120</v>
      </c>
      <c r="B21" s="17">
        <f t="array" ref="B21">SUM(IF('TEA data'!$A$4:$A$66='BSM Input'!$D21,IF('TEA data'!$B$4:$B$66='BSM Input'!$E21,IF('TEA data'!$D$4:$D$66='BSM Input'!$F21,IF('TEA data'!$E$4:$E$66='BSM Input'!$G21,'TEA data'!K$4:K$66,""),""),""),""))</f>
        <v>0</v>
      </c>
    </row>
    <row r="22" spans="1:7">
      <c r="A22" t="s">
        <v>121</v>
      </c>
      <c r="B22" s="17">
        <f t="array" ref="B22">SUM(IF('TEA data'!$A$4:$A$66='BSM Input'!$D22,IF('TEA data'!$B$4:$B$66='BSM Input'!$E22,IF('TEA data'!$D$4:$D$66='BSM Input'!$F22,IF('TEA data'!$E$4:$E$66='BSM Input'!$G22,'TEA data'!K$4:K$66,""),""),""),""))</f>
        <v>409129.20063694264</v>
      </c>
      <c r="D22" t="s">
        <v>755</v>
      </c>
      <c r="E22" t="s">
        <v>754</v>
      </c>
      <c r="F22" t="s">
        <v>4</v>
      </c>
      <c r="G22" t="s">
        <v>50</v>
      </c>
    </row>
    <row r="23" spans="1:7">
      <c r="A23" t="s">
        <v>122</v>
      </c>
      <c r="B23" s="17">
        <f t="array" ref="B23">SUM(IF('TEA data'!$A$4:$A$66='BSM Input'!$D23,IF('TEA data'!$B$4:$B$66='BSM Input'!$E23,IF('TEA data'!$D$4:$D$66='BSM Input'!$F23,IF('TEA data'!$E$4:$E$66='BSM Input'!$G23,'TEA data'!K$4:K$66,""),""),""),""))</f>
        <v>409129.20063694264</v>
      </c>
      <c r="D23" t="s">
        <v>755</v>
      </c>
      <c r="E23" t="s">
        <v>754</v>
      </c>
      <c r="F23" t="s">
        <v>4</v>
      </c>
      <c r="G23" t="s">
        <v>51</v>
      </c>
    </row>
    <row r="24" spans="1:7">
      <c r="A24" t="s">
        <v>123</v>
      </c>
      <c r="B24" s="17">
        <f t="array" ref="B24">SUM(IF('TEA data'!$A$4:$A$66='BSM Input'!$D24,IF('TEA data'!$B$4:$B$66='BSM Input'!$E24,IF('TEA data'!$D$4:$D$66='BSM Input'!$F24,IF('TEA data'!$E$4:$E$66='BSM Input'!$G24,'TEA data'!K$4:K$66,""),""),""),""))</f>
        <v>409129.20063694264</v>
      </c>
      <c r="D24" t="s">
        <v>755</v>
      </c>
      <c r="E24" t="s">
        <v>754</v>
      </c>
      <c r="F24" t="s">
        <v>4</v>
      </c>
      <c r="G24" t="s">
        <v>52</v>
      </c>
    </row>
    <row r="25" spans="1:7">
      <c r="A25" t="s">
        <v>124</v>
      </c>
      <c r="B25" s="17">
        <f t="array" ref="B25">SUM(IF('TEA data'!$A$4:$A$66='BSM Input'!$D25,IF('TEA data'!$B$4:$B$66='BSM Input'!$E25,IF('TEA data'!$D$4:$D$66='BSM Input'!$F25,IF('TEA data'!$E$4:$E$66='BSM Input'!$G25,'TEA data'!K$4:K$66,""),""),""),""))</f>
        <v>0</v>
      </c>
    </row>
    <row r="26" spans="1:7">
      <c r="A26" t="s">
        <v>125</v>
      </c>
      <c r="B26" s="17">
        <f t="array" ref="B26">SUM(IF('TEA data'!$A$4:$A$66='BSM Input'!$D26,IF('TEA data'!$B$4:$B$66='BSM Input'!$E26,IF('TEA data'!$D$4:$D$66='BSM Input'!$F26,IF('TEA data'!$E$4:$E$66='BSM Input'!$G26,'TEA data'!K$4:K$66,""),""),""),""))</f>
        <v>156587.2535217391</v>
      </c>
      <c r="D26" t="s">
        <v>756</v>
      </c>
      <c r="E26" t="s">
        <v>754</v>
      </c>
      <c r="F26" t="s">
        <v>2</v>
      </c>
      <c r="G26" t="s">
        <v>50</v>
      </c>
    </row>
    <row r="27" spans="1:7">
      <c r="A27" t="s">
        <v>126</v>
      </c>
      <c r="B27" s="17">
        <f t="array" ref="B27">SUM(IF('TEA data'!$A$4:$A$66='BSM Input'!$D27,IF('TEA data'!$B$4:$B$66='BSM Input'!$E27,IF('TEA data'!$D$4:$D$66='BSM Input'!$F27,IF('TEA data'!$E$4:$E$66='BSM Input'!$G27,'TEA data'!K$4:K$66,""),""),""),""))</f>
        <v>156587.2535217391</v>
      </c>
      <c r="D27" t="s">
        <v>756</v>
      </c>
      <c r="E27" t="s">
        <v>754</v>
      </c>
      <c r="F27" t="s">
        <v>2</v>
      </c>
      <c r="G27" t="s">
        <v>51</v>
      </c>
    </row>
    <row r="28" spans="1:7">
      <c r="A28" t="s">
        <v>127</v>
      </c>
      <c r="B28" s="17">
        <f t="array" ref="B28">SUM(IF('TEA data'!$A$4:$A$66='BSM Input'!$D28,IF('TEA data'!$B$4:$B$66='BSM Input'!$E28,IF('TEA data'!$D$4:$D$66='BSM Input'!$F28,IF('TEA data'!$E$4:$E$66='BSM Input'!$G28,'TEA data'!K$4:K$66,""),""),""),""))</f>
        <v>156587.2535217391</v>
      </c>
      <c r="D28" t="s">
        <v>756</v>
      </c>
      <c r="E28" t="s">
        <v>754</v>
      </c>
      <c r="F28" t="s">
        <v>2</v>
      </c>
      <c r="G28" t="s">
        <v>52</v>
      </c>
    </row>
    <row r="29" spans="1:7">
      <c r="A29" t="s">
        <v>128</v>
      </c>
      <c r="B29" s="17">
        <f t="array" ref="B29">SUM(IF('TEA data'!$A$4:$A$66='BSM Input'!$D29,IF('TEA data'!$B$4:$B$66='BSM Input'!$E29,IF('TEA data'!$D$4:$D$66='BSM Input'!$F29,IF('TEA data'!$E$4:$E$66='BSM Input'!$G29,'TEA data'!K$4:K$66,""),""),""),""))</f>
        <v>0</v>
      </c>
    </row>
    <row r="30" spans="1:7">
      <c r="A30" t="s">
        <v>129</v>
      </c>
      <c r="B30" s="17">
        <f t="array" ref="B30">SUM(IF('TEA data'!$A$4:$A$66='BSM Input'!$D30,IF('TEA data'!$B$4:$B$66='BSM Input'!$E30,IF('TEA data'!$D$4:$D$66='BSM Input'!$F30,IF('TEA data'!$E$4:$E$66='BSM Input'!$G30,'TEA data'!K$4:K$66,""),""),""),""))</f>
        <v>156587.2535217391</v>
      </c>
      <c r="D30" t="s">
        <v>756</v>
      </c>
      <c r="E30" t="s">
        <v>754</v>
      </c>
      <c r="F30" t="s">
        <v>3</v>
      </c>
      <c r="G30" t="s">
        <v>50</v>
      </c>
    </row>
    <row r="31" spans="1:7">
      <c r="A31" t="s">
        <v>130</v>
      </c>
      <c r="B31" s="17">
        <f t="array" ref="B31">SUM(IF('TEA data'!$A$4:$A$66='BSM Input'!$D31,IF('TEA data'!$B$4:$B$66='BSM Input'!$E31,IF('TEA data'!$D$4:$D$66='BSM Input'!$F31,IF('TEA data'!$E$4:$E$66='BSM Input'!$G31,'TEA data'!K$4:K$66,""),""),""),""))</f>
        <v>156587.2535217391</v>
      </c>
      <c r="D31" t="s">
        <v>756</v>
      </c>
      <c r="E31" t="s">
        <v>754</v>
      </c>
      <c r="F31" t="s">
        <v>3</v>
      </c>
      <c r="G31" t="s">
        <v>51</v>
      </c>
    </row>
    <row r="32" spans="1:7">
      <c r="A32" t="s">
        <v>131</v>
      </c>
      <c r="B32" s="17">
        <f t="array" ref="B32">SUM(IF('TEA data'!$A$4:$A$66='BSM Input'!$D32,IF('TEA data'!$B$4:$B$66='BSM Input'!$E32,IF('TEA data'!$D$4:$D$66='BSM Input'!$F32,IF('TEA data'!$E$4:$E$66='BSM Input'!$G32,'TEA data'!K$4:K$66,""),""),""),""))</f>
        <v>156587.2535217391</v>
      </c>
      <c r="D32" t="s">
        <v>756</v>
      </c>
      <c r="E32" t="s">
        <v>754</v>
      </c>
      <c r="F32" t="s">
        <v>3</v>
      </c>
      <c r="G32" t="s">
        <v>52</v>
      </c>
    </row>
    <row r="33" spans="1:7">
      <c r="A33" t="s">
        <v>132</v>
      </c>
      <c r="B33" s="17">
        <f t="array" ref="B33">SUM(IF('TEA data'!$A$4:$A$66='BSM Input'!$D33,IF('TEA data'!$B$4:$B$66='BSM Input'!$E33,IF('TEA data'!$D$4:$D$66='BSM Input'!$F33,IF('TEA data'!$E$4:$E$66='BSM Input'!$G33,'TEA data'!K$4:K$66,""),""),""),""))</f>
        <v>0</v>
      </c>
    </row>
    <row r="34" spans="1:7">
      <c r="A34" t="s">
        <v>133</v>
      </c>
      <c r="B34" s="17">
        <f t="array" ref="B34">SUM(IF('TEA data'!$A$4:$A$66='BSM Input'!$D34,IF('TEA data'!$B$4:$B$66='BSM Input'!$E34,IF('TEA data'!$D$4:$D$66='BSM Input'!$F34,IF('TEA data'!$E$4:$E$66='BSM Input'!$G34,'TEA data'!K$4:K$66,""),""),""),""))</f>
        <v>156587.2535217391</v>
      </c>
      <c r="D34" t="s">
        <v>756</v>
      </c>
      <c r="E34" t="s">
        <v>754</v>
      </c>
      <c r="F34" t="s">
        <v>4</v>
      </c>
      <c r="G34" t="s">
        <v>50</v>
      </c>
    </row>
    <row r="35" spans="1:7">
      <c r="A35" t="s">
        <v>134</v>
      </c>
      <c r="B35" s="17">
        <f t="array" ref="B35">SUM(IF('TEA data'!$A$4:$A$66='BSM Input'!$D35,IF('TEA data'!$B$4:$B$66='BSM Input'!$E35,IF('TEA data'!$D$4:$D$66='BSM Input'!$F35,IF('TEA data'!$E$4:$E$66='BSM Input'!$G35,'TEA data'!K$4:K$66,""),""),""),""))</f>
        <v>156587.2535217391</v>
      </c>
      <c r="D35" t="s">
        <v>756</v>
      </c>
      <c r="E35" t="s">
        <v>754</v>
      </c>
      <c r="F35" t="s">
        <v>4</v>
      </c>
      <c r="G35" t="s">
        <v>51</v>
      </c>
    </row>
    <row r="36" spans="1:7">
      <c r="A36" t="s">
        <v>135</v>
      </c>
      <c r="B36" s="17">
        <f t="array" ref="B36">SUM(IF('TEA data'!$A$4:$A$66='BSM Input'!$D36,IF('TEA data'!$B$4:$B$66='BSM Input'!$E36,IF('TEA data'!$D$4:$D$66='BSM Input'!$F36,IF('TEA data'!$E$4:$E$66='BSM Input'!$G36,'TEA data'!K$4:K$66,""),""),""),""))</f>
        <v>156587.2535217391</v>
      </c>
      <c r="D36" t="s">
        <v>756</v>
      </c>
      <c r="E36" t="s">
        <v>754</v>
      </c>
      <c r="F36" t="s">
        <v>4</v>
      </c>
      <c r="G36" t="s">
        <v>52</v>
      </c>
    </row>
    <row r="37" spans="1:7">
      <c r="A37" t="s">
        <v>136</v>
      </c>
      <c r="B37" s="17">
        <f t="array" ref="B37">SUM(IF('TEA data'!$A$4:$A$66='BSM Input'!$D37,IF('TEA data'!$B$4:$B$66='BSM Input'!$E37,IF('TEA data'!$D$4:$D$66='BSM Input'!$F37,IF('TEA data'!$E$4:$E$66='BSM Input'!$G37,'TEA data'!K$4:K$66,""),""),""),""))</f>
        <v>0</v>
      </c>
    </row>
    <row r="38" spans="1:7">
      <c r="A38" t="s">
        <v>137</v>
      </c>
      <c r="B38" s="17">
        <f t="array" ref="B38">SUM(IF('TEA data'!$A$4:$A$66='BSM Input'!$D38,IF('TEA data'!$B$4:$B$66='BSM Input'!$E38,IF('TEA data'!$D$4:$D$66='BSM Input'!$F38,IF('TEA data'!$E$4:$E$66='BSM Input'!$G38,'TEA data'!K$4:K$66,""),""),""),""))</f>
        <v>0</v>
      </c>
      <c r="D38" t="s">
        <v>753</v>
      </c>
      <c r="E38" t="s">
        <v>757</v>
      </c>
      <c r="F38" t="s">
        <v>2</v>
      </c>
      <c r="G38" t="s">
        <v>50</v>
      </c>
    </row>
    <row r="39" spans="1:7">
      <c r="A39" t="s">
        <v>138</v>
      </c>
      <c r="B39" s="17">
        <f t="array" ref="B39">SUM(IF('TEA data'!$A$4:$A$66='BSM Input'!$D39,IF('TEA data'!$B$4:$B$66='BSM Input'!$E39,IF('TEA data'!$D$4:$D$66='BSM Input'!$F39,IF('TEA data'!$E$4:$E$66='BSM Input'!$G39,'TEA data'!K$4:K$66,""),""),""),""))</f>
        <v>0</v>
      </c>
      <c r="D39" t="s">
        <v>753</v>
      </c>
      <c r="E39" t="s">
        <v>757</v>
      </c>
      <c r="F39" t="s">
        <v>2</v>
      </c>
      <c r="G39" t="s">
        <v>51</v>
      </c>
    </row>
    <row r="40" spans="1:7">
      <c r="A40" t="s">
        <v>139</v>
      </c>
      <c r="B40" s="17">
        <f t="array" ref="B40">SUM(IF('TEA data'!$A$4:$A$66='BSM Input'!$D40,IF('TEA data'!$B$4:$B$66='BSM Input'!$E40,IF('TEA data'!$D$4:$D$66='BSM Input'!$F40,IF('TEA data'!$E$4:$E$66='BSM Input'!$G40,'TEA data'!K$4:K$66,""),""),""),""))</f>
        <v>0</v>
      </c>
      <c r="D40" t="s">
        <v>753</v>
      </c>
      <c r="E40" t="s">
        <v>757</v>
      </c>
      <c r="F40" t="s">
        <v>2</v>
      </c>
      <c r="G40" t="s">
        <v>52</v>
      </c>
    </row>
    <row r="41" spans="1:7">
      <c r="A41" t="s">
        <v>140</v>
      </c>
      <c r="B41" s="17">
        <f t="array" ref="B41">SUM(IF('TEA data'!$A$4:$A$66='BSM Input'!$D41,IF('TEA data'!$B$4:$B$66='BSM Input'!$E41,IF('TEA data'!$D$4:$D$66='BSM Input'!$F41,IF('TEA data'!$E$4:$E$66='BSM Input'!$G41,'TEA data'!K$4:K$66,""),""),""),""))</f>
        <v>0</v>
      </c>
    </row>
    <row r="42" spans="1:7">
      <c r="A42" t="s">
        <v>141</v>
      </c>
      <c r="B42" s="17">
        <f t="array" ref="B42">SUM(IF('TEA data'!$A$4:$A$66='BSM Input'!$D42,IF('TEA data'!$B$4:$B$66='BSM Input'!$E42,IF('TEA data'!$D$4:$D$66='BSM Input'!$F42,IF('TEA data'!$E$4:$E$66='BSM Input'!$G42,'TEA data'!K$4:K$66,""),""),""),""))</f>
        <v>0</v>
      </c>
      <c r="D42" t="s">
        <v>753</v>
      </c>
      <c r="E42" t="s">
        <v>757</v>
      </c>
      <c r="F42" t="s">
        <v>3</v>
      </c>
      <c r="G42" t="s">
        <v>50</v>
      </c>
    </row>
    <row r="43" spans="1:7">
      <c r="A43" t="s">
        <v>142</v>
      </c>
      <c r="B43" s="17">
        <f t="array" ref="B43">SUM(IF('TEA data'!$A$4:$A$66='BSM Input'!$D43,IF('TEA data'!$B$4:$B$66='BSM Input'!$E43,IF('TEA data'!$D$4:$D$66='BSM Input'!$F43,IF('TEA data'!$E$4:$E$66='BSM Input'!$G43,'TEA data'!K$4:K$66,""),""),""),""))</f>
        <v>0</v>
      </c>
      <c r="D43" t="s">
        <v>753</v>
      </c>
      <c r="E43" t="s">
        <v>757</v>
      </c>
      <c r="F43" t="s">
        <v>3</v>
      </c>
      <c r="G43" t="s">
        <v>51</v>
      </c>
    </row>
    <row r="44" spans="1:7">
      <c r="A44" t="s">
        <v>143</v>
      </c>
      <c r="B44" s="17">
        <f t="array" ref="B44">SUM(IF('TEA data'!$A$4:$A$66='BSM Input'!$D44,IF('TEA data'!$B$4:$B$66='BSM Input'!$E44,IF('TEA data'!$D$4:$D$66='BSM Input'!$F44,IF('TEA data'!$E$4:$E$66='BSM Input'!$G44,'TEA data'!K$4:K$66,""),""),""),""))</f>
        <v>0</v>
      </c>
      <c r="D44" t="s">
        <v>753</v>
      </c>
      <c r="E44" t="s">
        <v>757</v>
      </c>
      <c r="F44" t="s">
        <v>3</v>
      </c>
      <c r="G44" t="s">
        <v>52</v>
      </c>
    </row>
    <row r="45" spans="1:7">
      <c r="A45" t="s">
        <v>144</v>
      </c>
      <c r="B45" s="17">
        <f t="array" ref="B45">SUM(IF('TEA data'!$A$4:$A$66='BSM Input'!$D45,IF('TEA data'!$B$4:$B$66='BSM Input'!$E45,IF('TEA data'!$D$4:$D$66='BSM Input'!$F45,IF('TEA data'!$E$4:$E$66='BSM Input'!$G45,'TEA data'!K$4:K$66,""),""),""),""))</f>
        <v>0</v>
      </c>
    </row>
    <row r="46" spans="1:7">
      <c r="A46" t="s">
        <v>145</v>
      </c>
      <c r="B46" s="17">
        <f t="array" ref="B46">SUM(IF('TEA data'!$A$4:$A$66='BSM Input'!$D46,IF('TEA data'!$B$4:$B$66='BSM Input'!$E46,IF('TEA data'!$D$4:$D$66='BSM Input'!$F46,IF('TEA data'!$E$4:$E$66='BSM Input'!$G46,'TEA data'!K$4:K$66,""),""),""),""))</f>
        <v>141934.78095238094</v>
      </c>
      <c r="D46" t="s">
        <v>753</v>
      </c>
      <c r="E46" t="s">
        <v>757</v>
      </c>
      <c r="F46" t="s">
        <v>4</v>
      </c>
      <c r="G46" t="s">
        <v>50</v>
      </c>
    </row>
    <row r="47" spans="1:7">
      <c r="A47" t="s">
        <v>146</v>
      </c>
      <c r="B47" s="17">
        <f t="array" ref="B47">SUM(IF('TEA data'!$A$4:$A$66='BSM Input'!$D47,IF('TEA data'!$B$4:$B$66='BSM Input'!$E47,IF('TEA data'!$D$4:$D$66='BSM Input'!$F47,IF('TEA data'!$E$4:$E$66='BSM Input'!$G47,'TEA data'!K$4:K$66,""),""),""),""))</f>
        <v>141934.78095238094</v>
      </c>
      <c r="D47" t="s">
        <v>753</v>
      </c>
      <c r="E47" t="s">
        <v>757</v>
      </c>
      <c r="F47" t="s">
        <v>4</v>
      </c>
      <c r="G47" t="s">
        <v>51</v>
      </c>
    </row>
    <row r="48" spans="1:7">
      <c r="A48" t="s">
        <v>147</v>
      </c>
      <c r="B48" s="17">
        <f t="array" ref="B48">SUM(IF('TEA data'!$A$4:$A$66='BSM Input'!$D48,IF('TEA data'!$B$4:$B$66='BSM Input'!$E48,IF('TEA data'!$D$4:$D$66='BSM Input'!$F48,IF('TEA data'!$E$4:$E$66='BSM Input'!$G48,'TEA data'!K$4:K$66,""),""),""),""))</f>
        <v>141934.78095238094</v>
      </c>
      <c r="D48" t="s">
        <v>753</v>
      </c>
      <c r="E48" t="s">
        <v>757</v>
      </c>
      <c r="F48" t="s">
        <v>4</v>
      </c>
      <c r="G48" t="s">
        <v>52</v>
      </c>
    </row>
    <row r="49" spans="1:7">
      <c r="A49" t="s">
        <v>148</v>
      </c>
      <c r="B49" s="17">
        <f t="array" ref="B49">SUM(IF('TEA data'!$A$4:$A$66='BSM Input'!$D49,IF('TEA data'!$B$4:$B$66='BSM Input'!$E49,IF('TEA data'!$D$4:$D$66='BSM Input'!$F49,IF('TEA data'!$E$4:$E$66='BSM Input'!$G49,'TEA data'!K$4:K$66,""),""),""),""))</f>
        <v>0</v>
      </c>
    </row>
    <row r="50" spans="1:7">
      <c r="A50" t="s">
        <v>149</v>
      </c>
      <c r="B50" s="17">
        <f t="array" ref="B50">SUM(IF('TEA data'!$A$4:$A$66='BSM Input'!$D50,IF('TEA data'!$B$4:$B$66='BSM Input'!$E50,IF('TEA data'!$D$4:$D$66='BSM Input'!$F50,IF('TEA data'!$E$4:$E$66='BSM Input'!$G50,'TEA data'!K$4:K$66,""),""),""),""))</f>
        <v>670501.61684210529</v>
      </c>
      <c r="D50" t="s">
        <v>755</v>
      </c>
      <c r="E50" t="s">
        <v>757</v>
      </c>
      <c r="F50" t="s">
        <v>2</v>
      </c>
      <c r="G50" t="s">
        <v>50</v>
      </c>
    </row>
    <row r="51" spans="1:7">
      <c r="A51" t="s">
        <v>150</v>
      </c>
      <c r="B51" s="17">
        <f t="array" ref="B51">SUM(IF('TEA data'!$A$4:$A$66='BSM Input'!$D51,IF('TEA data'!$B$4:$B$66='BSM Input'!$E51,IF('TEA data'!$D$4:$D$66='BSM Input'!$F51,IF('TEA data'!$E$4:$E$66='BSM Input'!$G51,'TEA data'!K$4:K$66,""),""),""),""))</f>
        <v>670501.61684210529</v>
      </c>
      <c r="D51" t="s">
        <v>755</v>
      </c>
      <c r="E51" t="s">
        <v>757</v>
      </c>
      <c r="F51" t="s">
        <v>2</v>
      </c>
      <c r="G51" t="s">
        <v>51</v>
      </c>
    </row>
    <row r="52" spans="1:7">
      <c r="A52" t="s">
        <v>151</v>
      </c>
      <c r="B52" s="17">
        <f t="array" ref="B52">SUM(IF('TEA data'!$A$4:$A$66='BSM Input'!$D52,IF('TEA data'!$B$4:$B$66='BSM Input'!$E52,IF('TEA data'!$D$4:$D$66='BSM Input'!$F52,IF('TEA data'!$E$4:$E$66='BSM Input'!$G52,'TEA data'!K$4:K$66,""),""),""),""))</f>
        <v>670501.61684210529</v>
      </c>
      <c r="D52" t="s">
        <v>755</v>
      </c>
      <c r="E52" t="s">
        <v>757</v>
      </c>
      <c r="F52" t="s">
        <v>2</v>
      </c>
      <c r="G52" t="s">
        <v>52</v>
      </c>
    </row>
    <row r="53" spans="1:7">
      <c r="A53" t="s">
        <v>152</v>
      </c>
      <c r="B53" s="17">
        <f t="array" ref="B53">SUM(IF('TEA data'!$A$4:$A$66='BSM Input'!$D53,IF('TEA data'!$B$4:$B$66='BSM Input'!$E53,IF('TEA data'!$D$4:$D$66='BSM Input'!$F53,IF('TEA data'!$E$4:$E$66='BSM Input'!$G53,'TEA data'!K$4:K$66,""),""),""),""))</f>
        <v>0</v>
      </c>
    </row>
    <row r="54" spans="1:7">
      <c r="A54" t="s">
        <v>153</v>
      </c>
      <c r="B54" s="17">
        <f t="array" ref="B54">SUM(IF('TEA data'!$A$4:$A$66='BSM Input'!$D54,IF('TEA data'!$B$4:$B$66='BSM Input'!$E54,IF('TEA data'!$D$4:$D$66='BSM Input'!$F54,IF('TEA data'!$E$4:$E$66='BSM Input'!$G54,'TEA data'!K$4:K$66,""),""),""),""))</f>
        <v>795458.63157894742</v>
      </c>
      <c r="D54" t="s">
        <v>755</v>
      </c>
      <c r="E54" t="s">
        <v>757</v>
      </c>
      <c r="F54" t="s">
        <v>3</v>
      </c>
      <c r="G54" t="s">
        <v>50</v>
      </c>
    </row>
    <row r="55" spans="1:7">
      <c r="A55" t="s">
        <v>154</v>
      </c>
      <c r="B55" s="17">
        <f t="array" ref="B55">SUM(IF('TEA data'!$A$4:$A$66='BSM Input'!$D55,IF('TEA data'!$B$4:$B$66='BSM Input'!$E55,IF('TEA data'!$D$4:$D$66='BSM Input'!$F55,IF('TEA data'!$E$4:$E$66='BSM Input'!$G55,'TEA data'!K$4:K$66,""),""),""),""))</f>
        <v>795458.63157894742</v>
      </c>
      <c r="D55" t="s">
        <v>755</v>
      </c>
      <c r="E55" t="s">
        <v>757</v>
      </c>
      <c r="F55" t="s">
        <v>3</v>
      </c>
      <c r="G55" t="s">
        <v>51</v>
      </c>
    </row>
    <row r="56" spans="1:7">
      <c r="A56" t="s">
        <v>155</v>
      </c>
      <c r="B56" s="17">
        <f t="array" ref="B56">SUM(IF('TEA data'!$A$4:$A$66='BSM Input'!$D56,IF('TEA data'!$B$4:$B$66='BSM Input'!$E56,IF('TEA data'!$D$4:$D$66='BSM Input'!$F56,IF('TEA data'!$E$4:$E$66='BSM Input'!$G56,'TEA data'!K$4:K$66,""),""),""),""))</f>
        <v>795458.63157894742</v>
      </c>
      <c r="D56" t="s">
        <v>755</v>
      </c>
      <c r="E56" t="s">
        <v>757</v>
      </c>
      <c r="F56" t="s">
        <v>3</v>
      </c>
      <c r="G56" t="s">
        <v>52</v>
      </c>
    </row>
    <row r="57" spans="1:7">
      <c r="A57" t="s">
        <v>156</v>
      </c>
      <c r="B57" s="17">
        <f t="array" ref="B57">SUM(IF('TEA data'!$A$4:$A$66='BSM Input'!$D57,IF('TEA data'!$B$4:$B$66='BSM Input'!$E57,IF('TEA data'!$D$4:$D$66='BSM Input'!$F57,IF('TEA data'!$E$4:$E$66='BSM Input'!$G57,'TEA data'!K$4:K$66,""),""),""),""))</f>
        <v>0</v>
      </c>
    </row>
    <row r="58" spans="1:7">
      <c r="A58" t="s">
        <v>157</v>
      </c>
      <c r="B58" s="17">
        <f t="array" ref="B58">SUM(IF('TEA data'!$A$4:$A$66='BSM Input'!$D58,IF('TEA data'!$B$4:$B$66='BSM Input'!$E58,IF('TEA data'!$D$4:$D$66='BSM Input'!$F58,IF('TEA data'!$E$4:$E$66='BSM Input'!$G58,'TEA data'!K$4:K$66,""),""),""),""))</f>
        <v>795458.63157894742</v>
      </c>
      <c r="D58" t="s">
        <v>755</v>
      </c>
      <c r="E58" t="s">
        <v>757</v>
      </c>
      <c r="F58" t="s">
        <v>4</v>
      </c>
      <c r="G58" t="s">
        <v>50</v>
      </c>
    </row>
    <row r="59" spans="1:7">
      <c r="A59" t="s">
        <v>158</v>
      </c>
      <c r="B59" s="17">
        <f t="array" ref="B59">SUM(IF('TEA data'!$A$4:$A$66='BSM Input'!$D59,IF('TEA data'!$B$4:$B$66='BSM Input'!$E59,IF('TEA data'!$D$4:$D$66='BSM Input'!$F59,IF('TEA data'!$E$4:$E$66='BSM Input'!$G59,'TEA data'!K$4:K$66,""),""),""),""))</f>
        <v>795458.63157894742</v>
      </c>
      <c r="D59" t="s">
        <v>755</v>
      </c>
      <c r="E59" t="s">
        <v>757</v>
      </c>
      <c r="F59" t="s">
        <v>4</v>
      </c>
      <c r="G59" t="s">
        <v>51</v>
      </c>
    </row>
    <row r="60" spans="1:7">
      <c r="A60" t="s">
        <v>159</v>
      </c>
      <c r="B60" s="17">
        <f t="array" ref="B60">SUM(IF('TEA data'!$A$4:$A$66='BSM Input'!$D60,IF('TEA data'!$B$4:$B$66='BSM Input'!$E60,IF('TEA data'!$D$4:$D$66='BSM Input'!$F60,IF('TEA data'!$E$4:$E$66='BSM Input'!$G60,'TEA data'!K$4:K$66,""),""),""),""))</f>
        <v>795458.63157894742</v>
      </c>
      <c r="D60" t="s">
        <v>755</v>
      </c>
      <c r="E60" t="s">
        <v>757</v>
      </c>
      <c r="F60" t="s">
        <v>4</v>
      </c>
      <c r="G60" t="s">
        <v>52</v>
      </c>
    </row>
    <row r="61" spans="1:7">
      <c r="A61" t="s">
        <v>160</v>
      </c>
      <c r="B61" s="17">
        <f t="array" ref="B61">SUM(IF('TEA data'!$A$4:$A$66='BSM Input'!$D61,IF('TEA data'!$B$4:$B$66='BSM Input'!$E61,IF('TEA data'!$D$4:$D$66='BSM Input'!$F61,IF('TEA data'!$E$4:$E$66='BSM Input'!$G61,'TEA data'!K$4:K$66,""),""),""),""))</f>
        <v>0</v>
      </c>
    </row>
    <row r="62" spans="1:7">
      <c r="A62" t="s">
        <v>161</v>
      </c>
      <c r="B62" s="17">
        <f t="array" ref="B62">SUM(IF('TEA data'!$A$4:$A$66='BSM Input'!$D62,IF('TEA data'!$B$4:$B$66='BSM Input'!$E62,IF('TEA data'!$D$4:$D$66='BSM Input'!$F62,IF('TEA data'!$E$4:$E$66='BSM Input'!$G62,'TEA data'!K$4:K$66,""),""),""),""))</f>
        <v>306421.90986363631</v>
      </c>
      <c r="D62" t="s">
        <v>756</v>
      </c>
      <c r="E62" t="s">
        <v>757</v>
      </c>
      <c r="F62" t="s">
        <v>2</v>
      </c>
      <c r="G62" t="s">
        <v>50</v>
      </c>
    </row>
    <row r="63" spans="1:7">
      <c r="A63" t="s">
        <v>162</v>
      </c>
      <c r="B63" s="17">
        <f t="array" ref="B63">SUM(IF('TEA data'!$A$4:$A$66='BSM Input'!$D63,IF('TEA data'!$B$4:$B$66='BSM Input'!$E63,IF('TEA data'!$D$4:$D$66='BSM Input'!$F63,IF('TEA data'!$E$4:$E$66='BSM Input'!$G63,'TEA data'!K$4:K$66,""),""),""),""))</f>
        <v>306421.90986363631</v>
      </c>
      <c r="D63" t="s">
        <v>756</v>
      </c>
      <c r="E63" t="s">
        <v>757</v>
      </c>
      <c r="F63" t="s">
        <v>2</v>
      </c>
      <c r="G63" t="s">
        <v>51</v>
      </c>
    </row>
    <row r="64" spans="1:7">
      <c r="A64" t="s">
        <v>163</v>
      </c>
      <c r="B64" s="17">
        <f t="array" ref="B64">SUM(IF('TEA data'!$A$4:$A$66='BSM Input'!$D64,IF('TEA data'!$B$4:$B$66='BSM Input'!$E64,IF('TEA data'!$D$4:$D$66='BSM Input'!$F64,IF('TEA data'!$E$4:$E$66='BSM Input'!$G64,'TEA data'!K$4:K$66,""),""),""),""))</f>
        <v>306421.90986363631</v>
      </c>
      <c r="D64" t="s">
        <v>756</v>
      </c>
      <c r="E64" t="s">
        <v>757</v>
      </c>
      <c r="F64" t="s">
        <v>2</v>
      </c>
      <c r="G64" t="s">
        <v>52</v>
      </c>
    </row>
    <row r="65" spans="1:7">
      <c r="A65" t="s">
        <v>164</v>
      </c>
      <c r="B65" s="17">
        <f t="array" ref="B65">SUM(IF('TEA data'!$A$4:$A$66='BSM Input'!$D65,IF('TEA data'!$B$4:$B$66='BSM Input'!$E65,IF('TEA data'!$D$4:$D$66='BSM Input'!$F65,IF('TEA data'!$E$4:$E$66='BSM Input'!$G65,'TEA data'!K$4:K$66,""),""),""),""))</f>
        <v>0</v>
      </c>
    </row>
    <row r="66" spans="1:7">
      <c r="A66" t="s">
        <v>165</v>
      </c>
      <c r="B66" s="17">
        <f t="array" ref="B66">SUM(IF('TEA data'!$A$4:$A$66='BSM Input'!$D66,IF('TEA data'!$B$4:$B$66='BSM Input'!$E66,IF('TEA data'!$D$4:$D$66='BSM Input'!$F66,IF('TEA data'!$E$4:$E$66='BSM Input'!$G66,'TEA data'!K$4:K$66,""),""),""),""))</f>
        <v>306421.90986363631</v>
      </c>
      <c r="D66" t="s">
        <v>756</v>
      </c>
      <c r="E66" t="s">
        <v>757</v>
      </c>
      <c r="F66" t="s">
        <v>3</v>
      </c>
      <c r="G66" t="s">
        <v>50</v>
      </c>
    </row>
    <row r="67" spans="1:7">
      <c r="A67" t="s">
        <v>166</v>
      </c>
      <c r="B67" s="17">
        <f t="array" ref="B67">SUM(IF('TEA data'!$A$4:$A$66='BSM Input'!$D67,IF('TEA data'!$B$4:$B$66='BSM Input'!$E67,IF('TEA data'!$D$4:$D$66='BSM Input'!$F67,IF('TEA data'!$E$4:$E$66='BSM Input'!$G67,'TEA data'!K$4:K$66,""),""),""),""))</f>
        <v>306421.90986363631</v>
      </c>
      <c r="D67" t="s">
        <v>756</v>
      </c>
      <c r="E67" t="s">
        <v>757</v>
      </c>
      <c r="F67" t="s">
        <v>3</v>
      </c>
      <c r="G67" t="s">
        <v>51</v>
      </c>
    </row>
    <row r="68" spans="1:7">
      <c r="A68" t="s">
        <v>167</v>
      </c>
      <c r="B68" s="17">
        <f t="array" ref="B68">SUM(IF('TEA data'!$A$4:$A$66='BSM Input'!$D68,IF('TEA data'!$B$4:$B$66='BSM Input'!$E68,IF('TEA data'!$D$4:$D$66='BSM Input'!$F68,IF('TEA data'!$E$4:$E$66='BSM Input'!$G68,'TEA data'!K$4:K$66,""),""),""),""))</f>
        <v>306421.90986363631</v>
      </c>
      <c r="D68" t="s">
        <v>756</v>
      </c>
      <c r="E68" t="s">
        <v>757</v>
      </c>
      <c r="F68" t="s">
        <v>3</v>
      </c>
      <c r="G68" t="s">
        <v>52</v>
      </c>
    </row>
    <row r="69" spans="1:7">
      <c r="A69" t="s">
        <v>168</v>
      </c>
      <c r="B69" s="17">
        <f t="array" ref="B69">SUM(IF('TEA data'!$A$4:$A$66='BSM Input'!$D69,IF('TEA data'!$B$4:$B$66='BSM Input'!$E69,IF('TEA data'!$D$4:$D$66='BSM Input'!$F69,IF('TEA data'!$E$4:$E$66='BSM Input'!$G69,'TEA data'!K$4:K$66,""),""),""),""))</f>
        <v>0</v>
      </c>
    </row>
    <row r="70" spans="1:7">
      <c r="A70" t="s">
        <v>169</v>
      </c>
      <c r="B70" s="17">
        <f t="array" ref="B70">SUM(IF('TEA data'!$A$4:$A$66='BSM Input'!$D70,IF('TEA data'!$B$4:$B$66='BSM Input'!$E70,IF('TEA data'!$D$4:$D$66='BSM Input'!$F70,IF('TEA data'!$E$4:$E$66='BSM Input'!$G70,'TEA data'!K$4:K$66,""),""),""),""))</f>
        <v>306421.90986363631</v>
      </c>
      <c r="D70" t="s">
        <v>756</v>
      </c>
      <c r="E70" t="s">
        <v>757</v>
      </c>
      <c r="F70" t="s">
        <v>4</v>
      </c>
      <c r="G70" t="s">
        <v>50</v>
      </c>
    </row>
    <row r="71" spans="1:7">
      <c r="A71" t="s">
        <v>170</v>
      </c>
      <c r="B71" s="17">
        <f t="array" ref="B71">SUM(IF('TEA data'!$A$4:$A$66='BSM Input'!$D71,IF('TEA data'!$B$4:$B$66='BSM Input'!$E71,IF('TEA data'!$D$4:$D$66='BSM Input'!$F71,IF('TEA data'!$E$4:$E$66='BSM Input'!$G71,'TEA data'!K$4:K$66,""),""),""),""))</f>
        <v>306421.90986363631</v>
      </c>
      <c r="D71" t="s">
        <v>756</v>
      </c>
      <c r="E71" t="s">
        <v>757</v>
      </c>
      <c r="F71" t="s">
        <v>4</v>
      </c>
      <c r="G71" t="s">
        <v>51</v>
      </c>
    </row>
    <row r="72" spans="1:7">
      <c r="A72" t="s">
        <v>171</v>
      </c>
      <c r="B72" s="17">
        <f t="array" ref="B72">SUM(IF('TEA data'!$A$4:$A$66='BSM Input'!$D72,IF('TEA data'!$B$4:$B$66='BSM Input'!$E72,IF('TEA data'!$D$4:$D$66='BSM Input'!$F72,IF('TEA data'!$E$4:$E$66='BSM Input'!$G72,'TEA data'!K$4:K$66,""),""),""),""))</f>
        <v>306421.90986363631</v>
      </c>
      <c r="D72" t="s">
        <v>756</v>
      </c>
      <c r="E72" t="s">
        <v>757</v>
      </c>
      <c r="F72" t="s">
        <v>4</v>
      </c>
      <c r="G72" t="s">
        <v>52</v>
      </c>
    </row>
    <row r="73" spans="1:7">
      <c r="A73" t="s">
        <v>172</v>
      </c>
      <c r="B73" s="17">
        <f t="array" ref="B73">SUM(IF('TEA data'!$A$4:$A$66='BSM Input'!$D73,IF('TEA data'!$B$4:$B$66='BSM Input'!$E73,IF('TEA data'!$D$4:$D$66='BSM Input'!$F73,IF('TEA data'!$E$4:$E$66='BSM Input'!$G73,'TEA data'!K$4:K$66,""),""),""),""))</f>
        <v>0</v>
      </c>
    </row>
    <row r="74" spans="1:7">
      <c r="A74" t="s">
        <v>173</v>
      </c>
      <c r="B74" s="17">
        <f t="array" ref="B74">SUM(IF('TEA data'!$A$4:$A$66='BSM Input'!$D74,IF('TEA data'!$B$4:$B$66='BSM Input'!$E74,IF('TEA data'!$D$4:$D$66='BSM Input'!$F74,IF('TEA data'!$E$4:$E$66='BSM Input'!$G74,'TEA data'!K$4:K$66,""),""),""),""))</f>
        <v>0</v>
      </c>
      <c r="D74" t="s">
        <v>753</v>
      </c>
      <c r="E74" t="s">
        <v>758</v>
      </c>
      <c r="F74" t="s">
        <v>2</v>
      </c>
      <c r="G74" t="s">
        <v>50</v>
      </c>
    </row>
    <row r="75" spans="1:7">
      <c r="A75" t="s">
        <v>174</v>
      </c>
      <c r="B75" s="17">
        <f t="array" ref="B75">SUM(IF('TEA data'!$A$4:$A$66='BSM Input'!$D75,IF('TEA data'!$B$4:$B$66='BSM Input'!$E75,IF('TEA data'!$D$4:$D$66='BSM Input'!$F75,IF('TEA data'!$E$4:$E$66='BSM Input'!$G75,'TEA data'!K$4:K$66,""),""),""),""))</f>
        <v>0</v>
      </c>
      <c r="D75" t="s">
        <v>753</v>
      </c>
      <c r="E75" t="s">
        <v>758</v>
      </c>
      <c r="F75" t="s">
        <v>2</v>
      </c>
      <c r="G75" t="s">
        <v>51</v>
      </c>
    </row>
    <row r="76" spans="1:7">
      <c r="A76" t="s">
        <v>175</v>
      </c>
      <c r="B76" s="17">
        <f t="array" ref="B76">SUM(IF('TEA data'!$A$4:$A$66='BSM Input'!$D76,IF('TEA data'!$B$4:$B$66='BSM Input'!$E76,IF('TEA data'!$D$4:$D$66='BSM Input'!$F76,IF('TEA data'!$E$4:$E$66='BSM Input'!$G76,'TEA data'!K$4:K$66,""),""),""),""))</f>
        <v>0</v>
      </c>
      <c r="D76" t="s">
        <v>753</v>
      </c>
      <c r="E76" t="s">
        <v>758</v>
      </c>
      <c r="F76" t="s">
        <v>2</v>
      </c>
      <c r="G76" t="s">
        <v>52</v>
      </c>
    </row>
    <row r="77" spans="1:7">
      <c r="A77" t="s">
        <v>176</v>
      </c>
      <c r="B77" s="17">
        <f t="array" ref="B77">SUM(IF('TEA data'!$A$4:$A$66='BSM Input'!$D77,IF('TEA data'!$B$4:$B$66='BSM Input'!$E77,IF('TEA data'!$D$4:$D$66='BSM Input'!$F77,IF('TEA data'!$E$4:$E$66='BSM Input'!$G77,'TEA data'!K$4:K$66,""),""),""),""))</f>
        <v>0</v>
      </c>
    </row>
    <row r="78" spans="1:7">
      <c r="A78" t="s">
        <v>177</v>
      </c>
      <c r="B78" s="17">
        <f t="array" ref="B78">SUM(IF('TEA data'!$A$4:$A$66='BSM Input'!$D78,IF('TEA data'!$B$4:$B$66='BSM Input'!$E78,IF('TEA data'!$D$4:$D$66='BSM Input'!$F78,IF('TEA data'!$E$4:$E$66='BSM Input'!$G78,'TEA data'!K$4:K$66,""),""),""),""))</f>
        <v>0</v>
      </c>
      <c r="D78" t="s">
        <v>753</v>
      </c>
      <c r="E78" t="s">
        <v>758</v>
      </c>
      <c r="F78" t="s">
        <v>3</v>
      </c>
      <c r="G78" t="s">
        <v>50</v>
      </c>
    </row>
    <row r="79" spans="1:7">
      <c r="A79" t="s">
        <v>178</v>
      </c>
      <c r="B79" s="17">
        <f t="array" ref="B79">SUM(IF('TEA data'!$A$4:$A$66='BSM Input'!$D79,IF('TEA data'!$B$4:$B$66='BSM Input'!$E79,IF('TEA data'!$D$4:$D$66='BSM Input'!$F79,IF('TEA data'!$E$4:$E$66='BSM Input'!$G79,'TEA data'!K$4:K$66,""),""),""),""))</f>
        <v>0</v>
      </c>
      <c r="D79" t="s">
        <v>753</v>
      </c>
      <c r="E79" t="s">
        <v>758</v>
      </c>
      <c r="F79" t="s">
        <v>3</v>
      </c>
      <c r="G79" t="s">
        <v>51</v>
      </c>
    </row>
    <row r="80" spans="1:7">
      <c r="A80" t="s">
        <v>179</v>
      </c>
      <c r="B80" s="17">
        <f t="array" ref="B80">SUM(IF('TEA data'!$A$4:$A$66='BSM Input'!$D80,IF('TEA data'!$B$4:$B$66='BSM Input'!$E80,IF('TEA data'!$D$4:$D$66='BSM Input'!$F80,IF('TEA data'!$E$4:$E$66='BSM Input'!$G80,'TEA data'!K$4:K$66,""),""),""),""))</f>
        <v>0</v>
      </c>
      <c r="D80" t="s">
        <v>753</v>
      </c>
      <c r="E80" t="s">
        <v>758</v>
      </c>
      <c r="F80" t="s">
        <v>3</v>
      </c>
      <c r="G80" t="s">
        <v>52</v>
      </c>
    </row>
    <row r="81" spans="1:7">
      <c r="A81" t="s">
        <v>180</v>
      </c>
      <c r="B81" s="17">
        <f t="array" ref="B81">SUM(IF('TEA data'!$A$4:$A$66='BSM Input'!$D81,IF('TEA data'!$B$4:$B$66='BSM Input'!$E81,IF('TEA data'!$D$4:$D$66='BSM Input'!$F81,IF('TEA data'!$E$4:$E$66='BSM Input'!$G81,'TEA data'!K$4:K$66,""),""),""),""))</f>
        <v>0</v>
      </c>
    </row>
    <row r="82" spans="1:7">
      <c r="A82" t="s">
        <v>181</v>
      </c>
      <c r="B82" s="17">
        <f t="array" ref="B82">SUM(IF('TEA data'!$A$4:$A$66='BSM Input'!$D82,IF('TEA data'!$B$4:$B$66='BSM Input'!$E82,IF('TEA data'!$D$4:$D$66='BSM Input'!$F82,IF('TEA data'!$E$4:$E$66='BSM Input'!$G82,'TEA data'!K$4:K$66,""),""),""),""))</f>
        <v>349292.625</v>
      </c>
      <c r="D82" t="s">
        <v>753</v>
      </c>
      <c r="E82" t="s">
        <v>758</v>
      </c>
      <c r="F82" t="s">
        <v>4</v>
      </c>
      <c r="G82" t="s">
        <v>50</v>
      </c>
    </row>
    <row r="83" spans="1:7">
      <c r="A83" t="s">
        <v>182</v>
      </c>
      <c r="B83" s="17">
        <f t="array" ref="B83">SUM(IF('TEA data'!$A$4:$A$66='BSM Input'!$D83,IF('TEA data'!$B$4:$B$66='BSM Input'!$E83,IF('TEA data'!$D$4:$D$66='BSM Input'!$F83,IF('TEA data'!$E$4:$E$66='BSM Input'!$G83,'TEA data'!K$4:K$66,""),""),""),""))</f>
        <v>349292.625</v>
      </c>
      <c r="D83" t="s">
        <v>753</v>
      </c>
      <c r="E83" t="s">
        <v>758</v>
      </c>
      <c r="F83" t="s">
        <v>4</v>
      </c>
      <c r="G83" t="s">
        <v>51</v>
      </c>
    </row>
    <row r="84" spans="1:7">
      <c r="A84" t="s">
        <v>183</v>
      </c>
      <c r="B84" s="17">
        <f t="array" ref="B84">SUM(IF('TEA data'!$A$4:$A$66='BSM Input'!$D84,IF('TEA data'!$B$4:$B$66='BSM Input'!$E84,IF('TEA data'!$D$4:$D$66='BSM Input'!$F84,IF('TEA data'!$E$4:$E$66='BSM Input'!$G84,'TEA data'!K$4:K$66,""),""),""),""))</f>
        <v>349292.625</v>
      </c>
      <c r="D84" t="s">
        <v>753</v>
      </c>
      <c r="E84" t="s">
        <v>758</v>
      </c>
      <c r="F84" t="s">
        <v>4</v>
      </c>
      <c r="G84" t="s">
        <v>52</v>
      </c>
    </row>
    <row r="85" spans="1:7">
      <c r="A85" t="s">
        <v>184</v>
      </c>
      <c r="B85" s="17">
        <f t="array" ref="B85">SUM(IF('TEA data'!$A$4:$A$66='BSM Input'!$D85,IF('TEA data'!$B$4:$B$66='BSM Input'!$E85,IF('TEA data'!$D$4:$D$66='BSM Input'!$F85,IF('TEA data'!$E$4:$E$66='BSM Input'!$G85,'TEA data'!K$4:K$66,""),""),""),""))</f>
        <v>0</v>
      </c>
    </row>
    <row r="86" spans="1:7">
      <c r="A86" t="s">
        <v>185</v>
      </c>
      <c r="B86" s="17">
        <f t="array" ref="B86">SUM(IF('TEA data'!$A$4:$A$66='BSM Input'!$D86,IF('TEA data'!$B$4:$B$66='BSM Input'!$E86,IF('TEA data'!$D$4:$D$66='BSM Input'!$F86,IF('TEA data'!$E$4:$E$66='BSM Input'!$G86,'TEA data'!K$4:K$66,""),""),""),""))</f>
        <v>1901596.6184615383</v>
      </c>
      <c r="D86" t="s">
        <v>755</v>
      </c>
      <c r="E86" t="s">
        <v>758</v>
      </c>
      <c r="F86" t="s">
        <v>2</v>
      </c>
      <c r="G86" t="s">
        <v>50</v>
      </c>
    </row>
    <row r="87" spans="1:7">
      <c r="A87" t="s">
        <v>186</v>
      </c>
      <c r="B87" s="17">
        <f t="array" ref="B87">SUM(IF('TEA data'!$A$4:$A$66='BSM Input'!$D87,IF('TEA data'!$B$4:$B$66='BSM Input'!$E87,IF('TEA data'!$D$4:$D$66='BSM Input'!$F87,IF('TEA data'!$E$4:$E$66='BSM Input'!$G87,'TEA data'!K$4:K$66,""),""),""),""))</f>
        <v>1901596.6184615383</v>
      </c>
      <c r="D87" t="s">
        <v>755</v>
      </c>
      <c r="E87" t="s">
        <v>758</v>
      </c>
      <c r="F87" t="s">
        <v>2</v>
      </c>
      <c r="G87" t="s">
        <v>51</v>
      </c>
    </row>
    <row r="88" spans="1:7">
      <c r="A88" t="s">
        <v>187</v>
      </c>
      <c r="B88" s="17">
        <f t="array" ref="B88">SUM(IF('TEA data'!$A$4:$A$66='BSM Input'!$D88,IF('TEA data'!$B$4:$B$66='BSM Input'!$E88,IF('TEA data'!$D$4:$D$66='BSM Input'!$F88,IF('TEA data'!$E$4:$E$66='BSM Input'!$G88,'TEA data'!K$4:K$66,""),""),""),""))</f>
        <v>1901596.6184615383</v>
      </c>
      <c r="D88" t="s">
        <v>755</v>
      </c>
      <c r="E88" t="s">
        <v>758</v>
      </c>
      <c r="F88" t="s">
        <v>2</v>
      </c>
      <c r="G88" t="s">
        <v>52</v>
      </c>
    </row>
    <row r="89" spans="1:7">
      <c r="A89" t="s">
        <v>188</v>
      </c>
      <c r="B89" s="17">
        <f t="array" ref="B89">SUM(IF('TEA data'!$A$4:$A$66='BSM Input'!$D89,IF('TEA data'!$B$4:$B$66='BSM Input'!$E89,IF('TEA data'!$D$4:$D$66='BSM Input'!$F89,IF('TEA data'!$E$4:$E$66='BSM Input'!$G89,'TEA data'!K$4:K$66,""),""),""),""))</f>
        <v>0</v>
      </c>
    </row>
    <row r="90" spans="1:7">
      <c r="A90" t="s">
        <v>189</v>
      </c>
      <c r="B90" s="17">
        <f t="array" ref="B90">SUM(IF('TEA data'!$A$4:$A$66='BSM Input'!$D90,IF('TEA data'!$B$4:$B$66='BSM Input'!$E90,IF('TEA data'!$D$4:$D$66='BSM Input'!$F90,IF('TEA data'!$E$4:$E$66='BSM Input'!$G90,'TEA data'!K$4:K$66,""),""),""),""))</f>
        <v>2255984.782051282</v>
      </c>
      <c r="D90" t="s">
        <v>755</v>
      </c>
      <c r="E90" t="s">
        <v>758</v>
      </c>
      <c r="F90" t="s">
        <v>3</v>
      </c>
      <c r="G90" t="s">
        <v>50</v>
      </c>
    </row>
    <row r="91" spans="1:7">
      <c r="A91" t="s">
        <v>190</v>
      </c>
      <c r="B91" s="17">
        <f t="array" ref="B91">SUM(IF('TEA data'!$A$4:$A$66='BSM Input'!$D91,IF('TEA data'!$B$4:$B$66='BSM Input'!$E91,IF('TEA data'!$D$4:$D$66='BSM Input'!$F91,IF('TEA data'!$E$4:$E$66='BSM Input'!$G91,'TEA data'!K$4:K$66,""),""),""),""))</f>
        <v>2255984.782051282</v>
      </c>
      <c r="D91" t="s">
        <v>755</v>
      </c>
      <c r="E91" t="s">
        <v>758</v>
      </c>
      <c r="F91" t="s">
        <v>3</v>
      </c>
      <c r="G91" t="s">
        <v>51</v>
      </c>
    </row>
    <row r="92" spans="1:7">
      <c r="A92" t="s">
        <v>191</v>
      </c>
      <c r="B92" s="17">
        <f t="array" ref="B92">SUM(IF('TEA data'!$A$4:$A$66='BSM Input'!$D92,IF('TEA data'!$B$4:$B$66='BSM Input'!$E92,IF('TEA data'!$D$4:$D$66='BSM Input'!$F92,IF('TEA data'!$E$4:$E$66='BSM Input'!$G92,'TEA data'!K$4:K$66,""),""),""),""))</f>
        <v>2255984.782051282</v>
      </c>
      <c r="D92" t="s">
        <v>755</v>
      </c>
      <c r="E92" t="s">
        <v>758</v>
      </c>
      <c r="F92" t="s">
        <v>3</v>
      </c>
      <c r="G92" t="s">
        <v>52</v>
      </c>
    </row>
    <row r="93" spans="1:7">
      <c r="A93" t="s">
        <v>192</v>
      </c>
      <c r="B93" s="17">
        <f t="array" ref="B93">SUM(IF('TEA data'!$A$4:$A$66='BSM Input'!$D93,IF('TEA data'!$B$4:$B$66='BSM Input'!$E93,IF('TEA data'!$D$4:$D$66='BSM Input'!$F93,IF('TEA data'!$E$4:$E$66='BSM Input'!$G93,'TEA data'!K$4:K$66,""),""),""),""))</f>
        <v>0</v>
      </c>
    </row>
    <row r="94" spans="1:7">
      <c r="A94" t="s">
        <v>193</v>
      </c>
      <c r="B94" s="17">
        <f t="array" ref="B94">SUM(IF('TEA data'!$A$4:$A$66='BSM Input'!$D94,IF('TEA data'!$B$4:$B$66='BSM Input'!$E94,IF('TEA data'!$D$4:$D$66='BSM Input'!$F94,IF('TEA data'!$E$4:$E$66='BSM Input'!$G94,'TEA data'!K$4:K$66,""),""),""),""))</f>
        <v>2255984.782051282</v>
      </c>
      <c r="D94" t="s">
        <v>755</v>
      </c>
      <c r="E94" t="s">
        <v>758</v>
      </c>
      <c r="F94" t="s">
        <v>4</v>
      </c>
      <c r="G94" t="s">
        <v>50</v>
      </c>
    </row>
    <row r="95" spans="1:7">
      <c r="A95" t="s">
        <v>194</v>
      </c>
      <c r="B95" s="17">
        <f t="array" ref="B95">SUM(IF('TEA data'!$A$4:$A$66='BSM Input'!$D95,IF('TEA data'!$B$4:$B$66='BSM Input'!$E95,IF('TEA data'!$D$4:$D$66='BSM Input'!$F95,IF('TEA data'!$E$4:$E$66='BSM Input'!$G95,'TEA data'!K$4:K$66,""),""),""),""))</f>
        <v>2255984.782051282</v>
      </c>
      <c r="D95" t="s">
        <v>755</v>
      </c>
      <c r="E95" t="s">
        <v>758</v>
      </c>
      <c r="F95" t="s">
        <v>4</v>
      </c>
      <c r="G95" t="s">
        <v>51</v>
      </c>
    </row>
    <row r="96" spans="1:7">
      <c r="A96" t="s">
        <v>195</v>
      </c>
      <c r="B96" s="17">
        <f t="array" ref="B96">SUM(IF('TEA data'!$A$4:$A$66='BSM Input'!$D96,IF('TEA data'!$B$4:$B$66='BSM Input'!$E96,IF('TEA data'!$D$4:$D$66='BSM Input'!$F96,IF('TEA data'!$E$4:$E$66='BSM Input'!$G96,'TEA data'!K$4:K$66,""),""),""),""))</f>
        <v>2255984.782051282</v>
      </c>
      <c r="D96" t="s">
        <v>755</v>
      </c>
      <c r="E96" t="s">
        <v>758</v>
      </c>
      <c r="F96" t="s">
        <v>4</v>
      </c>
      <c r="G96" t="s">
        <v>52</v>
      </c>
    </row>
    <row r="97" spans="1:7">
      <c r="A97" t="s">
        <v>196</v>
      </c>
      <c r="B97" s="17">
        <f t="array" ref="B97">SUM(IF('TEA data'!$A$4:$A$66='BSM Input'!$D97,IF('TEA data'!$B$4:$B$66='BSM Input'!$E97,IF('TEA data'!$D$4:$D$66='BSM Input'!$F97,IF('TEA data'!$E$4:$E$66='BSM Input'!$G97,'TEA data'!K$4:K$66,""),""),""),""))</f>
        <v>0</v>
      </c>
    </row>
    <row r="98" spans="1:7">
      <c r="A98" t="s">
        <v>197</v>
      </c>
      <c r="B98" s="17">
        <f t="array" ref="B98">SUM(IF('TEA data'!$A$4:$A$66='BSM Input'!$D98,IF('TEA data'!$B$4:$B$66='BSM Input'!$E98,IF('TEA data'!$D$4:$D$66='BSM Input'!$F98,IF('TEA data'!$E$4:$E$66='BSM Input'!$G98,'TEA data'!K$4:K$66,""),""),""),""))</f>
        <v>1345178.1924333333</v>
      </c>
      <c r="D98" t="s">
        <v>756</v>
      </c>
      <c r="E98" t="s">
        <v>758</v>
      </c>
      <c r="F98" t="s">
        <v>2</v>
      </c>
      <c r="G98" t="s">
        <v>50</v>
      </c>
    </row>
    <row r="99" spans="1:7">
      <c r="A99" t="s">
        <v>198</v>
      </c>
      <c r="B99" s="17">
        <f t="array" ref="B99">SUM(IF('TEA data'!$A$4:$A$66='BSM Input'!$D99,IF('TEA data'!$B$4:$B$66='BSM Input'!$E99,IF('TEA data'!$D$4:$D$66='BSM Input'!$F99,IF('TEA data'!$E$4:$E$66='BSM Input'!$G99,'TEA data'!K$4:K$66,""),""),""),""))</f>
        <v>1345178.1924333333</v>
      </c>
      <c r="D99" t="s">
        <v>756</v>
      </c>
      <c r="E99" t="s">
        <v>758</v>
      </c>
      <c r="F99" t="s">
        <v>2</v>
      </c>
      <c r="G99" t="s">
        <v>51</v>
      </c>
    </row>
    <row r="100" spans="1:7">
      <c r="A100" t="s">
        <v>199</v>
      </c>
      <c r="B100" s="17">
        <f t="array" ref="B100">SUM(IF('TEA data'!$A$4:$A$66='BSM Input'!$D100,IF('TEA data'!$B$4:$B$66='BSM Input'!$E100,IF('TEA data'!$D$4:$D$66='BSM Input'!$F100,IF('TEA data'!$E$4:$E$66='BSM Input'!$G100,'TEA data'!K$4:K$66,""),""),""),""))</f>
        <v>1345178.1924333333</v>
      </c>
      <c r="D100" t="s">
        <v>756</v>
      </c>
      <c r="E100" t="s">
        <v>758</v>
      </c>
      <c r="F100" t="s">
        <v>2</v>
      </c>
      <c r="G100" t="s">
        <v>52</v>
      </c>
    </row>
    <row r="101" spans="1:7">
      <c r="A101" t="s">
        <v>200</v>
      </c>
      <c r="B101" s="17">
        <f t="array" ref="B101">SUM(IF('TEA data'!$A$4:$A$66='BSM Input'!$D101,IF('TEA data'!$B$4:$B$66='BSM Input'!$E101,IF('TEA data'!$D$4:$D$66='BSM Input'!$F101,IF('TEA data'!$E$4:$E$66='BSM Input'!$G101,'TEA data'!K$4:K$66,""),""),""),""))</f>
        <v>0</v>
      </c>
    </row>
    <row r="102" spans="1:7">
      <c r="A102" t="s">
        <v>201</v>
      </c>
      <c r="B102" s="17">
        <f t="array" ref="B102">SUM(IF('TEA data'!$A$4:$A$66='BSM Input'!$D102,IF('TEA data'!$B$4:$B$66='BSM Input'!$E102,IF('TEA data'!$D$4:$D$66='BSM Input'!$F102,IF('TEA data'!$E$4:$E$66='BSM Input'!$G102,'TEA data'!K$4:K$66,""),""),""),""))</f>
        <v>1345178.1924333333</v>
      </c>
      <c r="D102" t="s">
        <v>756</v>
      </c>
      <c r="E102" t="s">
        <v>758</v>
      </c>
      <c r="F102" t="s">
        <v>3</v>
      </c>
      <c r="G102" t="s">
        <v>50</v>
      </c>
    </row>
    <row r="103" spans="1:7">
      <c r="A103" t="s">
        <v>202</v>
      </c>
      <c r="B103" s="17">
        <f t="array" ref="B103">SUM(IF('TEA data'!$A$4:$A$66='BSM Input'!$D103,IF('TEA data'!$B$4:$B$66='BSM Input'!$E103,IF('TEA data'!$D$4:$D$66='BSM Input'!$F103,IF('TEA data'!$E$4:$E$66='BSM Input'!$G103,'TEA data'!K$4:K$66,""),""),""),""))</f>
        <v>1345178.1924333333</v>
      </c>
      <c r="D103" t="s">
        <v>756</v>
      </c>
      <c r="E103" t="s">
        <v>758</v>
      </c>
      <c r="F103" t="s">
        <v>3</v>
      </c>
      <c r="G103" t="s">
        <v>51</v>
      </c>
    </row>
    <row r="104" spans="1:7">
      <c r="A104" t="s">
        <v>203</v>
      </c>
      <c r="B104" s="17">
        <f t="array" ref="B104">SUM(IF('TEA data'!$A$4:$A$66='BSM Input'!$D104,IF('TEA data'!$B$4:$B$66='BSM Input'!$E104,IF('TEA data'!$D$4:$D$66='BSM Input'!$F104,IF('TEA data'!$E$4:$E$66='BSM Input'!$G104,'TEA data'!K$4:K$66,""),""),""),""))</f>
        <v>1345178.1924333333</v>
      </c>
      <c r="D104" t="s">
        <v>756</v>
      </c>
      <c r="E104" t="s">
        <v>758</v>
      </c>
      <c r="F104" t="s">
        <v>3</v>
      </c>
      <c r="G104" t="s">
        <v>52</v>
      </c>
    </row>
    <row r="105" spans="1:7">
      <c r="A105" t="s">
        <v>204</v>
      </c>
      <c r="B105" s="17">
        <f t="array" ref="B105">SUM(IF('TEA data'!$A$4:$A$66='BSM Input'!$D105,IF('TEA data'!$B$4:$B$66='BSM Input'!$E105,IF('TEA data'!$D$4:$D$66='BSM Input'!$F105,IF('TEA data'!$E$4:$E$66='BSM Input'!$G105,'TEA data'!K$4:K$66,""),""),""),""))</f>
        <v>0</v>
      </c>
    </row>
    <row r="106" spans="1:7">
      <c r="A106" t="s">
        <v>205</v>
      </c>
      <c r="B106" s="17">
        <f t="array" ref="B106">SUM(IF('TEA data'!$A$4:$A$66='BSM Input'!$D106,IF('TEA data'!$B$4:$B$66='BSM Input'!$E106,IF('TEA data'!$D$4:$D$66='BSM Input'!$F106,IF('TEA data'!$E$4:$E$66='BSM Input'!$G106,'TEA data'!K$4:K$66,""),""),""),""))</f>
        <v>1345178.1924333333</v>
      </c>
      <c r="D106" t="s">
        <v>756</v>
      </c>
      <c r="E106" t="s">
        <v>758</v>
      </c>
      <c r="F106" t="s">
        <v>4</v>
      </c>
      <c r="G106" t="s">
        <v>50</v>
      </c>
    </row>
    <row r="107" spans="1:7">
      <c r="A107" t="s">
        <v>206</v>
      </c>
      <c r="B107" s="17">
        <f t="array" ref="B107">SUM(IF('TEA data'!$A$4:$A$66='BSM Input'!$D107,IF('TEA data'!$B$4:$B$66='BSM Input'!$E107,IF('TEA data'!$D$4:$D$66='BSM Input'!$F107,IF('TEA data'!$E$4:$E$66='BSM Input'!$G107,'TEA data'!K$4:K$66,""),""),""),""))</f>
        <v>1345178.1924333333</v>
      </c>
      <c r="D107" t="s">
        <v>756</v>
      </c>
      <c r="E107" t="s">
        <v>758</v>
      </c>
      <c r="F107" t="s">
        <v>4</v>
      </c>
      <c r="G107" t="s">
        <v>51</v>
      </c>
    </row>
    <row r="108" spans="1:7">
      <c r="A108" t="s">
        <v>207</v>
      </c>
      <c r="B108" s="17">
        <f t="array" ref="B108">SUM(IF('TEA data'!$A$4:$A$66='BSM Input'!$D108,IF('TEA data'!$B$4:$B$66='BSM Input'!$E108,IF('TEA data'!$D$4:$D$66='BSM Input'!$F108,IF('TEA data'!$E$4:$E$66='BSM Input'!$G108,'TEA data'!K$4:K$66,""),""),""),""))</f>
        <v>1345178.1924333333</v>
      </c>
      <c r="D108" t="s">
        <v>756</v>
      </c>
      <c r="E108" t="s">
        <v>758</v>
      </c>
      <c r="F108" t="s">
        <v>4</v>
      </c>
      <c r="G108" t="s">
        <v>52</v>
      </c>
    </row>
    <row r="109" spans="1:7">
      <c r="A109" t="s">
        <v>208</v>
      </c>
      <c r="B109" s="17">
        <f t="array" ref="B109">SUM(IF('TEA data'!$A$4:$A$66='BSM Input'!$D109,IF('TEA data'!$B$4:$B$66='BSM Input'!$E109,IF('TEA data'!$D$4:$D$66='BSM Input'!$F109,IF('TEA data'!$E$4:$E$66='BSM Input'!$G109,'TEA data'!K$4:K$66,""),""),""),""))</f>
        <v>0</v>
      </c>
    </row>
    <row r="110" spans="1:7">
      <c r="B110" s="17"/>
    </row>
    <row r="111" spans="1:7">
      <c r="A111" t="s">
        <v>209</v>
      </c>
      <c r="B111" s="17">
        <v>9999999</v>
      </c>
      <c r="D111" t="s">
        <v>753</v>
      </c>
      <c r="E111" t="s">
        <v>754</v>
      </c>
      <c r="F111" t="s">
        <v>2</v>
      </c>
      <c r="G111" t="s">
        <v>50</v>
      </c>
    </row>
    <row r="112" spans="1:7">
      <c r="A112" t="s">
        <v>210</v>
      </c>
      <c r="B112" s="17">
        <v>9999999</v>
      </c>
      <c r="D112" t="s">
        <v>753</v>
      </c>
      <c r="E112" t="s">
        <v>754</v>
      </c>
      <c r="F112" t="s">
        <v>2</v>
      </c>
      <c r="G112" t="s">
        <v>51</v>
      </c>
    </row>
    <row r="113" spans="1:7">
      <c r="A113" t="s">
        <v>211</v>
      </c>
      <c r="B113" s="17">
        <v>9999999</v>
      </c>
      <c r="D113" t="s">
        <v>753</v>
      </c>
      <c r="E113" t="s">
        <v>754</v>
      </c>
      <c r="F113" t="s">
        <v>2</v>
      </c>
      <c r="G113" t="s">
        <v>52</v>
      </c>
    </row>
    <row r="114" spans="1:7">
      <c r="A114" t="s">
        <v>212</v>
      </c>
      <c r="B114" s="17">
        <v>9999999</v>
      </c>
    </row>
    <row r="115" spans="1:7">
      <c r="A115" t="s">
        <v>213</v>
      </c>
      <c r="B115" s="17">
        <v>9999999</v>
      </c>
      <c r="D115" t="s">
        <v>753</v>
      </c>
      <c r="E115" t="s">
        <v>754</v>
      </c>
      <c r="F115" t="s">
        <v>3</v>
      </c>
      <c r="G115" t="s">
        <v>50</v>
      </c>
    </row>
    <row r="116" spans="1:7">
      <c r="A116" t="s">
        <v>214</v>
      </c>
      <c r="B116" s="17">
        <v>9999999</v>
      </c>
      <c r="D116" t="s">
        <v>753</v>
      </c>
      <c r="E116" t="s">
        <v>754</v>
      </c>
      <c r="F116" t="s">
        <v>3</v>
      </c>
      <c r="G116" t="s">
        <v>51</v>
      </c>
    </row>
    <row r="117" spans="1:7">
      <c r="A117" t="s">
        <v>215</v>
      </c>
      <c r="B117" s="17">
        <v>9999999</v>
      </c>
      <c r="D117" t="s">
        <v>753</v>
      </c>
      <c r="E117" t="s">
        <v>754</v>
      </c>
      <c r="F117" t="s">
        <v>3</v>
      </c>
      <c r="G117" t="s">
        <v>52</v>
      </c>
    </row>
    <row r="118" spans="1:7">
      <c r="A118" t="s">
        <v>216</v>
      </c>
      <c r="B118" s="17">
        <v>9999999</v>
      </c>
    </row>
    <row r="119" spans="1:7">
      <c r="A119" t="s">
        <v>217</v>
      </c>
      <c r="B119">
        <f t="array" ref="B119">SUM(IF('TEA data'!$A$4:$A$66='BSM Input'!$D119,IF('TEA data'!$B$4:$B$66='BSM Input'!$E119,IF('TEA data'!$D$4:$D$66='BSM Input'!$F119,IF('TEA data'!$E$4:$E$66='BSM Input'!$G119,'TEA data'!U$4:U$66,""),""),""),""))</f>
        <v>28146.668986799996</v>
      </c>
      <c r="D119" t="s">
        <v>753</v>
      </c>
      <c r="E119" t="s">
        <v>754</v>
      </c>
      <c r="F119" t="s">
        <v>4</v>
      </c>
      <c r="G119" t="s">
        <v>50</v>
      </c>
    </row>
    <row r="120" spans="1:7">
      <c r="A120" t="s">
        <v>218</v>
      </c>
      <c r="B120">
        <f t="array" ref="B120">SUM(IF('TEA data'!$A$4:$A$66='BSM Input'!$D120,IF('TEA data'!$B$4:$B$66='BSM Input'!$E120,IF('TEA data'!$D$4:$D$66='BSM Input'!$F120,IF('TEA data'!$E$4:$E$66='BSM Input'!$G120,'TEA data'!U$4:U$66,""),""),""),""))</f>
        <v>37611.668986799996</v>
      </c>
      <c r="D120" t="s">
        <v>753</v>
      </c>
      <c r="E120" t="s">
        <v>754</v>
      </c>
      <c r="F120" t="s">
        <v>4</v>
      </c>
      <c r="G120" t="s">
        <v>51</v>
      </c>
    </row>
    <row r="121" spans="1:7">
      <c r="A121" t="s">
        <v>219</v>
      </c>
      <c r="B121">
        <f t="array" ref="B121">SUM(IF('TEA data'!$A$4:$A$66='BSM Input'!$D121,IF('TEA data'!$B$4:$B$66='BSM Input'!$E121,IF('TEA data'!$D$4:$D$66='BSM Input'!$F121,IF('TEA data'!$E$4:$E$66='BSM Input'!$G121,'TEA data'!U$4:U$66,""),""),""),""))</f>
        <v>40639.915489199993</v>
      </c>
      <c r="D121" t="s">
        <v>753</v>
      </c>
      <c r="E121" t="s">
        <v>754</v>
      </c>
      <c r="F121" t="s">
        <v>4</v>
      </c>
      <c r="G121" t="s">
        <v>52</v>
      </c>
    </row>
    <row r="122" spans="1:7">
      <c r="A122" t="s">
        <v>220</v>
      </c>
      <c r="B122" s="17">
        <v>9999999</v>
      </c>
    </row>
    <row r="123" spans="1:7">
      <c r="A123" t="s">
        <v>221</v>
      </c>
      <c r="B123">
        <f t="array" ref="B123">SUM(IF('TEA data'!$A$4:$A$66='BSM Input'!$D123,IF('TEA data'!$B$4:$B$66='BSM Input'!$E123,IF('TEA data'!$D$4:$D$66='BSM Input'!$F123,IF('TEA data'!$E$4:$E$66='BSM Input'!$G123,'TEA data'!U$4:U$66,""),""),""),""))</f>
        <v>36083.275279999994</v>
      </c>
      <c r="D123" t="s">
        <v>755</v>
      </c>
      <c r="E123" t="s">
        <v>754</v>
      </c>
      <c r="F123" t="s">
        <v>2</v>
      </c>
      <c r="G123" t="s">
        <v>50</v>
      </c>
    </row>
    <row r="124" spans="1:7">
      <c r="A124" t="s">
        <v>222</v>
      </c>
      <c r="B124">
        <f t="array" ref="B124">SUM(IF('TEA data'!$A$4:$A$66='BSM Input'!$D124,IF('TEA data'!$B$4:$B$66='BSM Input'!$E124,IF('TEA data'!$D$4:$D$66='BSM Input'!$F124,IF('TEA data'!$E$4:$E$66='BSM Input'!$G124,'TEA data'!U$4:U$66,""),""),""),""))</f>
        <v>45548.275279999994</v>
      </c>
      <c r="D124" t="s">
        <v>755</v>
      </c>
      <c r="E124" t="s">
        <v>754</v>
      </c>
      <c r="F124" t="s">
        <v>2</v>
      </c>
      <c r="G124" t="s">
        <v>51</v>
      </c>
    </row>
    <row r="125" spans="1:7">
      <c r="A125" t="s">
        <v>223</v>
      </c>
      <c r="B125">
        <f t="array" ref="B125">SUM(IF('TEA data'!$A$4:$A$66='BSM Input'!$D125,IF('TEA data'!$B$4:$B$66='BSM Input'!$E125,IF('TEA data'!$D$4:$D$66='BSM Input'!$F125,IF('TEA data'!$E$4:$E$66='BSM Input'!$G125,'TEA data'!U$4:U$66,""),""),""),""))</f>
        <v>58884.329884555351</v>
      </c>
      <c r="D125" t="s">
        <v>755</v>
      </c>
      <c r="E125" t="s">
        <v>754</v>
      </c>
      <c r="F125" t="s">
        <v>2</v>
      </c>
      <c r="G125" t="s">
        <v>52</v>
      </c>
    </row>
    <row r="126" spans="1:7">
      <c r="A126" t="s">
        <v>224</v>
      </c>
      <c r="B126" s="17">
        <v>9999999</v>
      </c>
    </row>
    <row r="127" spans="1:7">
      <c r="A127" t="s">
        <v>225</v>
      </c>
      <c r="B127">
        <f t="array" ref="B127">SUM(IF('TEA data'!$A$4:$A$66='BSM Input'!$D127,IF('TEA data'!$B$4:$B$66='BSM Input'!$E127,IF('TEA data'!$D$4:$D$66='BSM Input'!$F127,IF('TEA data'!$E$4:$E$66='BSM Input'!$G127,'TEA data'!U$4:U$66,""),""),""),""))</f>
        <v>29301.337</v>
      </c>
      <c r="D127" t="s">
        <v>755</v>
      </c>
      <c r="E127" t="s">
        <v>754</v>
      </c>
      <c r="F127" t="s">
        <v>3</v>
      </c>
      <c r="G127" t="s">
        <v>50</v>
      </c>
    </row>
    <row r="128" spans="1:7">
      <c r="A128" t="s">
        <v>226</v>
      </c>
      <c r="B128">
        <f t="array" ref="B128">SUM(IF('TEA data'!$A$4:$A$66='BSM Input'!$D128,IF('TEA data'!$B$4:$B$66='BSM Input'!$E128,IF('TEA data'!$D$4:$D$66='BSM Input'!$F128,IF('TEA data'!$E$4:$E$66='BSM Input'!$G128,'TEA data'!U$4:U$66,""),""),""),""))</f>
        <v>48231.337</v>
      </c>
      <c r="D128" t="s">
        <v>755</v>
      </c>
      <c r="E128" t="s">
        <v>754</v>
      </c>
      <c r="F128" t="s">
        <v>3</v>
      </c>
      <c r="G128" t="s">
        <v>51</v>
      </c>
    </row>
    <row r="129" spans="1:7">
      <c r="A129" t="s">
        <v>227</v>
      </c>
      <c r="B129">
        <f t="array" ref="B129">SUM(IF('TEA data'!$A$4:$A$66='BSM Input'!$D129,IF('TEA data'!$B$4:$B$66='BSM Input'!$E129,IF('TEA data'!$D$4:$D$66='BSM Input'!$F129,IF('TEA data'!$E$4:$E$66='BSM Input'!$G129,'TEA data'!U$4:U$66,""),""),""),""))</f>
        <v>74574.809133285045</v>
      </c>
      <c r="D129" t="s">
        <v>755</v>
      </c>
      <c r="E129" t="s">
        <v>754</v>
      </c>
      <c r="F129" t="s">
        <v>3</v>
      </c>
      <c r="G129" t="s">
        <v>52</v>
      </c>
    </row>
    <row r="130" spans="1:7">
      <c r="A130" t="s">
        <v>228</v>
      </c>
      <c r="B130" s="17">
        <v>9999999</v>
      </c>
    </row>
    <row r="131" spans="1:7">
      <c r="A131" t="s">
        <v>229</v>
      </c>
      <c r="B131">
        <f t="array" ref="B131">SUM(IF('TEA data'!$A$4:$A$66='BSM Input'!$D131,IF('TEA data'!$B$4:$B$66='BSM Input'!$E131,IF('TEA data'!$D$4:$D$66='BSM Input'!$F131,IF('TEA data'!$E$4:$E$66='BSM Input'!$G131,'TEA data'!U$4:U$66,""),""),""),""))</f>
        <v>40917.939399999996</v>
      </c>
      <c r="D131" t="s">
        <v>755</v>
      </c>
      <c r="E131" t="s">
        <v>754</v>
      </c>
      <c r="F131" t="s">
        <v>4</v>
      </c>
      <c r="G131" t="s">
        <v>50</v>
      </c>
    </row>
    <row r="132" spans="1:7">
      <c r="A132" t="s">
        <v>230</v>
      </c>
      <c r="B132">
        <f t="array" ref="B132">SUM(IF('TEA data'!$A$4:$A$66='BSM Input'!$D132,IF('TEA data'!$B$4:$B$66='BSM Input'!$E132,IF('TEA data'!$D$4:$D$66='BSM Input'!$F132,IF('TEA data'!$E$4:$E$66='BSM Input'!$G132,'TEA data'!U$4:U$66,""),""),""),""))</f>
        <v>50382.939399999996</v>
      </c>
      <c r="D132" t="s">
        <v>755</v>
      </c>
      <c r="E132" t="s">
        <v>754</v>
      </c>
      <c r="F132" t="s">
        <v>4</v>
      </c>
      <c r="G132" t="s">
        <v>51</v>
      </c>
    </row>
    <row r="133" spans="1:7">
      <c r="A133" t="s">
        <v>231</v>
      </c>
      <c r="B133">
        <f t="array" ref="B133">SUM(IF('TEA data'!$A$4:$A$66='BSM Input'!$D133,IF('TEA data'!$B$4:$B$66='BSM Input'!$E133,IF('TEA data'!$D$4:$D$66='BSM Input'!$F133,IF('TEA data'!$E$4:$E$66='BSM Input'!$G133,'TEA data'!U$4:U$66,""),""),""),""))</f>
        <v>67577.990178399996</v>
      </c>
      <c r="D133" t="s">
        <v>755</v>
      </c>
      <c r="E133" t="s">
        <v>754</v>
      </c>
      <c r="F133" t="s">
        <v>4</v>
      </c>
      <c r="G133" t="s">
        <v>52</v>
      </c>
    </row>
    <row r="134" spans="1:7">
      <c r="A134" t="s">
        <v>232</v>
      </c>
      <c r="B134" s="17">
        <v>9999999</v>
      </c>
    </row>
    <row r="135" spans="1:7">
      <c r="A135" t="s">
        <v>233</v>
      </c>
      <c r="B135">
        <f t="array" ref="B135">SUM(IF('TEA data'!$A$4:$A$66='BSM Input'!$D135,IF('TEA data'!$B$4:$B$66='BSM Input'!$E135,IF('TEA data'!$D$4:$D$66='BSM Input'!$F135,IF('TEA data'!$E$4:$E$66='BSM Input'!$G135,'TEA data'!U$4:U$66,""),""),""),""))</f>
        <v>28470.986959999995</v>
      </c>
      <c r="D135" t="s">
        <v>756</v>
      </c>
      <c r="E135" t="s">
        <v>754</v>
      </c>
      <c r="F135" t="s">
        <v>2</v>
      </c>
      <c r="G135" t="s">
        <v>50</v>
      </c>
    </row>
    <row r="136" spans="1:7">
      <c r="A136" t="s">
        <v>234</v>
      </c>
      <c r="B136">
        <f t="array" ref="B136">SUM(IF('TEA data'!$A$4:$A$66='BSM Input'!$D136,IF('TEA data'!$B$4:$B$66='BSM Input'!$E136,IF('TEA data'!$D$4:$D$66='BSM Input'!$F136,IF('TEA data'!$E$4:$E$66='BSM Input'!$G136,'TEA data'!U$4:U$66,""),""),""),""))</f>
        <v>37935.986959999995</v>
      </c>
      <c r="D136" t="s">
        <v>756</v>
      </c>
      <c r="E136" t="s">
        <v>754</v>
      </c>
      <c r="F136" t="s">
        <v>2</v>
      </c>
      <c r="G136" t="s">
        <v>51</v>
      </c>
    </row>
    <row r="137" spans="1:7">
      <c r="A137" t="s">
        <v>235</v>
      </c>
      <c r="B137">
        <f t="array" ref="B137">SUM(IF('TEA data'!$A$4:$A$66='BSM Input'!$D137,IF('TEA data'!$B$4:$B$66='BSM Input'!$E137,IF('TEA data'!$D$4:$D$66='BSM Input'!$F137,IF('TEA data'!$E$4:$E$66='BSM Input'!$G137,'TEA data'!U$4:U$66,""),""),""),""))</f>
        <v>45059.957881818278</v>
      </c>
      <c r="D137" t="s">
        <v>756</v>
      </c>
      <c r="E137" t="s">
        <v>754</v>
      </c>
      <c r="F137" t="s">
        <v>2</v>
      </c>
      <c r="G137" t="s">
        <v>52</v>
      </c>
    </row>
    <row r="138" spans="1:7">
      <c r="A138" t="s">
        <v>236</v>
      </c>
      <c r="B138" s="17">
        <v>9999999</v>
      </c>
    </row>
    <row r="139" spans="1:7">
      <c r="A139" t="s">
        <v>237</v>
      </c>
      <c r="B139">
        <f t="array" ref="B139">SUM(IF('TEA data'!$A$4:$A$66='BSM Input'!$D139,IF('TEA data'!$B$4:$B$66='BSM Input'!$E139,IF('TEA data'!$D$4:$D$66='BSM Input'!$F139,IF('TEA data'!$E$4:$E$66='BSM Input'!$G139,'TEA data'!U$4:U$66,""),""),""),""))</f>
        <v>18587.041189600001</v>
      </c>
      <c r="D139" t="s">
        <v>756</v>
      </c>
      <c r="E139" t="s">
        <v>754</v>
      </c>
      <c r="F139" t="s">
        <v>3</v>
      </c>
      <c r="G139" t="s">
        <v>50</v>
      </c>
    </row>
    <row r="140" spans="1:7">
      <c r="A140" t="s">
        <v>238</v>
      </c>
      <c r="B140">
        <f t="array" ref="B140">SUM(IF('TEA data'!$A$4:$A$66='BSM Input'!$D140,IF('TEA data'!$B$4:$B$66='BSM Input'!$E140,IF('TEA data'!$D$4:$D$66='BSM Input'!$F140,IF('TEA data'!$E$4:$E$66='BSM Input'!$G140,'TEA data'!U$4:U$66,""),""),""),""))</f>
        <v>28052.041189600001</v>
      </c>
      <c r="D140" t="s">
        <v>756</v>
      </c>
      <c r="E140" t="s">
        <v>754</v>
      </c>
      <c r="F140" t="s">
        <v>3</v>
      </c>
      <c r="G140" t="s">
        <v>51</v>
      </c>
    </row>
    <row r="141" spans="1:7">
      <c r="A141" t="s">
        <v>239</v>
      </c>
      <c r="B141">
        <f t="array" ref="B141">SUM(IF('TEA data'!$A$4:$A$66='BSM Input'!$D141,IF('TEA data'!$B$4:$B$66='BSM Input'!$E141,IF('TEA data'!$D$4:$D$66='BSM Input'!$F141,IF('TEA data'!$E$4:$E$66='BSM Input'!$G141,'TEA data'!U$4:U$66,""),""),""),""))</f>
        <v>34716.151383328004</v>
      </c>
      <c r="D141" t="s">
        <v>756</v>
      </c>
      <c r="E141" t="s">
        <v>754</v>
      </c>
      <c r="F141" t="s">
        <v>3</v>
      </c>
      <c r="G141" t="s">
        <v>52</v>
      </c>
    </row>
    <row r="142" spans="1:7">
      <c r="A142" t="s">
        <v>240</v>
      </c>
      <c r="B142" s="17">
        <v>9999999</v>
      </c>
    </row>
    <row r="143" spans="1:7">
      <c r="A143" t="s">
        <v>241</v>
      </c>
      <c r="B143">
        <f t="array" ref="B143">SUM(IF('TEA data'!$A$4:$A$66='BSM Input'!$D143,IF('TEA data'!$B$4:$B$66='BSM Input'!$E143,IF('TEA data'!$D$4:$D$66='BSM Input'!$F143,IF('TEA data'!$E$4:$E$66='BSM Input'!$G143,'TEA data'!U$4:U$66,""),""),""),""))</f>
        <v>29175.9846664</v>
      </c>
      <c r="D143" t="s">
        <v>756</v>
      </c>
      <c r="E143" t="s">
        <v>754</v>
      </c>
      <c r="F143" t="s">
        <v>4</v>
      </c>
      <c r="G143" t="s">
        <v>50</v>
      </c>
    </row>
    <row r="144" spans="1:7">
      <c r="A144" t="s">
        <v>242</v>
      </c>
      <c r="B144">
        <f t="array" ref="B144">SUM(IF('TEA data'!$A$4:$A$66='BSM Input'!$D144,IF('TEA data'!$B$4:$B$66='BSM Input'!$E144,IF('TEA data'!$D$4:$D$66='BSM Input'!$F144,IF('TEA data'!$E$4:$E$66='BSM Input'!$G144,'TEA data'!U$4:U$66,""),""),""),""))</f>
        <v>38640.9846664</v>
      </c>
      <c r="D144" t="s">
        <v>756</v>
      </c>
      <c r="E144" t="s">
        <v>754</v>
      </c>
      <c r="F144" t="s">
        <v>4</v>
      </c>
      <c r="G144" t="s">
        <v>51</v>
      </c>
    </row>
    <row r="145" spans="1:7">
      <c r="A145" t="s">
        <v>243</v>
      </c>
      <c r="B145">
        <f t="array" ref="B145">SUM(IF('TEA data'!$A$4:$A$66='BSM Input'!$D145,IF('TEA data'!$B$4:$B$66='BSM Input'!$E145,IF('TEA data'!$D$4:$D$66='BSM Input'!$F145,IF('TEA data'!$E$4:$E$66='BSM Input'!$G145,'TEA data'!U$4:U$66,""),""),""),""))</f>
        <v>45305.094860127996</v>
      </c>
      <c r="D145" t="s">
        <v>756</v>
      </c>
      <c r="E145" t="s">
        <v>754</v>
      </c>
      <c r="F145" t="s">
        <v>4</v>
      </c>
      <c r="G145" t="s">
        <v>52</v>
      </c>
    </row>
    <row r="146" spans="1:7">
      <c r="A146" t="s">
        <v>244</v>
      </c>
      <c r="B146" s="17">
        <v>9999999</v>
      </c>
    </row>
    <row r="147" spans="1:7">
      <c r="A147" t="s">
        <v>245</v>
      </c>
      <c r="B147" s="17">
        <v>9999999</v>
      </c>
      <c r="D147" t="s">
        <v>753</v>
      </c>
      <c r="E147" t="s">
        <v>757</v>
      </c>
      <c r="F147" t="s">
        <v>2</v>
      </c>
      <c r="G147" t="s">
        <v>50</v>
      </c>
    </row>
    <row r="148" spans="1:7">
      <c r="A148" t="s">
        <v>246</v>
      </c>
      <c r="B148" s="17">
        <v>9999999</v>
      </c>
      <c r="D148" t="s">
        <v>753</v>
      </c>
      <c r="E148" t="s">
        <v>757</v>
      </c>
      <c r="F148" t="s">
        <v>2</v>
      </c>
      <c r="G148" t="s">
        <v>51</v>
      </c>
    </row>
    <row r="149" spans="1:7">
      <c r="A149" t="s">
        <v>247</v>
      </c>
      <c r="B149" s="17">
        <v>9999999</v>
      </c>
      <c r="D149" t="s">
        <v>753</v>
      </c>
      <c r="E149" t="s">
        <v>757</v>
      </c>
      <c r="F149" t="s">
        <v>2</v>
      </c>
      <c r="G149" t="s">
        <v>52</v>
      </c>
    </row>
    <row r="150" spans="1:7">
      <c r="A150" t="s">
        <v>248</v>
      </c>
      <c r="B150" s="17">
        <v>9999999</v>
      </c>
    </row>
    <row r="151" spans="1:7">
      <c r="A151" t="s">
        <v>249</v>
      </c>
      <c r="B151" s="17">
        <v>9999999</v>
      </c>
      <c r="D151" t="s">
        <v>753</v>
      </c>
      <c r="E151" t="s">
        <v>757</v>
      </c>
      <c r="F151" t="s">
        <v>3</v>
      </c>
      <c r="G151" t="s">
        <v>50</v>
      </c>
    </row>
    <row r="152" spans="1:7">
      <c r="A152" t="s">
        <v>250</v>
      </c>
      <c r="B152" s="17">
        <v>9999999</v>
      </c>
      <c r="D152" t="s">
        <v>753</v>
      </c>
      <c r="E152" t="s">
        <v>757</v>
      </c>
      <c r="F152" t="s">
        <v>3</v>
      </c>
      <c r="G152" t="s">
        <v>51</v>
      </c>
    </row>
    <row r="153" spans="1:7">
      <c r="A153" t="s">
        <v>251</v>
      </c>
      <c r="B153" s="17">
        <v>9999999</v>
      </c>
      <c r="D153" t="s">
        <v>753</v>
      </c>
      <c r="E153" t="s">
        <v>757</v>
      </c>
      <c r="F153" t="s">
        <v>3</v>
      </c>
      <c r="G153" t="s">
        <v>52</v>
      </c>
    </row>
    <row r="154" spans="1:7">
      <c r="A154" t="s">
        <v>252</v>
      </c>
      <c r="B154" s="17">
        <v>9999999</v>
      </c>
    </row>
    <row r="155" spans="1:7">
      <c r="A155" t="s">
        <v>253</v>
      </c>
      <c r="B155">
        <f t="array" ref="B155">SUM(IF('TEA data'!$A$4:$A$66='BSM Input'!$D155,IF('TEA data'!$B$4:$B$66='BSM Input'!$E155,IF('TEA data'!$D$4:$D$66='BSM Input'!$F155,IF('TEA data'!$E$4:$E$66='BSM Input'!$G155,'TEA data'!U$4:U$66,""),""),""),""))</f>
        <v>32900.378804799999</v>
      </c>
      <c r="D155" t="s">
        <v>753</v>
      </c>
      <c r="E155" t="s">
        <v>757</v>
      </c>
      <c r="F155" t="s">
        <v>4</v>
      </c>
      <c r="G155" t="s">
        <v>50</v>
      </c>
    </row>
    <row r="156" spans="1:7">
      <c r="A156" t="s">
        <v>254</v>
      </c>
      <c r="B156">
        <f t="array" ref="B156">SUM(IF('TEA data'!$A$4:$A$66='BSM Input'!$D156,IF('TEA data'!$B$4:$B$66='BSM Input'!$E156,IF('TEA data'!$D$4:$D$66='BSM Input'!$F156,IF('TEA data'!$E$4:$E$66='BSM Input'!$G156,'TEA data'!U$4:U$66,""),""),""),""))</f>
        <v>42365.378804799999</v>
      </c>
      <c r="D156" t="s">
        <v>753</v>
      </c>
      <c r="E156" t="s">
        <v>757</v>
      </c>
      <c r="F156" t="s">
        <v>4</v>
      </c>
      <c r="G156" t="s">
        <v>51</v>
      </c>
    </row>
    <row r="157" spans="1:7">
      <c r="A157" t="s">
        <v>255</v>
      </c>
      <c r="B157">
        <f t="array" ref="B157">SUM(IF('TEA data'!$A$4:$A$66='BSM Input'!$D157,IF('TEA data'!$B$4:$B$66='BSM Input'!$E157,IF('TEA data'!$D$4:$D$66='BSM Input'!$F157,IF('TEA data'!$E$4:$E$66='BSM Input'!$G157,'TEA data'!U$4:U$66,""),""),""),""))</f>
        <v>48334.378331200001</v>
      </c>
      <c r="D157" t="s">
        <v>753</v>
      </c>
      <c r="E157" t="s">
        <v>757</v>
      </c>
      <c r="F157" t="s">
        <v>4</v>
      </c>
      <c r="G157" t="s">
        <v>52</v>
      </c>
    </row>
    <row r="158" spans="1:7">
      <c r="A158" t="s">
        <v>256</v>
      </c>
      <c r="B158" s="17">
        <v>9999999</v>
      </c>
    </row>
    <row r="159" spans="1:7">
      <c r="A159" t="s">
        <v>257</v>
      </c>
      <c r="B159">
        <f t="array" ref="B159">SUM(IF('TEA data'!$A$4:$A$66='BSM Input'!$D159,IF('TEA data'!$B$4:$B$66='BSM Input'!$E159,IF('TEA data'!$D$4:$D$66='BSM Input'!$F159,IF('TEA data'!$E$4:$E$66='BSM Input'!$G159,'TEA data'!U$4:U$66,""),""),""),""))</f>
        <v>46911.963279999996</v>
      </c>
      <c r="D159" t="s">
        <v>755</v>
      </c>
      <c r="E159" t="s">
        <v>757</v>
      </c>
      <c r="F159" t="s">
        <v>2</v>
      </c>
      <c r="G159" t="s">
        <v>50</v>
      </c>
    </row>
    <row r="160" spans="1:7">
      <c r="A160" t="s">
        <v>258</v>
      </c>
      <c r="B160">
        <f t="array" ref="B160">SUM(IF('TEA data'!$A$4:$A$66='BSM Input'!$D160,IF('TEA data'!$B$4:$B$66='BSM Input'!$E160,IF('TEA data'!$D$4:$D$66='BSM Input'!$F160,IF('TEA data'!$E$4:$E$66='BSM Input'!$G160,'TEA data'!U$4:U$66,""),""),""),""))</f>
        <v>56376.963279999996</v>
      </c>
      <c r="D160" t="s">
        <v>755</v>
      </c>
      <c r="E160" t="s">
        <v>757</v>
      </c>
      <c r="F160" t="s">
        <v>2</v>
      </c>
      <c r="G160" t="s">
        <v>51</v>
      </c>
    </row>
    <row r="161" spans="1:7">
      <c r="A161" t="s">
        <v>259</v>
      </c>
      <c r="B161">
        <f t="array" ref="B161">SUM(IF('TEA data'!$A$4:$A$66='BSM Input'!$D161,IF('TEA data'!$B$4:$B$66='BSM Input'!$E161,IF('TEA data'!$D$4:$D$66='BSM Input'!$F161,IF('TEA data'!$E$4:$E$66='BSM Input'!$G161,'TEA data'!U$4:U$66,""),""),""),""))</f>
        <v>86881.579166580821</v>
      </c>
      <c r="D161" t="s">
        <v>755</v>
      </c>
      <c r="E161" t="s">
        <v>757</v>
      </c>
      <c r="F161" t="s">
        <v>2</v>
      </c>
      <c r="G161" t="s">
        <v>52</v>
      </c>
    </row>
    <row r="162" spans="1:7">
      <c r="A162" t="s">
        <v>260</v>
      </c>
      <c r="B162" s="17">
        <v>9999999</v>
      </c>
    </row>
    <row r="163" spans="1:7">
      <c r="A163" t="s">
        <v>261</v>
      </c>
      <c r="B163">
        <f t="array" ref="B163">SUM(IF('TEA data'!$A$4:$A$66='BSM Input'!$D163,IF('TEA data'!$B$4:$B$66='BSM Input'!$E163,IF('TEA data'!$D$4:$D$66='BSM Input'!$F163,IF('TEA data'!$E$4:$E$66='BSM Input'!$G163,'TEA data'!U$4:U$66,""),""),""),""))</f>
        <v>44542.715359999995</v>
      </c>
      <c r="D163" t="s">
        <v>755</v>
      </c>
      <c r="E163" t="s">
        <v>757</v>
      </c>
      <c r="F163" t="s">
        <v>3</v>
      </c>
      <c r="G163" t="s">
        <v>50</v>
      </c>
    </row>
    <row r="164" spans="1:7">
      <c r="A164" t="s">
        <v>262</v>
      </c>
      <c r="B164">
        <f t="array" ref="B164">SUM(IF('TEA data'!$A$4:$A$66='BSM Input'!$D164,IF('TEA data'!$B$4:$B$66='BSM Input'!$E164,IF('TEA data'!$D$4:$D$66='BSM Input'!$F164,IF('TEA data'!$E$4:$E$66='BSM Input'!$G164,'TEA data'!U$4:U$66,""),""),""),""))</f>
        <v>63472.715359999995</v>
      </c>
      <c r="D164" t="s">
        <v>755</v>
      </c>
      <c r="E164" t="s">
        <v>757</v>
      </c>
      <c r="F164" t="s">
        <v>3</v>
      </c>
      <c r="G164" t="s">
        <v>51</v>
      </c>
    </row>
    <row r="165" spans="1:7">
      <c r="A165" t="s">
        <v>263</v>
      </c>
      <c r="B165">
        <f t="array" ref="B165">SUM(IF('TEA data'!$A$4:$A$66='BSM Input'!$D165,IF('TEA data'!$B$4:$B$66='BSM Input'!$E165,IF('TEA data'!$D$4:$D$66='BSM Input'!$F165,IF('TEA data'!$E$4:$E$66='BSM Input'!$G165,'TEA data'!U$4:U$66,""),""),""),""))</f>
        <v>123649.91586594863</v>
      </c>
      <c r="D165" t="s">
        <v>755</v>
      </c>
      <c r="E165" t="s">
        <v>757</v>
      </c>
      <c r="F165" t="s">
        <v>3</v>
      </c>
      <c r="G165" t="s">
        <v>52</v>
      </c>
    </row>
    <row r="166" spans="1:7">
      <c r="A166" t="s">
        <v>264</v>
      </c>
      <c r="B166" s="17">
        <v>9999999</v>
      </c>
    </row>
    <row r="167" spans="1:7">
      <c r="A167" t="s">
        <v>265</v>
      </c>
      <c r="B167">
        <f t="array" ref="B167">SUM(IF('TEA data'!$A$4:$A$66='BSM Input'!$D167,IF('TEA data'!$B$4:$B$66='BSM Input'!$E167,IF('TEA data'!$D$4:$D$66='BSM Input'!$F167,IF('TEA data'!$E$4:$E$66='BSM Input'!$G167,'TEA data'!U$4:U$66,""),""),""),""))</f>
        <v>57621.190639999993</v>
      </c>
      <c r="D167" t="s">
        <v>755</v>
      </c>
      <c r="E167" t="s">
        <v>757</v>
      </c>
      <c r="F167" t="s">
        <v>4</v>
      </c>
      <c r="G167" t="s">
        <v>50</v>
      </c>
    </row>
    <row r="168" spans="1:7">
      <c r="A168" t="s">
        <v>266</v>
      </c>
      <c r="B168">
        <f t="array" ref="B168">SUM(IF('TEA data'!$A$4:$A$66='BSM Input'!$D168,IF('TEA data'!$B$4:$B$66='BSM Input'!$E168,IF('TEA data'!$D$4:$D$66='BSM Input'!$F168,IF('TEA data'!$E$4:$E$66='BSM Input'!$G168,'TEA data'!U$4:U$66,""),""),""),""))</f>
        <v>67086.190639999986</v>
      </c>
      <c r="D168" t="s">
        <v>755</v>
      </c>
      <c r="E168" t="s">
        <v>757</v>
      </c>
      <c r="F168" t="s">
        <v>4</v>
      </c>
      <c r="G168" t="s">
        <v>51</v>
      </c>
    </row>
    <row r="169" spans="1:7">
      <c r="A169" t="s">
        <v>267</v>
      </c>
      <c r="B169">
        <f t="array" ref="B169">SUM(IF('TEA data'!$A$4:$A$66='BSM Input'!$D169,IF('TEA data'!$B$4:$B$66='BSM Input'!$E169,IF('TEA data'!$D$4:$D$66='BSM Input'!$F169,IF('TEA data'!$E$4:$E$66='BSM Input'!$G169,'TEA data'!U$4:U$66,""),""),""),""))</f>
        <v>100538.82888319998</v>
      </c>
      <c r="D169" t="s">
        <v>755</v>
      </c>
      <c r="E169" t="s">
        <v>757</v>
      </c>
      <c r="F169" t="s">
        <v>4</v>
      </c>
      <c r="G169" t="s">
        <v>52</v>
      </c>
    </row>
    <row r="170" spans="1:7">
      <c r="A170" t="s">
        <v>268</v>
      </c>
      <c r="B170" s="17">
        <v>9999999</v>
      </c>
    </row>
    <row r="171" spans="1:7">
      <c r="A171" t="s">
        <v>269</v>
      </c>
      <c r="B171">
        <f t="array" ref="B171">SUM(IF('TEA data'!$A$4:$A$66='BSM Input'!$D171,IF('TEA data'!$B$4:$B$66='BSM Input'!$E171,IF('TEA data'!$D$4:$D$66='BSM Input'!$F171,IF('TEA data'!$E$4:$E$66='BSM Input'!$G171,'TEA data'!U$4:U$66,""),""),""),""))</f>
        <v>32057.106639999998</v>
      </c>
      <c r="D171" t="s">
        <v>756</v>
      </c>
      <c r="E171" t="s">
        <v>757</v>
      </c>
      <c r="F171" t="s">
        <v>2</v>
      </c>
      <c r="G171" t="s">
        <v>50</v>
      </c>
    </row>
    <row r="172" spans="1:7">
      <c r="A172" t="s">
        <v>270</v>
      </c>
      <c r="B172">
        <f t="array" ref="B172">SUM(IF('TEA data'!$A$4:$A$66='BSM Input'!$D172,IF('TEA data'!$B$4:$B$66='BSM Input'!$E172,IF('TEA data'!$D$4:$D$66='BSM Input'!$F172,IF('TEA data'!$E$4:$E$66='BSM Input'!$G172,'TEA data'!U$4:U$66,""),""),""),""))</f>
        <v>41522.106639999998</v>
      </c>
      <c r="D172" t="s">
        <v>756</v>
      </c>
      <c r="E172" t="s">
        <v>757</v>
      </c>
      <c r="F172" t="s">
        <v>2</v>
      </c>
      <c r="G172" t="s">
        <v>51</v>
      </c>
    </row>
    <row r="173" spans="1:7">
      <c r="A173" t="s">
        <v>271</v>
      </c>
      <c r="B173">
        <f t="array" ref="B173">SUM(IF('TEA data'!$A$4:$A$66='BSM Input'!$D173,IF('TEA data'!$B$4:$B$66='BSM Input'!$E173,IF('TEA data'!$D$4:$D$66='BSM Input'!$F173,IF('TEA data'!$E$4:$E$66='BSM Input'!$G173,'TEA data'!U$4:U$66,""),""),""),""))</f>
        <v>54408.409905856002</v>
      </c>
      <c r="D173" t="s">
        <v>756</v>
      </c>
      <c r="E173" t="s">
        <v>757</v>
      </c>
      <c r="F173" t="s">
        <v>2</v>
      </c>
      <c r="G173" t="s">
        <v>52</v>
      </c>
    </row>
    <row r="174" spans="1:7">
      <c r="A174" t="s">
        <v>272</v>
      </c>
      <c r="B174" s="17">
        <v>9999999</v>
      </c>
    </row>
    <row r="175" spans="1:7">
      <c r="A175" t="s">
        <v>273</v>
      </c>
      <c r="B175">
        <f t="array" ref="B175">SUM(IF('TEA data'!$A$4:$A$66='BSM Input'!$D175,IF('TEA data'!$B$4:$B$66='BSM Input'!$E175,IF('TEA data'!$D$4:$D$66='BSM Input'!$F175,IF('TEA data'!$E$4:$E$66='BSM Input'!$G175,'TEA data'!U$4:U$66,""),""),""),""))</f>
        <v>23634.504639199997</v>
      </c>
      <c r="D175" t="s">
        <v>756</v>
      </c>
      <c r="E175" t="s">
        <v>757</v>
      </c>
      <c r="F175" t="s">
        <v>3</v>
      </c>
      <c r="G175" t="s">
        <v>50</v>
      </c>
    </row>
    <row r="176" spans="1:7">
      <c r="A176" t="s">
        <v>274</v>
      </c>
      <c r="B176">
        <f t="array" ref="B176">SUM(IF('TEA data'!$A$4:$A$66='BSM Input'!$D176,IF('TEA data'!$B$4:$B$66='BSM Input'!$E176,IF('TEA data'!$D$4:$D$66='BSM Input'!$F176,IF('TEA data'!$E$4:$E$66='BSM Input'!$G176,'TEA data'!U$4:U$66,""),""),""),""))</f>
        <v>33099.504639199993</v>
      </c>
      <c r="D176" t="s">
        <v>756</v>
      </c>
      <c r="E176" t="s">
        <v>757</v>
      </c>
      <c r="F176" t="s">
        <v>3</v>
      </c>
      <c r="G176" t="s">
        <v>51</v>
      </c>
    </row>
    <row r="177" spans="1:7">
      <c r="A177" t="s">
        <v>275</v>
      </c>
      <c r="B177">
        <f t="array" ref="B177">SUM(IF('TEA data'!$A$4:$A$66='BSM Input'!$D177,IF('TEA data'!$B$4:$B$66='BSM Input'!$E177,IF('TEA data'!$D$4:$D$66='BSM Input'!$F177,IF('TEA data'!$E$4:$E$66='BSM Input'!$G177,'TEA data'!U$4:U$66,""),""),""),""))</f>
        <v>45985.807905055997</v>
      </c>
      <c r="D177" t="s">
        <v>756</v>
      </c>
      <c r="E177" t="s">
        <v>757</v>
      </c>
      <c r="F177" t="s">
        <v>3</v>
      </c>
      <c r="G177" t="s">
        <v>52</v>
      </c>
    </row>
    <row r="178" spans="1:7">
      <c r="A178" t="s">
        <v>276</v>
      </c>
      <c r="B178" s="17">
        <v>9999999</v>
      </c>
    </row>
    <row r="179" spans="1:7">
      <c r="A179" t="s">
        <v>277</v>
      </c>
      <c r="B179">
        <f t="array" ref="B179">SUM(IF('TEA data'!$A$4:$A$66='BSM Input'!$D179,IF('TEA data'!$B$4:$B$66='BSM Input'!$E179,IF('TEA data'!$D$4:$D$66='BSM Input'!$F179,IF('TEA data'!$E$4:$E$66='BSM Input'!$G179,'TEA data'!U$4:U$66,""),""),""),""))</f>
        <v>34707.574272799997</v>
      </c>
      <c r="D179" t="s">
        <v>756</v>
      </c>
      <c r="E179" t="s">
        <v>757</v>
      </c>
      <c r="F179" t="s">
        <v>4</v>
      </c>
      <c r="G179" t="s">
        <v>50</v>
      </c>
    </row>
    <row r="180" spans="1:7">
      <c r="A180" t="s">
        <v>278</v>
      </c>
      <c r="B180">
        <f t="array" ref="B180">SUM(IF('TEA data'!$A$4:$A$66='BSM Input'!$D180,IF('TEA data'!$B$4:$B$66='BSM Input'!$E180,IF('TEA data'!$D$4:$D$66='BSM Input'!$F180,IF('TEA data'!$E$4:$E$66='BSM Input'!$G180,'TEA data'!U$4:U$66,""),""),""),""))</f>
        <v>44172.574272799997</v>
      </c>
      <c r="D180" t="s">
        <v>756</v>
      </c>
      <c r="E180" t="s">
        <v>757</v>
      </c>
      <c r="F180" t="s">
        <v>4</v>
      </c>
      <c r="G180" t="s">
        <v>51</v>
      </c>
    </row>
    <row r="181" spans="1:7">
      <c r="A181" t="s">
        <v>279</v>
      </c>
      <c r="B181">
        <f t="array" ref="B181">SUM(IF('TEA data'!$A$4:$A$66='BSM Input'!$D181,IF('TEA data'!$B$4:$B$66='BSM Input'!$E181,IF('TEA data'!$D$4:$D$66='BSM Input'!$F181,IF('TEA data'!$E$4:$E$66='BSM Input'!$G181,'TEA data'!U$4:U$66,""),""),""),""))</f>
        <v>57058.877538656001</v>
      </c>
      <c r="D181" t="s">
        <v>756</v>
      </c>
      <c r="E181" t="s">
        <v>757</v>
      </c>
      <c r="F181" t="s">
        <v>4</v>
      </c>
      <c r="G181" t="s">
        <v>52</v>
      </c>
    </row>
    <row r="182" spans="1:7">
      <c r="A182" t="s">
        <v>280</v>
      </c>
      <c r="B182" s="17">
        <v>9999999</v>
      </c>
    </row>
    <row r="183" spans="1:7">
      <c r="A183" t="s">
        <v>281</v>
      </c>
      <c r="B183" s="17">
        <v>9999999</v>
      </c>
      <c r="D183" t="s">
        <v>753</v>
      </c>
      <c r="E183" t="s">
        <v>758</v>
      </c>
      <c r="F183" t="s">
        <v>2</v>
      </c>
      <c r="G183" t="s">
        <v>50</v>
      </c>
    </row>
    <row r="184" spans="1:7">
      <c r="A184" t="s">
        <v>282</v>
      </c>
      <c r="B184" s="17">
        <v>9999999</v>
      </c>
      <c r="D184" t="s">
        <v>753</v>
      </c>
      <c r="E184" t="s">
        <v>758</v>
      </c>
      <c r="F184" t="s">
        <v>2</v>
      </c>
      <c r="G184" t="s">
        <v>51</v>
      </c>
    </row>
    <row r="185" spans="1:7">
      <c r="A185" t="s">
        <v>283</v>
      </c>
      <c r="B185" s="17">
        <v>9999999</v>
      </c>
      <c r="D185" t="s">
        <v>753</v>
      </c>
      <c r="E185" t="s">
        <v>758</v>
      </c>
      <c r="F185" t="s">
        <v>2</v>
      </c>
      <c r="G185" t="s">
        <v>52</v>
      </c>
    </row>
    <row r="186" spans="1:7">
      <c r="A186" t="s">
        <v>284</v>
      </c>
      <c r="B186" s="17">
        <v>9999999</v>
      </c>
    </row>
    <row r="187" spans="1:7">
      <c r="A187" t="s">
        <v>285</v>
      </c>
      <c r="B187" s="17">
        <v>9999999</v>
      </c>
      <c r="D187" t="s">
        <v>753</v>
      </c>
      <c r="E187" t="s">
        <v>758</v>
      </c>
      <c r="F187" t="s">
        <v>3</v>
      </c>
      <c r="G187" t="s">
        <v>50</v>
      </c>
    </row>
    <row r="188" spans="1:7">
      <c r="A188" t="s">
        <v>286</v>
      </c>
      <c r="B188" s="17">
        <v>9999999</v>
      </c>
      <c r="D188" t="s">
        <v>753</v>
      </c>
      <c r="E188" t="s">
        <v>758</v>
      </c>
      <c r="F188" t="s">
        <v>3</v>
      </c>
      <c r="G188" t="s">
        <v>51</v>
      </c>
    </row>
    <row r="189" spans="1:7">
      <c r="A189" t="s">
        <v>287</v>
      </c>
      <c r="B189" s="17">
        <v>9999999</v>
      </c>
      <c r="D189" t="s">
        <v>753</v>
      </c>
      <c r="E189" t="s">
        <v>758</v>
      </c>
      <c r="F189" t="s">
        <v>3</v>
      </c>
      <c r="G189" t="s">
        <v>52</v>
      </c>
    </row>
    <row r="190" spans="1:7">
      <c r="A190" t="s">
        <v>288</v>
      </c>
      <c r="B190" s="17">
        <v>9999999</v>
      </c>
    </row>
    <row r="191" spans="1:7">
      <c r="A191" t="s">
        <v>289</v>
      </c>
      <c r="B191">
        <f t="array" ref="B191">SUM(IF('TEA data'!$A$4:$A$66='BSM Input'!$D191,IF('TEA data'!$B$4:$B$66='BSM Input'!$E191,IF('TEA data'!$D$4:$D$66='BSM Input'!$F191,IF('TEA data'!$E$4:$E$66='BSM Input'!$G191,'TEA data'!U$4:U$66,""),""),""),""))</f>
        <v>59827.591278</v>
      </c>
      <c r="D191" t="s">
        <v>753</v>
      </c>
      <c r="E191" t="s">
        <v>758</v>
      </c>
      <c r="F191" t="s">
        <v>4</v>
      </c>
      <c r="G191" t="s">
        <v>50</v>
      </c>
    </row>
    <row r="192" spans="1:7">
      <c r="A192" t="s">
        <v>290</v>
      </c>
      <c r="B192">
        <f t="array" ref="B192">SUM(IF('TEA data'!$A$4:$A$66='BSM Input'!$D192,IF('TEA data'!$B$4:$B$66='BSM Input'!$E192,IF('TEA data'!$D$4:$D$66='BSM Input'!$F192,IF('TEA data'!$E$4:$E$66='BSM Input'!$G192,'TEA data'!U$4:U$66,""),""),""),""))</f>
        <v>76227.591278000007</v>
      </c>
      <c r="D192" t="s">
        <v>753</v>
      </c>
      <c r="E192" t="s">
        <v>758</v>
      </c>
      <c r="F192" t="s">
        <v>4</v>
      </c>
      <c r="G192" t="s">
        <v>51</v>
      </c>
    </row>
    <row r="193" spans="1:7">
      <c r="A193" t="s">
        <v>291</v>
      </c>
      <c r="B193">
        <f t="array" ref="B193">SUM(IF('TEA data'!$A$4:$A$66='BSM Input'!$D193,IF('TEA data'!$B$4:$B$66='BSM Input'!$E193,IF('TEA data'!$D$4:$D$66='BSM Input'!$F193,IF('TEA data'!$E$4:$E$66='BSM Input'!$G193,'TEA data'!U$4:U$66,""),""),""),""))</f>
        <v>98854.376942000003</v>
      </c>
      <c r="D193" t="s">
        <v>753</v>
      </c>
      <c r="E193" t="s">
        <v>758</v>
      </c>
      <c r="F193" t="s">
        <v>4</v>
      </c>
      <c r="G193" t="s">
        <v>52</v>
      </c>
    </row>
    <row r="194" spans="1:7">
      <c r="A194" t="s">
        <v>292</v>
      </c>
      <c r="B194" s="17">
        <v>9999999</v>
      </c>
    </row>
    <row r="195" spans="1:7">
      <c r="A195" t="s">
        <v>293</v>
      </c>
      <c r="B195">
        <f t="array" ref="B195">SUM(IF('TEA data'!$A$4:$A$66='BSM Input'!$D195,IF('TEA data'!$B$4:$B$66='BSM Input'!$E195,IF('TEA data'!$D$4:$D$66='BSM Input'!$F195,IF('TEA data'!$E$4:$E$66='BSM Input'!$G195,'TEA data'!U$4:U$66,""),""),""),""))</f>
        <v>87811.211279999989</v>
      </c>
      <c r="D195" t="s">
        <v>755</v>
      </c>
      <c r="E195" t="s">
        <v>758</v>
      </c>
      <c r="F195" t="s">
        <v>2</v>
      </c>
      <c r="G195" t="s">
        <v>50</v>
      </c>
    </row>
    <row r="196" spans="1:7">
      <c r="A196" t="s">
        <v>294</v>
      </c>
      <c r="B196">
        <f t="array" ref="B196">SUM(IF('TEA data'!$A$4:$A$66='BSM Input'!$D196,IF('TEA data'!$B$4:$B$66='BSM Input'!$E196,IF('TEA data'!$D$4:$D$66='BSM Input'!$F196,IF('TEA data'!$E$4:$E$66='BSM Input'!$G196,'TEA data'!U$4:U$66,""),""),""),""))</f>
        <v>104211.21127999999</v>
      </c>
      <c r="D196" t="s">
        <v>755</v>
      </c>
      <c r="E196" t="s">
        <v>758</v>
      </c>
      <c r="F196" t="s">
        <v>2</v>
      </c>
      <c r="G196" t="s">
        <v>51</v>
      </c>
    </row>
    <row r="197" spans="1:7">
      <c r="A197" t="s">
        <v>295</v>
      </c>
      <c r="B197">
        <f t="array" ref="B197">SUM(IF('TEA data'!$A$4:$A$66='BSM Input'!$D197,IF('TEA data'!$B$4:$B$66='BSM Input'!$E197,IF('TEA data'!$D$4:$D$66='BSM Input'!$F197,IF('TEA data'!$E$4:$E$66='BSM Input'!$G197,'TEA data'!U$4:U$66,""),""),""),""))</f>
        <v>190724.7601817773</v>
      </c>
      <c r="D197" t="s">
        <v>755</v>
      </c>
      <c r="E197" t="s">
        <v>758</v>
      </c>
      <c r="F197" t="s">
        <v>2</v>
      </c>
      <c r="G197" t="s">
        <v>52</v>
      </c>
    </row>
    <row r="198" spans="1:7">
      <c r="A198" t="s">
        <v>296</v>
      </c>
      <c r="B198" s="17">
        <v>9999999</v>
      </c>
    </row>
    <row r="199" spans="1:7">
      <c r="A199" t="s">
        <v>297</v>
      </c>
      <c r="B199">
        <f t="array" ref="B199">SUM(IF('TEA data'!$A$4:$A$66='BSM Input'!$D199,IF('TEA data'!$B$4:$B$66='BSM Input'!$E199,IF('TEA data'!$D$4:$D$66='BSM Input'!$F199,IF('TEA data'!$E$4:$E$66='BSM Input'!$G199,'TEA data'!U$4:U$66,""),""),""),""))</f>
        <v>102108.40691999999</v>
      </c>
      <c r="D199" t="s">
        <v>755</v>
      </c>
      <c r="E199" t="s">
        <v>758</v>
      </c>
      <c r="F199" t="s">
        <v>3</v>
      </c>
      <c r="G199" t="s">
        <v>50</v>
      </c>
    </row>
    <row r="200" spans="1:7">
      <c r="A200" t="s">
        <v>298</v>
      </c>
      <c r="B200">
        <f t="array" ref="B200">SUM(IF('TEA data'!$A$4:$A$66='BSM Input'!$D200,IF('TEA data'!$B$4:$B$66='BSM Input'!$E200,IF('TEA data'!$D$4:$D$66='BSM Input'!$F200,IF('TEA data'!$E$4:$E$66='BSM Input'!$G200,'TEA data'!U$4:U$66,""),""),""),""))</f>
        <v>134908.40691999998</v>
      </c>
      <c r="D200" t="s">
        <v>755</v>
      </c>
      <c r="E200" t="s">
        <v>758</v>
      </c>
      <c r="F200" t="s">
        <v>3</v>
      </c>
      <c r="G200" t="s">
        <v>51</v>
      </c>
    </row>
    <row r="201" spans="1:7">
      <c r="A201" t="s">
        <v>299</v>
      </c>
      <c r="B201">
        <f t="array" ref="B201">SUM(IF('TEA data'!$A$4:$A$66='BSM Input'!$D201,IF('TEA data'!$B$4:$B$66='BSM Input'!$E201,IF('TEA data'!$D$4:$D$66='BSM Input'!$F201,IF('TEA data'!$E$4:$E$66='BSM Input'!$G201,'TEA data'!U$4:U$66,""),""),""),""))</f>
        <v>316001.407156136</v>
      </c>
      <c r="D201" t="s">
        <v>755</v>
      </c>
      <c r="E201" t="s">
        <v>758</v>
      </c>
      <c r="F201" t="s">
        <v>3</v>
      </c>
      <c r="G201" t="s">
        <v>52</v>
      </c>
    </row>
    <row r="202" spans="1:7">
      <c r="A202" t="s">
        <v>300</v>
      </c>
      <c r="B202" s="17">
        <v>9999999</v>
      </c>
    </row>
    <row r="203" spans="1:7">
      <c r="A203" t="s">
        <v>301</v>
      </c>
      <c r="B203">
        <f t="array" ref="B203">SUM(IF('TEA data'!$A$4:$A$66='BSM Input'!$D203,IF('TEA data'!$B$4:$B$66='BSM Input'!$E203,IF('TEA data'!$D$4:$D$66='BSM Input'!$F203,IF('TEA data'!$E$4:$E$66='BSM Input'!$G203,'TEA data'!U$4:U$66,""),""),""),""))</f>
        <v>120708.28067999998</v>
      </c>
      <c r="D203" t="s">
        <v>755</v>
      </c>
      <c r="E203" t="s">
        <v>758</v>
      </c>
      <c r="F203" t="s">
        <v>4</v>
      </c>
      <c r="G203" t="s">
        <v>50</v>
      </c>
    </row>
    <row r="204" spans="1:7">
      <c r="A204" t="s">
        <v>302</v>
      </c>
      <c r="B204">
        <f t="array" ref="B204">SUM(IF('TEA data'!$A$4:$A$66='BSM Input'!$D204,IF('TEA data'!$B$4:$B$66='BSM Input'!$E204,IF('TEA data'!$D$4:$D$66='BSM Input'!$F204,IF('TEA data'!$E$4:$E$66='BSM Input'!$G204,'TEA data'!U$4:U$66,""),""),""),""))</f>
        <v>137108.28067999997</v>
      </c>
      <c r="D204" t="s">
        <v>755</v>
      </c>
      <c r="E204" t="s">
        <v>758</v>
      </c>
      <c r="F204" t="s">
        <v>4</v>
      </c>
      <c r="G204" t="s">
        <v>51</v>
      </c>
    </row>
    <row r="205" spans="1:7">
      <c r="A205" t="s">
        <v>303</v>
      </c>
      <c r="B205">
        <f t="array" ref="B205">SUM(IF('TEA data'!$A$4:$A$66='BSM Input'!$D205,IF('TEA data'!$B$4:$B$66='BSM Input'!$E205,IF('TEA data'!$D$4:$D$66='BSM Input'!$F205,IF('TEA data'!$E$4:$E$66='BSM Input'!$G205,'TEA data'!U$4:U$66,""),""),""),""))</f>
        <v>231964.76596399996</v>
      </c>
      <c r="D205" t="s">
        <v>755</v>
      </c>
      <c r="E205" t="s">
        <v>758</v>
      </c>
      <c r="F205" t="s">
        <v>4</v>
      </c>
      <c r="G205" t="s">
        <v>52</v>
      </c>
    </row>
    <row r="206" spans="1:7">
      <c r="A206" t="s">
        <v>304</v>
      </c>
      <c r="B206" s="17">
        <v>9999999</v>
      </c>
    </row>
    <row r="207" spans="1:7">
      <c r="A207" t="s">
        <v>305</v>
      </c>
      <c r="B207">
        <f t="array" ref="B207">SUM(IF('TEA data'!$A$4:$A$66='BSM Input'!$D207,IF('TEA data'!$B$4:$B$66='BSM Input'!$E207,IF('TEA data'!$D$4:$D$66='BSM Input'!$F207,IF('TEA data'!$E$4:$E$66='BSM Input'!$G207,'TEA data'!U$4:U$66,""),""),""),""))</f>
        <v>63624.128879999997</v>
      </c>
      <c r="D207" t="s">
        <v>756</v>
      </c>
      <c r="E207" t="s">
        <v>758</v>
      </c>
      <c r="F207" t="s">
        <v>2</v>
      </c>
      <c r="G207" t="s">
        <v>50</v>
      </c>
    </row>
    <row r="208" spans="1:7">
      <c r="A208" t="s">
        <v>306</v>
      </c>
      <c r="B208">
        <f t="array" ref="B208">SUM(IF('TEA data'!$A$4:$A$66='BSM Input'!$D208,IF('TEA data'!$B$4:$B$66='BSM Input'!$E208,IF('TEA data'!$D$4:$D$66='BSM Input'!$F208,IF('TEA data'!$E$4:$E$66='BSM Input'!$G208,'TEA data'!U$4:U$66,""),""),""),""))</f>
        <v>80024.128880000004</v>
      </c>
      <c r="D208" t="s">
        <v>756</v>
      </c>
      <c r="E208" t="s">
        <v>758</v>
      </c>
      <c r="F208" t="s">
        <v>2</v>
      </c>
      <c r="G208" t="s">
        <v>51</v>
      </c>
    </row>
    <row r="209" spans="1:7">
      <c r="A209" t="s">
        <v>307</v>
      </c>
      <c r="B209">
        <f t="array" ref="B209">SUM(IF('TEA data'!$A$4:$A$66='BSM Input'!$D209,IF('TEA data'!$B$4:$B$66='BSM Input'!$E209,IF('TEA data'!$D$4:$D$66='BSM Input'!$F209,IF('TEA data'!$E$4:$E$66='BSM Input'!$G209,'TEA data'!U$4:U$66,""),""),""),""))</f>
        <v>147681.64019696001</v>
      </c>
      <c r="D209" t="s">
        <v>756</v>
      </c>
      <c r="E209" t="s">
        <v>758</v>
      </c>
      <c r="F209" t="s">
        <v>2</v>
      </c>
      <c r="G209" t="s">
        <v>52</v>
      </c>
    </row>
    <row r="210" spans="1:7">
      <c r="A210" t="s">
        <v>308</v>
      </c>
      <c r="B210" s="17">
        <v>9999999</v>
      </c>
    </row>
    <row r="211" spans="1:7">
      <c r="A211" t="s">
        <v>309</v>
      </c>
      <c r="B211">
        <f t="array" ref="B211">SUM(IF('TEA data'!$A$4:$A$66='BSM Input'!$D211,IF('TEA data'!$B$4:$B$66='BSM Input'!$E211,IF('TEA data'!$D$4:$D$66='BSM Input'!$F211,IF('TEA data'!$E$4:$E$66='BSM Input'!$G211,'TEA data'!U$4:U$66,""),""),""),""))</f>
        <v>68065.088441999993</v>
      </c>
      <c r="D211" t="s">
        <v>756</v>
      </c>
      <c r="E211" t="s">
        <v>758</v>
      </c>
      <c r="F211" t="s">
        <v>3</v>
      </c>
      <c r="G211" t="s">
        <v>50</v>
      </c>
    </row>
    <row r="212" spans="1:7">
      <c r="A212" t="s">
        <v>310</v>
      </c>
      <c r="B212">
        <f t="array" ref="B212">SUM(IF('TEA data'!$A$4:$A$66='BSM Input'!$D212,IF('TEA data'!$B$4:$B$66='BSM Input'!$E212,IF('TEA data'!$D$4:$D$66='BSM Input'!$F212,IF('TEA data'!$E$4:$E$66='BSM Input'!$G212,'TEA data'!U$4:U$66,""),""),""),""))</f>
        <v>84465.088441999993</v>
      </c>
      <c r="D212" t="s">
        <v>756</v>
      </c>
      <c r="E212" t="s">
        <v>758</v>
      </c>
      <c r="F212" t="s">
        <v>3</v>
      </c>
      <c r="G212" t="s">
        <v>51</v>
      </c>
    </row>
    <row r="213" spans="1:7">
      <c r="A213" t="s">
        <v>311</v>
      </c>
      <c r="B213">
        <f t="array" ref="B213">SUM(IF('TEA data'!$A$4:$A$66='BSM Input'!$D213,IF('TEA data'!$B$4:$B$66='BSM Input'!$E213,IF('TEA data'!$D$4:$D$66='BSM Input'!$F213,IF('TEA data'!$E$4:$E$66='BSM Input'!$G213,'TEA data'!U$4:U$66,""),""),""),""))</f>
        <v>152122.59975896002</v>
      </c>
      <c r="D213" t="s">
        <v>756</v>
      </c>
      <c r="E213" t="s">
        <v>758</v>
      </c>
      <c r="F213" t="s">
        <v>3</v>
      </c>
      <c r="G213" t="s">
        <v>52</v>
      </c>
    </row>
    <row r="214" spans="1:7">
      <c r="A214" t="s">
        <v>312</v>
      </c>
      <c r="B214" s="17">
        <v>9999999</v>
      </c>
    </row>
    <row r="215" spans="1:7">
      <c r="A215" t="s">
        <v>313</v>
      </c>
      <c r="B215">
        <f t="array" ref="B215">SUM(IF('TEA data'!$A$4:$A$66='BSM Input'!$D215,IF('TEA data'!$B$4:$B$66='BSM Input'!$E215,IF('TEA data'!$D$4:$D$66='BSM Input'!$F215,IF('TEA data'!$E$4:$E$66='BSM Input'!$G215,'TEA data'!U$4:U$66,""),""),""),""))</f>
        <v>83399.706078000003</v>
      </c>
      <c r="D215" t="s">
        <v>756</v>
      </c>
      <c r="E215" t="s">
        <v>758</v>
      </c>
      <c r="F215" t="s">
        <v>4</v>
      </c>
      <c r="G215" t="s">
        <v>50</v>
      </c>
    </row>
    <row r="216" spans="1:7">
      <c r="A216" t="s">
        <v>314</v>
      </c>
      <c r="B216">
        <f t="array" ref="B216">SUM(IF('TEA data'!$A$4:$A$66='BSM Input'!$D216,IF('TEA data'!$B$4:$B$66='BSM Input'!$E216,IF('TEA data'!$D$4:$D$66='BSM Input'!$F216,IF('TEA data'!$E$4:$E$66='BSM Input'!$G216,'TEA data'!U$4:U$66,""),""),""),""))</f>
        <v>99799.706078000003</v>
      </c>
      <c r="D216" t="s">
        <v>756</v>
      </c>
      <c r="E216" t="s">
        <v>758</v>
      </c>
      <c r="F216" t="s">
        <v>4</v>
      </c>
      <c r="G216" t="s">
        <v>51</v>
      </c>
    </row>
    <row r="217" spans="1:7">
      <c r="A217" t="s">
        <v>315</v>
      </c>
      <c r="B217">
        <f t="array" ref="B217">SUM(IF('TEA data'!$A$4:$A$66='BSM Input'!$D217,IF('TEA data'!$B$4:$B$66='BSM Input'!$E217,IF('TEA data'!$D$4:$D$66='BSM Input'!$F217,IF('TEA data'!$E$4:$E$66='BSM Input'!$G217,'TEA data'!U$4:U$66,""),""),""),""))</f>
        <v>167457.21739496</v>
      </c>
      <c r="D217" t="s">
        <v>756</v>
      </c>
      <c r="E217" t="s">
        <v>758</v>
      </c>
      <c r="F217" t="s">
        <v>4</v>
      </c>
      <c r="G217" t="s">
        <v>52</v>
      </c>
    </row>
    <row r="218" spans="1:7">
      <c r="A218" t="s">
        <v>316</v>
      </c>
      <c r="B218" s="17">
        <v>9999999</v>
      </c>
    </row>
    <row r="220" spans="1:7">
      <c r="A220" t="s">
        <v>317</v>
      </c>
      <c r="B220" s="17">
        <v>9999999</v>
      </c>
      <c r="D220" t="s">
        <v>753</v>
      </c>
      <c r="E220" t="s">
        <v>754</v>
      </c>
      <c r="F220" t="s">
        <v>2</v>
      </c>
      <c r="G220" t="s">
        <v>50</v>
      </c>
    </row>
    <row r="221" spans="1:7">
      <c r="A221" t="s">
        <v>318</v>
      </c>
      <c r="B221" s="17">
        <v>9999999</v>
      </c>
      <c r="D221" t="s">
        <v>753</v>
      </c>
      <c r="E221" t="s">
        <v>754</v>
      </c>
      <c r="F221" t="s">
        <v>2</v>
      </c>
      <c r="G221" t="s">
        <v>51</v>
      </c>
    </row>
    <row r="222" spans="1:7">
      <c r="A222" t="s">
        <v>319</v>
      </c>
      <c r="B222" s="17">
        <v>9999999</v>
      </c>
      <c r="D222" t="s">
        <v>753</v>
      </c>
      <c r="E222" t="s">
        <v>754</v>
      </c>
      <c r="F222" t="s">
        <v>2</v>
      </c>
      <c r="G222" t="s">
        <v>52</v>
      </c>
    </row>
    <row r="223" spans="1:7">
      <c r="A223" t="s">
        <v>320</v>
      </c>
      <c r="B223" s="17">
        <v>9999999</v>
      </c>
    </row>
    <row r="224" spans="1:7">
      <c r="A224" t="s">
        <v>321</v>
      </c>
      <c r="B224" s="17">
        <v>9999999</v>
      </c>
      <c r="D224" t="s">
        <v>753</v>
      </c>
      <c r="E224" t="s">
        <v>754</v>
      </c>
      <c r="F224" t="s">
        <v>3</v>
      </c>
      <c r="G224" t="s">
        <v>50</v>
      </c>
    </row>
    <row r="225" spans="1:7">
      <c r="A225" t="s">
        <v>322</v>
      </c>
      <c r="B225" s="17">
        <v>9999999</v>
      </c>
      <c r="D225" t="s">
        <v>753</v>
      </c>
      <c r="E225" t="s">
        <v>754</v>
      </c>
      <c r="F225" t="s">
        <v>3</v>
      </c>
      <c r="G225" t="s">
        <v>51</v>
      </c>
    </row>
    <row r="226" spans="1:7">
      <c r="A226" t="s">
        <v>323</v>
      </c>
      <c r="B226" s="17">
        <v>9999999</v>
      </c>
      <c r="D226" t="s">
        <v>753</v>
      </c>
      <c r="E226" t="s">
        <v>754</v>
      </c>
      <c r="F226" t="s">
        <v>3</v>
      </c>
      <c r="G226" t="s">
        <v>52</v>
      </c>
    </row>
    <row r="227" spans="1:7">
      <c r="A227" t="s">
        <v>324</v>
      </c>
      <c r="B227" s="17">
        <v>9999999</v>
      </c>
    </row>
    <row r="228" spans="1:7">
      <c r="A228" t="s">
        <v>325</v>
      </c>
      <c r="B228">
        <f t="array" ref="B228">SUM(IF('TEA data'!$A$4:$A$66='BSM Input'!$D228,IF('TEA data'!$B$4:$B$66='BSM Input'!$E228,IF('TEA data'!$D$4:$D$66='BSM Input'!$F228,IF('TEA data'!$E$4:$E$66='BSM Input'!$G228,'TEA data'!W$4:W$66,""),""),""),""))</f>
        <v>0</v>
      </c>
      <c r="D228" t="s">
        <v>753</v>
      </c>
      <c r="E228" t="s">
        <v>754</v>
      </c>
      <c r="F228" t="s">
        <v>4</v>
      </c>
      <c r="G228" t="s">
        <v>50</v>
      </c>
    </row>
    <row r="229" spans="1:7">
      <c r="A229" t="s">
        <v>326</v>
      </c>
      <c r="B229">
        <f t="array" ref="B229">SUM(IF('TEA data'!$A$4:$A$66='BSM Input'!$D229,IF('TEA data'!$B$4:$B$66='BSM Input'!$E229,IF('TEA data'!$D$4:$D$66='BSM Input'!$F229,IF('TEA data'!$E$4:$E$66='BSM Input'!$G229,'TEA data'!W$4:W$66,""),""),""),""))</f>
        <v>21813.668464769999</v>
      </c>
      <c r="D229" t="s">
        <v>753</v>
      </c>
      <c r="E229" t="s">
        <v>754</v>
      </c>
      <c r="F229" t="s">
        <v>4</v>
      </c>
      <c r="G229" t="s">
        <v>51</v>
      </c>
    </row>
    <row r="230" spans="1:7">
      <c r="A230" t="s">
        <v>327</v>
      </c>
      <c r="B230">
        <f t="array" ref="B230">SUM(IF('TEA data'!$A$4:$A$66='BSM Input'!$D230,IF('TEA data'!$B$4:$B$66='BSM Input'!$E230,IF('TEA data'!$D$4:$D$66='BSM Input'!$F230,IF('TEA data'!$E$4:$E$66='BSM Input'!$G230,'TEA data'!W$4:W$66,""),""),""),""))</f>
        <v>21813.668464769999</v>
      </c>
      <c r="D230" t="s">
        <v>753</v>
      </c>
      <c r="E230" t="s">
        <v>754</v>
      </c>
      <c r="F230" t="s">
        <v>4</v>
      </c>
      <c r="G230" t="s">
        <v>52</v>
      </c>
    </row>
    <row r="231" spans="1:7">
      <c r="A231" t="s">
        <v>328</v>
      </c>
      <c r="B231" s="17">
        <v>9999999</v>
      </c>
    </row>
    <row r="232" spans="1:7">
      <c r="A232" t="s">
        <v>329</v>
      </c>
      <c r="B232">
        <f t="array" ref="B232">SUM(IF('TEA data'!$A$4:$A$66='BSM Input'!$D232,IF('TEA data'!$B$4:$B$66='BSM Input'!$E232,IF('TEA data'!$D$4:$D$66='BSM Input'!$F232,IF('TEA data'!$E$4:$E$66='BSM Input'!$G232,'TEA data'!W$4:W$66,""),""),""),""))</f>
        <v>0</v>
      </c>
      <c r="D232" t="s">
        <v>755</v>
      </c>
      <c r="E232" t="s">
        <v>754</v>
      </c>
      <c r="F232" t="s">
        <v>2</v>
      </c>
      <c r="G232" t="s">
        <v>50</v>
      </c>
    </row>
    <row r="233" spans="1:7">
      <c r="A233" t="s">
        <v>330</v>
      </c>
      <c r="B233">
        <f t="array" ref="B233">SUM(IF('TEA data'!$A$4:$A$66='BSM Input'!$D233,IF('TEA data'!$B$4:$B$66='BSM Input'!$E233,IF('TEA data'!$D$4:$D$66='BSM Input'!$F233,IF('TEA data'!$E$4:$E$66='BSM Input'!$G233,'TEA data'!W$4:W$66,""),""),""),""))</f>
        <v>27964.538342</v>
      </c>
      <c r="D233" t="s">
        <v>755</v>
      </c>
      <c r="E233" t="s">
        <v>754</v>
      </c>
      <c r="F233" t="s">
        <v>2</v>
      </c>
      <c r="G233" t="s">
        <v>51</v>
      </c>
    </row>
    <row r="234" spans="1:7">
      <c r="A234" t="s">
        <v>331</v>
      </c>
      <c r="B234">
        <f t="array" ref="B234">SUM(IF('TEA data'!$A$4:$A$66='BSM Input'!$D234,IF('TEA data'!$B$4:$B$66='BSM Input'!$E234,IF('TEA data'!$D$4:$D$66='BSM Input'!$F234,IF('TEA data'!$E$4:$E$66='BSM Input'!$G234,'TEA data'!W$4:W$66,""),""),""),""))</f>
        <v>27964.538342</v>
      </c>
      <c r="D234" t="s">
        <v>755</v>
      </c>
      <c r="E234" t="s">
        <v>754</v>
      </c>
      <c r="F234" t="s">
        <v>2</v>
      </c>
      <c r="G234" t="s">
        <v>52</v>
      </c>
    </row>
    <row r="235" spans="1:7">
      <c r="A235" t="s">
        <v>332</v>
      </c>
      <c r="B235" s="17">
        <v>9999999</v>
      </c>
    </row>
    <row r="236" spans="1:7">
      <c r="A236" t="s">
        <v>333</v>
      </c>
      <c r="B236">
        <f t="array" ref="B236">SUM(IF('TEA data'!$A$4:$A$66='BSM Input'!$D236,IF('TEA data'!$B$4:$B$66='BSM Input'!$E236,IF('TEA data'!$D$4:$D$66='BSM Input'!$F236,IF('TEA data'!$E$4:$E$66='BSM Input'!$G236,'TEA data'!W$4:W$66,""),""),""),""))</f>
        <v>0</v>
      </c>
      <c r="D236" t="s">
        <v>755</v>
      </c>
      <c r="E236" t="s">
        <v>754</v>
      </c>
      <c r="F236" t="s">
        <v>3</v>
      </c>
      <c r="G236" t="s">
        <v>50</v>
      </c>
    </row>
    <row r="237" spans="1:7">
      <c r="A237" t="s">
        <v>334</v>
      </c>
      <c r="B237">
        <f t="array" ref="B237">SUM(IF('TEA data'!$A$4:$A$66='BSM Input'!$D237,IF('TEA data'!$B$4:$B$66='BSM Input'!$E237,IF('TEA data'!$D$4:$D$66='BSM Input'!$F237,IF('TEA data'!$E$4:$E$66='BSM Input'!$G237,'TEA data'!W$4:W$66,""),""),""),""))</f>
        <v>22708.536174999997</v>
      </c>
      <c r="D237" t="s">
        <v>755</v>
      </c>
      <c r="E237" t="s">
        <v>754</v>
      </c>
      <c r="F237" t="s">
        <v>3</v>
      </c>
      <c r="G237" t="s">
        <v>51</v>
      </c>
    </row>
    <row r="238" spans="1:7">
      <c r="A238" t="s">
        <v>335</v>
      </c>
      <c r="B238">
        <f t="array" ref="B238">SUM(IF('TEA data'!$A$4:$A$66='BSM Input'!$D238,IF('TEA data'!$B$4:$B$66='BSM Input'!$E238,IF('TEA data'!$D$4:$D$66='BSM Input'!$F238,IF('TEA data'!$E$4:$E$66='BSM Input'!$G238,'TEA data'!W$4:W$66,""),""),""),""))</f>
        <v>22708.536174999997</v>
      </c>
      <c r="D238" t="s">
        <v>755</v>
      </c>
      <c r="E238" t="s">
        <v>754</v>
      </c>
      <c r="F238" t="s">
        <v>3</v>
      </c>
      <c r="G238" t="s">
        <v>52</v>
      </c>
    </row>
    <row r="239" spans="1:7">
      <c r="A239" t="s">
        <v>336</v>
      </c>
      <c r="B239" s="17">
        <v>9999999</v>
      </c>
    </row>
    <row r="240" spans="1:7">
      <c r="A240" t="s">
        <v>337</v>
      </c>
      <c r="B240">
        <f t="array" ref="B240">SUM(IF('TEA data'!$A$4:$A$66='BSM Input'!$D240,IF('TEA data'!$B$4:$B$66='BSM Input'!$E240,IF('TEA data'!$D$4:$D$66='BSM Input'!$F240,IF('TEA data'!$E$4:$E$66='BSM Input'!$G240,'TEA data'!W$4:W$66,""),""),""),""))</f>
        <v>0</v>
      </c>
      <c r="D240" t="s">
        <v>755</v>
      </c>
      <c r="E240" t="s">
        <v>754</v>
      </c>
      <c r="F240" t="s">
        <v>4</v>
      </c>
      <c r="G240" t="s">
        <v>50</v>
      </c>
    </row>
    <row r="241" spans="1:7">
      <c r="A241" t="s">
        <v>338</v>
      </c>
      <c r="B241">
        <f t="array" ref="B241">SUM(IF('TEA data'!$A$4:$A$66='BSM Input'!$D241,IF('TEA data'!$B$4:$B$66='BSM Input'!$E241,IF('TEA data'!$D$4:$D$66='BSM Input'!$F241,IF('TEA data'!$E$4:$E$66='BSM Input'!$G241,'TEA data'!W$4:W$66,""),""),""),""))</f>
        <v>31711.403034999996</v>
      </c>
      <c r="D241" t="s">
        <v>755</v>
      </c>
      <c r="E241" t="s">
        <v>754</v>
      </c>
      <c r="F241" t="s">
        <v>4</v>
      </c>
      <c r="G241" t="s">
        <v>51</v>
      </c>
    </row>
    <row r="242" spans="1:7">
      <c r="A242" t="s">
        <v>339</v>
      </c>
      <c r="B242">
        <f t="array" ref="B242">SUM(IF('TEA data'!$A$4:$A$66='BSM Input'!$D242,IF('TEA data'!$B$4:$B$66='BSM Input'!$E242,IF('TEA data'!$D$4:$D$66='BSM Input'!$F242,IF('TEA data'!$E$4:$E$66='BSM Input'!$G242,'TEA data'!W$4:W$66,""),""),""),""))</f>
        <v>31711.403034999996</v>
      </c>
      <c r="D242" t="s">
        <v>755</v>
      </c>
      <c r="E242" t="s">
        <v>754</v>
      </c>
      <c r="F242" t="s">
        <v>4</v>
      </c>
      <c r="G242" t="s">
        <v>52</v>
      </c>
    </row>
    <row r="243" spans="1:7">
      <c r="A243" t="s">
        <v>340</v>
      </c>
      <c r="B243" s="17">
        <v>9999999</v>
      </c>
    </row>
    <row r="244" spans="1:7">
      <c r="A244" t="s">
        <v>341</v>
      </c>
      <c r="B244">
        <f t="array" ref="B244">SUM(IF('TEA data'!$A$4:$A$66='BSM Input'!$D244,IF('TEA data'!$B$4:$B$66='BSM Input'!$E244,IF('TEA data'!$D$4:$D$66='BSM Input'!$F244,IF('TEA data'!$E$4:$E$66='BSM Input'!$G244,'TEA data'!W$4:W$66,""),""),""),""))</f>
        <v>0</v>
      </c>
      <c r="D244" t="s">
        <v>756</v>
      </c>
      <c r="E244" t="s">
        <v>754</v>
      </c>
      <c r="F244" t="s">
        <v>2</v>
      </c>
      <c r="G244" t="s">
        <v>50</v>
      </c>
    </row>
    <row r="245" spans="1:7">
      <c r="A245" t="s">
        <v>342</v>
      </c>
      <c r="B245">
        <f t="array" ref="B245">SUM(IF('TEA data'!$A$4:$A$66='BSM Input'!$D245,IF('TEA data'!$B$4:$B$66='BSM Input'!$E245,IF('TEA data'!$D$4:$D$66='BSM Input'!$F245,IF('TEA data'!$E$4:$E$66='BSM Input'!$G245,'TEA data'!W$4:W$66,""),""),""),""))</f>
        <v>22065.014893999996</v>
      </c>
      <c r="D245" t="s">
        <v>756</v>
      </c>
      <c r="E245" t="s">
        <v>754</v>
      </c>
      <c r="F245" t="s">
        <v>2</v>
      </c>
      <c r="G245" t="s">
        <v>51</v>
      </c>
    </row>
    <row r="246" spans="1:7">
      <c r="A246" t="s">
        <v>343</v>
      </c>
      <c r="B246">
        <f t="array" ref="B246">SUM(IF('TEA data'!$A$4:$A$66='BSM Input'!$D246,IF('TEA data'!$B$4:$B$66='BSM Input'!$E246,IF('TEA data'!$D$4:$D$66='BSM Input'!$F246,IF('TEA data'!$E$4:$E$66='BSM Input'!$G246,'TEA data'!W$4:W$66,""),""),""),""))</f>
        <v>22065.014893999996</v>
      </c>
      <c r="D246" t="s">
        <v>756</v>
      </c>
      <c r="E246" t="s">
        <v>754</v>
      </c>
      <c r="F246" t="s">
        <v>2</v>
      </c>
      <c r="G246" t="s">
        <v>52</v>
      </c>
    </row>
    <row r="247" spans="1:7">
      <c r="A247" t="s">
        <v>344</v>
      </c>
      <c r="B247" s="17">
        <v>9999999</v>
      </c>
    </row>
    <row r="248" spans="1:7">
      <c r="A248" t="s">
        <v>345</v>
      </c>
      <c r="B248">
        <f t="array" ref="B248">SUM(IF('TEA data'!$A$4:$A$66='BSM Input'!$D248,IF('TEA data'!$B$4:$B$66='BSM Input'!$E248,IF('TEA data'!$D$4:$D$66='BSM Input'!$F248,IF('TEA data'!$E$4:$E$66='BSM Input'!$G248,'TEA data'!W$4:W$66,""),""),""),""))</f>
        <v>0</v>
      </c>
      <c r="D248" t="s">
        <v>756</v>
      </c>
      <c r="E248" t="s">
        <v>754</v>
      </c>
      <c r="F248" t="s">
        <v>3</v>
      </c>
      <c r="G248" t="s">
        <v>50</v>
      </c>
    </row>
    <row r="249" spans="1:7">
      <c r="A249" t="s">
        <v>346</v>
      </c>
      <c r="B249">
        <f t="array" ref="B249">SUM(IF('TEA data'!$A$4:$A$66='BSM Input'!$D249,IF('TEA data'!$B$4:$B$66='BSM Input'!$E249,IF('TEA data'!$D$4:$D$66='BSM Input'!$F249,IF('TEA data'!$E$4:$E$66='BSM Input'!$G249,'TEA data'!W$4:W$66,""),""),""),""))</f>
        <v>14404.956921939998</v>
      </c>
      <c r="D249" t="s">
        <v>756</v>
      </c>
      <c r="E249" t="s">
        <v>754</v>
      </c>
      <c r="F249" t="s">
        <v>3</v>
      </c>
      <c r="G249" t="s">
        <v>51</v>
      </c>
    </row>
    <row r="250" spans="1:7">
      <c r="A250" t="s">
        <v>347</v>
      </c>
      <c r="B250">
        <f t="array" ref="B250">SUM(IF('TEA data'!$A$4:$A$66='BSM Input'!$D250,IF('TEA data'!$B$4:$B$66='BSM Input'!$E250,IF('TEA data'!$D$4:$D$66='BSM Input'!$F250,IF('TEA data'!$E$4:$E$66='BSM Input'!$G250,'TEA data'!W$4:W$66,""),""),""),""))</f>
        <v>14404.956921939998</v>
      </c>
      <c r="D250" t="s">
        <v>756</v>
      </c>
      <c r="E250" t="s">
        <v>754</v>
      </c>
      <c r="F250" t="s">
        <v>3</v>
      </c>
      <c r="G250" t="s">
        <v>52</v>
      </c>
    </row>
    <row r="251" spans="1:7">
      <c r="A251" t="s">
        <v>348</v>
      </c>
      <c r="B251" s="17">
        <v>9999999</v>
      </c>
    </row>
    <row r="252" spans="1:7">
      <c r="A252" t="s">
        <v>349</v>
      </c>
      <c r="B252">
        <f t="array" ref="B252">SUM(IF('TEA data'!$A$4:$A$66='BSM Input'!$D252,IF('TEA data'!$B$4:$B$66='BSM Input'!$E252,IF('TEA data'!$D$4:$D$66='BSM Input'!$F252,IF('TEA data'!$E$4:$E$66='BSM Input'!$G252,'TEA data'!W$4:W$66,""),""),""),""))</f>
        <v>0</v>
      </c>
      <c r="D252" t="s">
        <v>756</v>
      </c>
      <c r="E252" t="s">
        <v>754</v>
      </c>
      <c r="F252" t="s">
        <v>4</v>
      </c>
      <c r="G252" t="s">
        <v>50</v>
      </c>
    </row>
    <row r="253" spans="1:7">
      <c r="A253" t="s">
        <v>350</v>
      </c>
      <c r="B253">
        <f t="array" ref="B253">SUM(IF('TEA data'!$A$4:$A$66='BSM Input'!$D253,IF('TEA data'!$B$4:$B$66='BSM Input'!$E253,IF('TEA data'!$D$4:$D$66='BSM Input'!$F253,IF('TEA data'!$E$4:$E$66='BSM Input'!$G253,'TEA data'!W$4:W$66,""),""),""),""))</f>
        <v>22611.388116459999</v>
      </c>
      <c r="D253" t="s">
        <v>756</v>
      </c>
      <c r="E253" t="s">
        <v>754</v>
      </c>
      <c r="F253" t="s">
        <v>4</v>
      </c>
      <c r="G253" t="s">
        <v>51</v>
      </c>
    </row>
    <row r="254" spans="1:7">
      <c r="A254" t="s">
        <v>351</v>
      </c>
      <c r="B254">
        <f t="array" ref="B254">SUM(IF('TEA data'!$A$4:$A$66='BSM Input'!$D254,IF('TEA data'!$B$4:$B$66='BSM Input'!$E254,IF('TEA data'!$D$4:$D$66='BSM Input'!$F254,IF('TEA data'!$E$4:$E$66='BSM Input'!$G254,'TEA data'!W$4:W$66,""),""),""),""))</f>
        <v>22611.388116459999</v>
      </c>
      <c r="D254" t="s">
        <v>756</v>
      </c>
      <c r="E254" t="s">
        <v>754</v>
      </c>
      <c r="F254" t="s">
        <v>4</v>
      </c>
      <c r="G254" t="s">
        <v>52</v>
      </c>
    </row>
    <row r="255" spans="1:7">
      <c r="A255" t="s">
        <v>352</v>
      </c>
      <c r="B255" s="17">
        <v>9999999</v>
      </c>
    </row>
    <row r="256" spans="1:7">
      <c r="A256" t="s">
        <v>353</v>
      </c>
      <c r="B256" s="17">
        <v>9999999</v>
      </c>
      <c r="D256" t="s">
        <v>753</v>
      </c>
      <c r="E256" t="s">
        <v>757</v>
      </c>
      <c r="F256" t="s">
        <v>2</v>
      </c>
      <c r="G256" t="s">
        <v>50</v>
      </c>
    </row>
    <row r="257" spans="1:7">
      <c r="A257" t="s">
        <v>354</v>
      </c>
      <c r="B257" s="17">
        <v>9999999</v>
      </c>
      <c r="D257" t="s">
        <v>753</v>
      </c>
      <c r="E257" t="s">
        <v>757</v>
      </c>
      <c r="F257" t="s">
        <v>2</v>
      </c>
      <c r="G257" t="s">
        <v>51</v>
      </c>
    </row>
    <row r="258" spans="1:7">
      <c r="A258" t="s">
        <v>355</v>
      </c>
      <c r="B258" s="17">
        <v>9999999</v>
      </c>
      <c r="D258" t="s">
        <v>753</v>
      </c>
      <c r="E258" t="s">
        <v>757</v>
      </c>
      <c r="F258" t="s">
        <v>2</v>
      </c>
      <c r="G258" t="s">
        <v>52</v>
      </c>
    </row>
    <row r="259" spans="1:7">
      <c r="A259" t="s">
        <v>356</v>
      </c>
      <c r="B259" s="17">
        <v>9999999</v>
      </c>
    </row>
    <row r="260" spans="1:7">
      <c r="A260" t="s">
        <v>357</v>
      </c>
      <c r="B260" s="17">
        <v>9999999</v>
      </c>
      <c r="D260" t="s">
        <v>753</v>
      </c>
      <c r="E260" t="s">
        <v>757</v>
      </c>
      <c r="F260" t="s">
        <v>3</v>
      </c>
      <c r="G260" t="s">
        <v>50</v>
      </c>
    </row>
    <row r="261" spans="1:7">
      <c r="A261" t="s">
        <v>358</v>
      </c>
      <c r="B261" s="17">
        <v>9999999</v>
      </c>
      <c r="D261" t="s">
        <v>753</v>
      </c>
      <c r="E261" t="s">
        <v>757</v>
      </c>
      <c r="F261" t="s">
        <v>3</v>
      </c>
      <c r="G261" t="s">
        <v>51</v>
      </c>
    </row>
    <row r="262" spans="1:7">
      <c r="A262" t="s">
        <v>359</v>
      </c>
      <c r="B262" s="17">
        <v>9999999</v>
      </c>
      <c r="D262" t="s">
        <v>753</v>
      </c>
      <c r="E262" t="s">
        <v>757</v>
      </c>
      <c r="F262" t="s">
        <v>3</v>
      </c>
      <c r="G262" t="s">
        <v>52</v>
      </c>
    </row>
    <row r="263" spans="1:7">
      <c r="A263" t="s">
        <v>360</v>
      </c>
      <c r="B263" s="17">
        <v>9999999</v>
      </c>
    </row>
    <row r="264" spans="1:7">
      <c r="A264" t="s">
        <v>361</v>
      </c>
      <c r="B264">
        <f t="array" ref="B264">SUM(IF('TEA data'!$A$4:$A$66='BSM Input'!$D264,IF('TEA data'!$B$4:$B$66='BSM Input'!$E264,IF('TEA data'!$D$4:$D$66='BSM Input'!$F264,IF('TEA data'!$E$4:$E$66='BSM Input'!$G264,'TEA data'!W$4:W$66,""),""),""),""))</f>
        <v>0</v>
      </c>
      <c r="D264" t="s">
        <v>753</v>
      </c>
      <c r="E264" t="s">
        <v>757</v>
      </c>
      <c r="F264" t="s">
        <v>4</v>
      </c>
      <c r="G264" t="s">
        <v>50</v>
      </c>
    </row>
    <row r="265" spans="1:7">
      <c r="A265" t="s">
        <v>362</v>
      </c>
      <c r="B265">
        <f t="array" ref="B265">SUM(IF('TEA data'!$A$4:$A$66='BSM Input'!$D265,IF('TEA data'!$B$4:$B$66='BSM Input'!$E265,IF('TEA data'!$D$4:$D$66='BSM Input'!$F265,IF('TEA data'!$E$4:$E$66='BSM Input'!$G265,'TEA data'!W$4:W$66,""),""),""),""))</f>
        <v>25497.793573719999</v>
      </c>
      <c r="D265" t="s">
        <v>753</v>
      </c>
      <c r="E265" t="s">
        <v>757</v>
      </c>
      <c r="F265" t="s">
        <v>4</v>
      </c>
      <c r="G265" t="s">
        <v>51</v>
      </c>
    </row>
    <row r="266" spans="1:7">
      <c r="A266" t="s">
        <v>363</v>
      </c>
      <c r="B266">
        <f t="array" ref="B266">SUM(IF('TEA data'!$A$4:$A$66='BSM Input'!$D266,IF('TEA data'!$B$4:$B$66='BSM Input'!$E266,IF('TEA data'!$D$4:$D$66='BSM Input'!$F266,IF('TEA data'!$E$4:$E$66='BSM Input'!$G266,'TEA data'!W$4:W$66,""),""),""),""))</f>
        <v>25497.793573719999</v>
      </c>
      <c r="D266" t="s">
        <v>753</v>
      </c>
      <c r="E266" t="s">
        <v>757</v>
      </c>
      <c r="F266" t="s">
        <v>4</v>
      </c>
      <c r="G266" t="s">
        <v>52</v>
      </c>
    </row>
    <row r="267" spans="1:7">
      <c r="A267" t="s">
        <v>364</v>
      </c>
      <c r="B267" s="17">
        <v>9999999</v>
      </c>
    </row>
    <row r="268" spans="1:7">
      <c r="A268" t="s">
        <v>365</v>
      </c>
      <c r="B268">
        <f t="array" ref="B268">SUM(IF('TEA data'!$A$4:$A$66='BSM Input'!$D268,IF('TEA data'!$B$4:$B$66='BSM Input'!$E268,IF('TEA data'!$D$4:$D$66='BSM Input'!$F268,IF('TEA data'!$E$4:$E$66='BSM Input'!$G268,'TEA data'!W$4:W$66,""),""),""),""))</f>
        <v>0</v>
      </c>
      <c r="D268" t="s">
        <v>755</v>
      </c>
      <c r="E268" t="s">
        <v>757</v>
      </c>
      <c r="F268" t="s">
        <v>2</v>
      </c>
      <c r="G268" t="s">
        <v>50</v>
      </c>
    </row>
    <row r="269" spans="1:7">
      <c r="A269" t="s">
        <v>366</v>
      </c>
      <c r="B269">
        <f t="array" ref="B269">SUM(IF('TEA data'!$A$4:$A$66='BSM Input'!$D269,IF('TEA data'!$B$4:$B$66='BSM Input'!$E269,IF('TEA data'!$D$4:$D$66='BSM Input'!$F269,IF('TEA data'!$E$4:$E$66='BSM Input'!$G269,'TEA data'!W$4:W$66,""),""),""),""))</f>
        <v>36356.771541999995</v>
      </c>
      <c r="D269" t="s">
        <v>755</v>
      </c>
      <c r="E269" t="s">
        <v>757</v>
      </c>
      <c r="F269" t="s">
        <v>2</v>
      </c>
      <c r="G269" t="s">
        <v>51</v>
      </c>
    </row>
    <row r="270" spans="1:7">
      <c r="A270" t="s">
        <v>367</v>
      </c>
      <c r="B270">
        <f t="array" ref="B270">SUM(IF('TEA data'!$A$4:$A$66='BSM Input'!$D270,IF('TEA data'!$B$4:$B$66='BSM Input'!$E270,IF('TEA data'!$D$4:$D$66='BSM Input'!$F270,IF('TEA data'!$E$4:$E$66='BSM Input'!$G270,'TEA data'!W$4:W$66,""),""),""),""))</f>
        <v>36356.771541999995</v>
      </c>
      <c r="D270" t="s">
        <v>755</v>
      </c>
      <c r="E270" t="s">
        <v>757</v>
      </c>
      <c r="F270" t="s">
        <v>2</v>
      </c>
      <c r="G270" t="s">
        <v>52</v>
      </c>
    </row>
    <row r="271" spans="1:7">
      <c r="A271" t="s">
        <v>368</v>
      </c>
      <c r="B271" s="17">
        <v>9999999</v>
      </c>
    </row>
    <row r="272" spans="1:7">
      <c r="A272" t="s">
        <v>369</v>
      </c>
      <c r="B272">
        <f t="array" ref="B272">SUM(IF('TEA data'!$A$4:$A$66='BSM Input'!$D272,IF('TEA data'!$B$4:$B$66='BSM Input'!$E272,IF('TEA data'!$D$4:$D$66='BSM Input'!$F272,IF('TEA data'!$E$4:$E$66='BSM Input'!$G272,'TEA data'!W$4:W$66,""),""),""),""))</f>
        <v>0</v>
      </c>
      <c r="D272" t="s">
        <v>755</v>
      </c>
      <c r="E272" t="s">
        <v>757</v>
      </c>
      <c r="F272" t="s">
        <v>3</v>
      </c>
      <c r="G272" t="s">
        <v>50</v>
      </c>
    </row>
    <row r="273" spans="1:7">
      <c r="A273" t="s">
        <v>370</v>
      </c>
      <c r="B273">
        <f t="array" ref="B273">SUM(IF('TEA data'!$A$4:$A$66='BSM Input'!$D273,IF('TEA data'!$B$4:$B$66='BSM Input'!$E273,IF('TEA data'!$D$4:$D$66='BSM Input'!$F273,IF('TEA data'!$E$4:$E$66='BSM Input'!$G273,'TEA data'!W$4:W$66,""),""),""),""))</f>
        <v>34520.604403999998</v>
      </c>
      <c r="D273" t="s">
        <v>755</v>
      </c>
      <c r="E273" t="s">
        <v>757</v>
      </c>
      <c r="F273" t="s">
        <v>3</v>
      </c>
      <c r="G273" t="s">
        <v>51</v>
      </c>
    </row>
    <row r="274" spans="1:7">
      <c r="A274" t="s">
        <v>371</v>
      </c>
      <c r="B274">
        <f t="array" ref="B274">SUM(IF('TEA data'!$A$4:$A$66='BSM Input'!$D274,IF('TEA data'!$B$4:$B$66='BSM Input'!$E274,IF('TEA data'!$D$4:$D$66='BSM Input'!$F274,IF('TEA data'!$E$4:$E$66='BSM Input'!$G274,'TEA data'!W$4:W$66,""),""),""),""))</f>
        <v>34520.604403999998</v>
      </c>
      <c r="D274" t="s">
        <v>755</v>
      </c>
      <c r="E274" t="s">
        <v>757</v>
      </c>
      <c r="F274" t="s">
        <v>3</v>
      </c>
      <c r="G274" t="s">
        <v>52</v>
      </c>
    </row>
    <row r="275" spans="1:7">
      <c r="A275" t="s">
        <v>372</v>
      </c>
      <c r="B275" s="17">
        <v>9999999</v>
      </c>
    </row>
    <row r="276" spans="1:7">
      <c r="A276" t="s">
        <v>373</v>
      </c>
      <c r="B276">
        <f t="array" ref="B276">SUM(IF('TEA data'!$A$4:$A$66='BSM Input'!$D276,IF('TEA data'!$B$4:$B$66='BSM Input'!$E276,IF('TEA data'!$D$4:$D$66='BSM Input'!$F276,IF('TEA data'!$E$4:$E$66='BSM Input'!$G276,'TEA data'!W$4:W$66,""),""),""),""))</f>
        <v>0</v>
      </c>
      <c r="D276" t="s">
        <v>755</v>
      </c>
      <c r="E276" t="s">
        <v>757</v>
      </c>
      <c r="F276" t="s">
        <v>4</v>
      </c>
      <c r="G276" t="s">
        <v>50</v>
      </c>
    </row>
    <row r="277" spans="1:7">
      <c r="A277" t="s">
        <v>374</v>
      </c>
      <c r="B277">
        <f t="array" ref="B277">SUM(IF('TEA data'!$A$4:$A$66='BSM Input'!$D277,IF('TEA data'!$B$4:$B$66='BSM Input'!$E277,IF('TEA data'!$D$4:$D$66='BSM Input'!$F277,IF('TEA data'!$E$4:$E$66='BSM Input'!$G277,'TEA data'!W$4:W$66,""),""),""),""))</f>
        <v>44656.422745999997</v>
      </c>
      <c r="D277" t="s">
        <v>755</v>
      </c>
      <c r="E277" t="s">
        <v>757</v>
      </c>
      <c r="F277" t="s">
        <v>4</v>
      </c>
      <c r="G277" t="s">
        <v>51</v>
      </c>
    </row>
    <row r="278" spans="1:7">
      <c r="A278" t="s">
        <v>375</v>
      </c>
      <c r="B278">
        <f t="array" ref="B278">SUM(IF('TEA data'!$A$4:$A$66='BSM Input'!$D278,IF('TEA data'!$B$4:$B$66='BSM Input'!$E278,IF('TEA data'!$D$4:$D$66='BSM Input'!$F278,IF('TEA data'!$E$4:$E$66='BSM Input'!$G278,'TEA data'!W$4:W$66,""),""),""),""))</f>
        <v>44656.422745999997</v>
      </c>
      <c r="D278" t="s">
        <v>755</v>
      </c>
      <c r="E278" t="s">
        <v>757</v>
      </c>
      <c r="F278" t="s">
        <v>4</v>
      </c>
      <c r="G278" t="s">
        <v>52</v>
      </c>
    </row>
    <row r="279" spans="1:7">
      <c r="A279" t="s">
        <v>376</v>
      </c>
      <c r="B279" s="17">
        <v>9999999</v>
      </c>
    </row>
    <row r="280" spans="1:7">
      <c r="A280" t="s">
        <v>377</v>
      </c>
      <c r="B280">
        <f t="array" ref="B280">SUM(IF('TEA data'!$A$4:$A$66='BSM Input'!$D280,IF('TEA data'!$B$4:$B$66='BSM Input'!$E280,IF('TEA data'!$D$4:$D$66='BSM Input'!$F280,IF('TEA data'!$E$4:$E$66='BSM Input'!$G280,'TEA data'!W$4:W$66,""),""),""),""))</f>
        <v>0</v>
      </c>
      <c r="D280" t="s">
        <v>756</v>
      </c>
      <c r="E280" t="s">
        <v>757</v>
      </c>
      <c r="F280" t="s">
        <v>2</v>
      </c>
      <c r="G280" t="s">
        <v>50</v>
      </c>
    </row>
    <row r="281" spans="1:7">
      <c r="A281" t="s">
        <v>378</v>
      </c>
      <c r="B281">
        <f t="array" ref="B281">SUM(IF('TEA data'!$A$4:$A$66='BSM Input'!$D281,IF('TEA data'!$B$4:$B$66='BSM Input'!$E281,IF('TEA data'!$D$4:$D$66='BSM Input'!$F281,IF('TEA data'!$E$4:$E$66='BSM Input'!$G281,'TEA data'!W$4:W$66,""),""),""),""))</f>
        <v>24844.257645999998</v>
      </c>
      <c r="D281" t="s">
        <v>756</v>
      </c>
      <c r="E281" t="s">
        <v>757</v>
      </c>
      <c r="F281" t="s">
        <v>2</v>
      </c>
      <c r="G281" t="s">
        <v>51</v>
      </c>
    </row>
    <row r="282" spans="1:7">
      <c r="A282" t="s">
        <v>379</v>
      </c>
      <c r="B282">
        <f t="array" ref="B282">SUM(IF('TEA data'!$A$4:$A$66='BSM Input'!$D282,IF('TEA data'!$B$4:$B$66='BSM Input'!$E282,IF('TEA data'!$D$4:$D$66='BSM Input'!$F282,IF('TEA data'!$E$4:$E$66='BSM Input'!$G282,'TEA data'!W$4:W$66,""),""),""),""))</f>
        <v>24844.257645999998</v>
      </c>
      <c r="D282" t="s">
        <v>756</v>
      </c>
      <c r="E282" t="s">
        <v>757</v>
      </c>
      <c r="F282" t="s">
        <v>2</v>
      </c>
      <c r="G282" t="s">
        <v>52</v>
      </c>
    </row>
    <row r="283" spans="1:7">
      <c r="A283" t="s">
        <v>380</v>
      </c>
      <c r="B283" s="17">
        <v>9999999</v>
      </c>
    </row>
    <row r="284" spans="1:7">
      <c r="A284" t="s">
        <v>381</v>
      </c>
      <c r="B284">
        <f t="array" ref="B284">SUM(IF('TEA data'!$A$4:$A$66='BSM Input'!$D284,IF('TEA data'!$B$4:$B$66='BSM Input'!$E284,IF('TEA data'!$D$4:$D$66='BSM Input'!$F284,IF('TEA data'!$E$4:$E$66='BSM Input'!$G284,'TEA data'!W$4:W$66,""),""),""),""))</f>
        <v>0</v>
      </c>
      <c r="D284" t="s">
        <v>756</v>
      </c>
      <c r="E284" t="s">
        <v>757</v>
      </c>
      <c r="F284" t="s">
        <v>3</v>
      </c>
      <c r="G284" t="s">
        <v>50</v>
      </c>
    </row>
    <row r="285" spans="1:7">
      <c r="A285" t="s">
        <v>382</v>
      </c>
      <c r="B285">
        <f t="array" ref="B285">SUM(IF('TEA data'!$A$4:$A$66='BSM Input'!$D285,IF('TEA data'!$B$4:$B$66='BSM Input'!$E285,IF('TEA data'!$D$4:$D$66='BSM Input'!$F285,IF('TEA data'!$E$4:$E$66='BSM Input'!$G285,'TEA data'!W$4:W$66,""),""),""),""))</f>
        <v>18316.741095379995</v>
      </c>
      <c r="D285" t="s">
        <v>756</v>
      </c>
      <c r="E285" t="s">
        <v>757</v>
      </c>
      <c r="F285" t="s">
        <v>3</v>
      </c>
      <c r="G285" t="s">
        <v>51</v>
      </c>
    </row>
    <row r="286" spans="1:7">
      <c r="A286" t="s">
        <v>383</v>
      </c>
      <c r="B286">
        <f t="array" ref="B286">SUM(IF('TEA data'!$A$4:$A$66='BSM Input'!$D286,IF('TEA data'!$B$4:$B$66='BSM Input'!$E286,IF('TEA data'!$D$4:$D$66='BSM Input'!$F286,IF('TEA data'!$E$4:$E$66='BSM Input'!$G286,'TEA data'!W$4:W$66,""),""),""),""))</f>
        <v>18316.741095379995</v>
      </c>
      <c r="D286" t="s">
        <v>756</v>
      </c>
      <c r="E286" t="s">
        <v>757</v>
      </c>
      <c r="F286" t="s">
        <v>3</v>
      </c>
      <c r="G286" t="s">
        <v>52</v>
      </c>
    </row>
    <row r="287" spans="1:7">
      <c r="A287" t="s">
        <v>384</v>
      </c>
      <c r="B287" s="17">
        <v>9999999</v>
      </c>
    </row>
    <row r="288" spans="1:7">
      <c r="A288" t="s">
        <v>385</v>
      </c>
      <c r="B288">
        <f t="array" ref="B288">SUM(IF('TEA data'!$A$4:$A$66='BSM Input'!$D288,IF('TEA data'!$B$4:$B$66='BSM Input'!$E288,IF('TEA data'!$D$4:$D$66='BSM Input'!$F288,IF('TEA data'!$E$4:$E$66='BSM Input'!$G288,'TEA data'!W$4:W$66,""),""),""),""))</f>
        <v>0</v>
      </c>
      <c r="D288" t="s">
        <v>756</v>
      </c>
      <c r="E288" t="s">
        <v>757</v>
      </c>
      <c r="F288" t="s">
        <v>4</v>
      </c>
      <c r="G288" t="s">
        <v>50</v>
      </c>
    </row>
    <row r="289" spans="1:7">
      <c r="A289" t="s">
        <v>386</v>
      </c>
      <c r="B289">
        <f t="array" ref="B289">SUM(IF('TEA data'!$A$4:$A$66='BSM Input'!$D289,IF('TEA data'!$B$4:$B$66='BSM Input'!$E289,IF('TEA data'!$D$4:$D$66='BSM Input'!$F289,IF('TEA data'!$E$4:$E$66='BSM Input'!$G289,'TEA data'!W$4:W$66,""),""),""),""))</f>
        <v>26898.370061419995</v>
      </c>
      <c r="D289" t="s">
        <v>756</v>
      </c>
      <c r="E289" t="s">
        <v>757</v>
      </c>
      <c r="F289" t="s">
        <v>4</v>
      </c>
      <c r="G289" t="s">
        <v>51</v>
      </c>
    </row>
    <row r="290" spans="1:7">
      <c r="A290" t="s">
        <v>387</v>
      </c>
      <c r="B290">
        <f t="array" ref="B290">SUM(IF('TEA data'!$A$4:$A$66='BSM Input'!$D290,IF('TEA data'!$B$4:$B$66='BSM Input'!$E290,IF('TEA data'!$D$4:$D$66='BSM Input'!$F290,IF('TEA data'!$E$4:$E$66='BSM Input'!$G290,'TEA data'!W$4:W$66,""),""),""),""))</f>
        <v>26898.370061419995</v>
      </c>
      <c r="D290" t="s">
        <v>756</v>
      </c>
      <c r="E290" t="s">
        <v>757</v>
      </c>
      <c r="F290" t="s">
        <v>4</v>
      </c>
      <c r="G290" t="s">
        <v>52</v>
      </c>
    </row>
    <row r="291" spans="1:7">
      <c r="A291" t="s">
        <v>388</v>
      </c>
      <c r="B291" s="17">
        <v>9999999</v>
      </c>
    </row>
    <row r="292" spans="1:7">
      <c r="A292" t="s">
        <v>389</v>
      </c>
      <c r="B292" s="17">
        <v>9999999</v>
      </c>
      <c r="D292" t="s">
        <v>753</v>
      </c>
      <c r="E292" t="s">
        <v>758</v>
      </c>
      <c r="F292" t="s">
        <v>2</v>
      </c>
      <c r="G292" t="s">
        <v>50</v>
      </c>
    </row>
    <row r="293" spans="1:7">
      <c r="A293" t="s">
        <v>390</v>
      </c>
      <c r="B293" s="17">
        <v>9999999</v>
      </c>
      <c r="D293" t="s">
        <v>753</v>
      </c>
      <c r="E293" t="s">
        <v>758</v>
      </c>
      <c r="F293" t="s">
        <v>2</v>
      </c>
      <c r="G293" t="s">
        <v>51</v>
      </c>
    </row>
    <row r="294" spans="1:7">
      <c r="A294" t="s">
        <v>391</v>
      </c>
      <c r="B294" s="17">
        <v>9999999</v>
      </c>
      <c r="D294" t="s">
        <v>753</v>
      </c>
      <c r="E294" t="s">
        <v>758</v>
      </c>
      <c r="F294" t="s">
        <v>2</v>
      </c>
      <c r="G294" t="s">
        <v>52</v>
      </c>
    </row>
    <row r="295" spans="1:7">
      <c r="A295" t="s">
        <v>392</v>
      </c>
      <c r="B295" s="17">
        <v>9999999</v>
      </c>
    </row>
    <row r="296" spans="1:7">
      <c r="A296" t="s">
        <v>393</v>
      </c>
      <c r="B296" s="17">
        <v>9999999</v>
      </c>
      <c r="D296" t="s">
        <v>753</v>
      </c>
      <c r="E296" t="s">
        <v>758</v>
      </c>
      <c r="F296" t="s">
        <v>3</v>
      </c>
      <c r="G296" t="s">
        <v>50</v>
      </c>
    </row>
    <row r="297" spans="1:7">
      <c r="A297" t="s">
        <v>394</v>
      </c>
      <c r="B297" s="17">
        <v>9999999</v>
      </c>
      <c r="D297" t="s">
        <v>753</v>
      </c>
      <c r="E297" t="s">
        <v>758</v>
      </c>
      <c r="F297" t="s">
        <v>3</v>
      </c>
      <c r="G297" t="s">
        <v>51</v>
      </c>
    </row>
    <row r="298" spans="1:7">
      <c r="A298" t="s">
        <v>395</v>
      </c>
      <c r="B298" s="17">
        <v>9999999</v>
      </c>
      <c r="D298" t="s">
        <v>753</v>
      </c>
      <c r="E298" t="s">
        <v>758</v>
      </c>
      <c r="F298" t="s">
        <v>3</v>
      </c>
      <c r="G298" t="s">
        <v>52</v>
      </c>
    </row>
    <row r="299" spans="1:7">
      <c r="A299" t="s">
        <v>396</v>
      </c>
      <c r="B299" s="17">
        <v>9999999</v>
      </c>
    </row>
    <row r="300" spans="1:7">
      <c r="A300" t="s">
        <v>397</v>
      </c>
      <c r="B300">
        <f t="array" ref="B300">SUM(IF('TEA data'!$A$4:$A$66='BSM Input'!$D300,IF('TEA data'!$B$4:$B$66='BSM Input'!$E300,IF('TEA data'!$D$4:$D$66='BSM Input'!$F300,IF('TEA data'!$E$4:$E$66='BSM Input'!$G300,'TEA data'!W$4:W$66,""),""),""),""))</f>
        <v>0</v>
      </c>
      <c r="D300" t="s">
        <v>753</v>
      </c>
      <c r="E300" t="s">
        <v>758</v>
      </c>
      <c r="F300" t="s">
        <v>4</v>
      </c>
      <c r="G300" t="s">
        <v>50</v>
      </c>
    </row>
    <row r="301" spans="1:7">
      <c r="A301" t="s">
        <v>398</v>
      </c>
      <c r="B301">
        <f t="array" ref="B301">SUM(IF('TEA data'!$A$4:$A$66='BSM Input'!$D301,IF('TEA data'!$B$4:$B$66='BSM Input'!$E301,IF('TEA data'!$D$4:$D$66='BSM Input'!$F301,IF('TEA data'!$E$4:$E$66='BSM Input'!$G301,'TEA data'!W$4:W$66,""),""),""),""))</f>
        <v>46366.383240449999</v>
      </c>
      <c r="D301" t="s">
        <v>753</v>
      </c>
      <c r="E301" t="s">
        <v>758</v>
      </c>
      <c r="F301" t="s">
        <v>4</v>
      </c>
      <c r="G301" t="s">
        <v>51</v>
      </c>
    </row>
    <row r="302" spans="1:7">
      <c r="A302" t="s">
        <v>399</v>
      </c>
      <c r="B302">
        <f t="array" ref="B302">SUM(IF('TEA data'!$A$4:$A$66='BSM Input'!$D302,IF('TEA data'!$B$4:$B$66='BSM Input'!$E302,IF('TEA data'!$D$4:$D$66='BSM Input'!$F302,IF('TEA data'!$E$4:$E$66='BSM Input'!$G302,'TEA data'!W$4:W$66,""),""),""),""))</f>
        <v>46366.383240449999</v>
      </c>
      <c r="D302" t="s">
        <v>753</v>
      </c>
      <c r="E302" t="s">
        <v>758</v>
      </c>
      <c r="F302" t="s">
        <v>4</v>
      </c>
      <c r="G302" t="s">
        <v>52</v>
      </c>
    </row>
    <row r="303" spans="1:7">
      <c r="A303" t="s">
        <v>400</v>
      </c>
      <c r="B303" s="17">
        <v>9999999</v>
      </c>
    </row>
    <row r="304" spans="1:7">
      <c r="A304" t="s">
        <v>401</v>
      </c>
      <c r="B304">
        <f t="array" ref="B304">SUM(IF('TEA data'!$A$4:$A$66='BSM Input'!$D304,IF('TEA data'!$B$4:$B$66='BSM Input'!$E304,IF('TEA data'!$D$4:$D$66='BSM Input'!$F304,IF('TEA data'!$E$4:$E$66='BSM Input'!$G304,'TEA data'!W$4:W$66,""),""),""),""))</f>
        <v>0</v>
      </c>
      <c r="D304" t="s">
        <v>755</v>
      </c>
      <c r="E304" t="s">
        <v>758</v>
      </c>
      <c r="F304" t="s">
        <v>2</v>
      </c>
      <c r="G304" t="s">
        <v>50</v>
      </c>
    </row>
    <row r="305" spans="1:7">
      <c r="A305" t="s">
        <v>402</v>
      </c>
      <c r="B305">
        <f t="array" ref="B305">SUM(IF('TEA data'!$A$4:$A$66='BSM Input'!$D305,IF('TEA data'!$B$4:$B$66='BSM Input'!$E305,IF('TEA data'!$D$4:$D$66='BSM Input'!$F305,IF('TEA data'!$E$4:$E$66='BSM Input'!$G305,'TEA data'!W$4:W$66,""),""),""),""))</f>
        <v>68053.688741999984</v>
      </c>
      <c r="D305" t="s">
        <v>755</v>
      </c>
      <c r="E305" t="s">
        <v>758</v>
      </c>
      <c r="F305" t="s">
        <v>2</v>
      </c>
      <c r="G305" t="s">
        <v>51</v>
      </c>
    </row>
    <row r="306" spans="1:7">
      <c r="A306" t="s">
        <v>403</v>
      </c>
      <c r="B306">
        <f t="array" ref="B306">SUM(IF('TEA data'!$A$4:$A$66='BSM Input'!$D306,IF('TEA data'!$B$4:$B$66='BSM Input'!$E306,IF('TEA data'!$D$4:$D$66='BSM Input'!$F306,IF('TEA data'!$E$4:$E$66='BSM Input'!$G306,'TEA data'!W$4:W$66,""),""),""),""))</f>
        <v>68053.688741999984</v>
      </c>
      <c r="D306" t="s">
        <v>755</v>
      </c>
      <c r="E306" t="s">
        <v>758</v>
      </c>
      <c r="F306" t="s">
        <v>2</v>
      </c>
      <c r="G306" t="s">
        <v>52</v>
      </c>
    </row>
    <row r="307" spans="1:7">
      <c r="A307" t="s">
        <v>404</v>
      </c>
      <c r="B307" s="17">
        <v>9999999</v>
      </c>
    </row>
    <row r="308" spans="1:7">
      <c r="A308" t="s">
        <v>405</v>
      </c>
      <c r="B308">
        <f t="array" ref="B308">SUM(IF('TEA data'!$A$4:$A$66='BSM Input'!$D308,IF('TEA data'!$B$4:$B$66='BSM Input'!$E308,IF('TEA data'!$D$4:$D$66='BSM Input'!$F308,IF('TEA data'!$E$4:$E$66='BSM Input'!$G308,'TEA data'!W$4:W$66,""),""),""),""))</f>
        <v>0</v>
      </c>
      <c r="D308" t="s">
        <v>755</v>
      </c>
      <c r="E308" t="s">
        <v>758</v>
      </c>
      <c r="F308" t="s">
        <v>3</v>
      </c>
      <c r="G308" t="s">
        <v>50</v>
      </c>
    </row>
    <row r="309" spans="1:7">
      <c r="A309" t="s">
        <v>406</v>
      </c>
      <c r="B309">
        <f t="array" ref="B309">SUM(IF('TEA data'!$A$4:$A$66='BSM Input'!$D309,IF('TEA data'!$B$4:$B$66='BSM Input'!$E309,IF('TEA data'!$D$4:$D$66='BSM Input'!$F309,IF('TEA data'!$E$4:$E$66='BSM Input'!$G309,'TEA data'!W$4:W$66,""),""),""),""))</f>
        <v>79134.015362999999</v>
      </c>
      <c r="D309" t="s">
        <v>755</v>
      </c>
      <c r="E309" t="s">
        <v>758</v>
      </c>
      <c r="F309" t="s">
        <v>3</v>
      </c>
      <c r="G309" t="s">
        <v>51</v>
      </c>
    </row>
    <row r="310" spans="1:7">
      <c r="A310" t="s">
        <v>407</v>
      </c>
      <c r="B310">
        <f t="array" ref="B310">SUM(IF('TEA data'!$A$4:$A$66='BSM Input'!$D310,IF('TEA data'!$B$4:$B$66='BSM Input'!$E310,IF('TEA data'!$D$4:$D$66='BSM Input'!$F310,IF('TEA data'!$E$4:$E$66='BSM Input'!$G310,'TEA data'!W$4:W$66,""),""),""),""))</f>
        <v>79134.015362999999</v>
      </c>
      <c r="D310" t="s">
        <v>755</v>
      </c>
      <c r="E310" t="s">
        <v>758</v>
      </c>
      <c r="F310" t="s">
        <v>3</v>
      </c>
      <c r="G310" t="s">
        <v>52</v>
      </c>
    </row>
    <row r="311" spans="1:7">
      <c r="A311" t="s">
        <v>408</v>
      </c>
      <c r="B311" s="17">
        <v>9999999</v>
      </c>
    </row>
    <row r="312" spans="1:7">
      <c r="A312" t="s">
        <v>409</v>
      </c>
      <c r="B312">
        <f t="array" ref="B312">SUM(IF('TEA data'!$A$4:$A$66='BSM Input'!$D312,IF('TEA data'!$B$4:$B$66='BSM Input'!$E312,IF('TEA data'!$D$4:$D$66='BSM Input'!$F312,IF('TEA data'!$E$4:$E$66='BSM Input'!$G312,'TEA data'!W$4:W$66,""),""),""),""))</f>
        <v>0</v>
      </c>
      <c r="D312" t="s">
        <v>755</v>
      </c>
      <c r="E312" t="s">
        <v>758</v>
      </c>
      <c r="F312" t="s">
        <v>4</v>
      </c>
      <c r="G312" t="s">
        <v>50</v>
      </c>
    </row>
    <row r="313" spans="1:7">
      <c r="A313" t="s">
        <v>410</v>
      </c>
      <c r="B313">
        <f t="array" ref="B313">SUM(IF('TEA data'!$A$4:$A$66='BSM Input'!$D313,IF('TEA data'!$B$4:$B$66='BSM Input'!$E313,IF('TEA data'!$D$4:$D$66='BSM Input'!$F313,IF('TEA data'!$E$4:$E$66='BSM Input'!$G313,'TEA data'!W$4:W$66,""),""),""),""))</f>
        <v>93548.917526999983</v>
      </c>
      <c r="D313" t="s">
        <v>755</v>
      </c>
      <c r="E313" t="s">
        <v>758</v>
      </c>
      <c r="F313" t="s">
        <v>4</v>
      </c>
      <c r="G313" t="s">
        <v>51</v>
      </c>
    </row>
    <row r="314" spans="1:7">
      <c r="A314" t="s">
        <v>411</v>
      </c>
      <c r="B314">
        <f t="array" ref="B314">SUM(IF('TEA data'!$A$4:$A$66='BSM Input'!$D314,IF('TEA data'!$B$4:$B$66='BSM Input'!$E314,IF('TEA data'!$D$4:$D$66='BSM Input'!$F314,IF('TEA data'!$E$4:$E$66='BSM Input'!$G314,'TEA data'!W$4:W$66,""),""),""),""))</f>
        <v>93548.917526999983</v>
      </c>
      <c r="D314" t="s">
        <v>755</v>
      </c>
      <c r="E314" t="s">
        <v>758</v>
      </c>
      <c r="F314" t="s">
        <v>4</v>
      </c>
      <c r="G314" t="s">
        <v>52</v>
      </c>
    </row>
    <row r="315" spans="1:7">
      <c r="A315" t="s">
        <v>412</v>
      </c>
      <c r="B315" s="17">
        <v>9999999</v>
      </c>
    </row>
    <row r="316" spans="1:7">
      <c r="A316" t="s">
        <v>413</v>
      </c>
      <c r="B316">
        <f t="array" ref="B316">SUM(IF('TEA data'!$A$4:$A$66='BSM Input'!$D316,IF('TEA data'!$B$4:$B$66='BSM Input'!$E316,IF('TEA data'!$D$4:$D$66='BSM Input'!$F316,IF('TEA data'!$E$4:$E$66='BSM Input'!$G316,'TEA data'!W$4:W$66,""),""),""),""))</f>
        <v>0</v>
      </c>
      <c r="D316" t="s">
        <v>756</v>
      </c>
      <c r="E316" t="s">
        <v>758</v>
      </c>
      <c r="F316" t="s">
        <v>2</v>
      </c>
      <c r="G316" t="s">
        <v>50</v>
      </c>
    </row>
    <row r="317" spans="1:7">
      <c r="A317" t="s">
        <v>414</v>
      </c>
      <c r="B317">
        <f t="array" ref="B317">SUM(IF('TEA data'!$A$4:$A$66='BSM Input'!$D317,IF('TEA data'!$B$4:$B$66='BSM Input'!$E317,IF('TEA data'!$D$4:$D$66='BSM Input'!$F317,IF('TEA data'!$E$4:$E$66='BSM Input'!$G317,'TEA data'!W$4:W$66,""),""),""),""))</f>
        <v>49308.699881999994</v>
      </c>
      <c r="D317" t="s">
        <v>756</v>
      </c>
      <c r="E317" t="s">
        <v>758</v>
      </c>
      <c r="F317" t="s">
        <v>2</v>
      </c>
      <c r="G317" t="s">
        <v>51</v>
      </c>
    </row>
    <row r="318" spans="1:7">
      <c r="A318" t="s">
        <v>415</v>
      </c>
      <c r="B318">
        <f t="array" ref="B318">SUM(IF('TEA data'!$A$4:$A$66='BSM Input'!$D318,IF('TEA data'!$B$4:$B$66='BSM Input'!$E318,IF('TEA data'!$D$4:$D$66='BSM Input'!$F318,IF('TEA data'!$E$4:$E$66='BSM Input'!$G318,'TEA data'!W$4:W$66,""),""),""),""))</f>
        <v>49308.699881999994</v>
      </c>
      <c r="D318" t="s">
        <v>756</v>
      </c>
      <c r="E318" t="s">
        <v>758</v>
      </c>
      <c r="F318" t="s">
        <v>2</v>
      </c>
      <c r="G318" t="s">
        <v>52</v>
      </c>
    </row>
    <row r="319" spans="1:7">
      <c r="A319" t="s">
        <v>416</v>
      </c>
      <c r="B319" s="17">
        <v>9999999</v>
      </c>
    </row>
    <row r="320" spans="1:7">
      <c r="A320" t="s">
        <v>417</v>
      </c>
      <c r="B320">
        <f t="array" ref="B320">SUM(IF('TEA data'!$A$4:$A$66='BSM Input'!$D320,IF('TEA data'!$B$4:$B$66='BSM Input'!$E320,IF('TEA data'!$D$4:$D$66='BSM Input'!$F320,IF('TEA data'!$E$4:$E$66='BSM Input'!$G320,'TEA data'!W$4:W$66,""),""),""),""))</f>
        <v>0</v>
      </c>
      <c r="D320" t="s">
        <v>756</v>
      </c>
      <c r="E320" t="s">
        <v>758</v>
      </c>
      <c r="F320" t="s">
        <v>3</v>
      </c>
      <c r="G320" t="s">
        <v>50</v>
      </c>
    </row>
    <row r="321" spans="1:7">
      <c r="A321" t="s">
        <v>418</v>
      </c>
      <c r="B321">
        <f t="array" ref="B321">SUM(IF('TEA data'!$A$4:$A$66='BSM Input'!$D321,IF('TEA data'!$B$4:$B$66='BSM Input'!$E321,IF('TEA data'!$D$4:$D$66='BSM Input'!$F321,IF('TEA data'!$E$4:$E$66='BSM Input'!$G321,'TEA data'!W$4:W$66,""),""),""),""))</f>
        <v>52750.443542549991</v>
      </c>
      <c r="D321" t="s">
        <v>756</v>
      </c>
      <c r="E321" t="s">
        <v>758</v>
      </c>
      <c r="F321" t="s">
        <v>3</v>
      </c>
      <c r="G321" t="s">
        <v>51</v>
      </c>
    </row>
    <row r="322" spans="1:7">
      <c r="A322" t="s">
        <v>419</v>
      </c>
      <c r="B322">
        <f t="array" ref="B322">SUM(IF('TEA data'!$A$4:$A$66='BSM Input'!$D322,IF('TEA data'!$B$4:$B$66='BSM Input'!$E322,IF('TEA data'!$D$4:$D$66='BSM Input'!$F322,IF('TEA data'!$E$4:$E$66='BSM Input'!$G322,'TEA data'!W$4:W$66,""),""),""),""))</f>
        <v>52750.443542549991</v>
      </c>
      <c r="D322" t="s">
        <v>756</v>
      </c>
      <c r="E322" t="s">
        <v>758</v>
      </c>
      <c r="F322" t="s">
        <v>3</v>
      </c>
      <c r="G322" t="s">
        <v>52</v>
      </c>
    </row>
    <row r="323" spans="1:7">
      <c r="A323" t="s">
        <v>420</v>
      </c>
      <c r="B323" s="17">
        <v>9999999</v>
      </c>
    </row>
    <row r="324" spans="1:7">
      <c r="A324" t="s">
        <v>421</v>
      </c>
      <c r="B324">
        <f t="array" ref="B324">SUM(IF('TEA data'!$A$4:$A$66='BSM Input'!$D324,IF('TEA data'!$B$4:$B$66='BSM Input'!$E324,IF('TEA data'!$D$4:$D$66='BSM Input'!$F324,IF('TEA data'!$E$4:$E$66='BSM Input'!$G324,'TEA data'!W$4:W$66,""),""),""),""))</f>
        <v>0</v>
      </c>
      <c r="D324" t="s">
        <v>756</v>
      </c>
      <c r="E324" t="s">
        <v>758</v>
      </c>
      <c r="F324" t="s">
        <v>4</v>
      </c>
      <c r="G324" t="s">
        <v>50</v>
      </c>
    </row>
    <row r="325" spans="1:7">
      <c r="A325" t="s">
        <v>422</v>
      </c>
      <c r="B325">
        <f t="array" ref="B325">SUM(IF('TEA data'!$A$4:$A$66='BSM Input'!$D325,IF('TEA data'!$B$4:$B$66='BSM Input'!$E325,IF('TEA data'!$D$4:$D$66='BSM Input'!$F325,IF('TEA data'!$E$4:$E$66='BSM Input'!$G325,'TEA data'!W$4:W$66,""),""),""),""))</f>
        <v>64634.772210449992</v>
      </c>
      <c r="D325" t="s">
        <v>756</v>
      </c>
      <c r="E325" t="s">
        <v>758</v>
      </c>
      <c r="F325" t="s">
        <v>4</v>
      </c>
      <c r="G325" t="s">
        <v>51</v>
      </c>
    </row>
    <row r="326" spans="1:7">
      <c r="A326" t="s">
        <v>423</v>
      </c>
      <c r="B326">
        <f t="array" ref="B326">SUM(IF('TEA data'!$A$4:$A$66='BSM Input'!$D326,IF('TEA data'!$B$4:$B$66='BSM Input'!$E326,IF('TEA data'!$D$4:$D$66='BSM Input'!$F326,IF('TEA data'!$E$4:$E$66='BSM Input'!$G326,'TEA data'!W$4:W$66,""),""),""),""))</f>
        <v>64634.772210449992</v>
      </c>
      <c r="D326" t="s">
        <v>756</v>
      </c>
      <c r="E326" t="s">
        <v>758</v>
      </c>
      <c r="F326" t="s">
        <v>4</v>
      </c>
      <c r="G326" t="s">
        <v>52</v>
      </c>
    </row>
    <row r="327" spans="1:7">
      <c r="A327" t="s">
        <v>424</v>
      </c>
      <c r="B327" s="17">
        <v>9999999</v>
      </c>
    </row>
    <row r="329" spans="1:7">
      <c r="A329" t="s">
        <v>425</v>
      </c>
      <c r="B329" s="17">
        <v>9999999</v>
      </c>
      <c r="D329" t="s">
        <v>753</v>
      </c>
      <c r="E329" t="s">
        <v>754</v>
      </c>
      <c r="F329" t="s">
        <v>2</v>
      </c>
      <c r="G329" t="s">
        <v>50</v>
      </c>
    </row>
    <row r="330" spans="1:7">
      <c r="A330" t="s">
        <v>426</v>
      </c>
      <c r="B330" s="17">
        <v>9999999</v>
      </c>
      <c r="D330" t="s">
        <v>753</v>
      </c>
      <c r="E330" t="s">
        <v>754</v>
      </c>
      <c r="F330" t="s">
        <v>2</v>
      </c>
      <c r="G330" t="s">
        <v>51</v>
      </c>
    </row>
    <row r="331" spans="1:7">
      <c r="A331" t="s">
        <v>427</v>
      </c>
      <c r="B331" s="17">
        <v>9999999</v>
      </c>
      <c r="D331" t="s">
        <v>753</v>
      </c>
      <c r="E331" t="s">
        <v>754</v>
      </c>
      <c r="F331" t="s">
        <v>2</v>
      </c>
      <c r="G331" t="s">
        <v>52</v>
      </c>
    </row>
    <row r="332" spans="1:7">
      <c r="A332" t="s">
        <v>428</v>
      </c>
      <c r="B332" s="17">
        <v>9999999</v>
      </c>
    </row>
    <row r="333" spans="1:7">
      <c r="A333" t="s">
        <v>429</v>
      </c>
      <c r="B333" s="17">
        <v>9999999</v>
      </c>
      <c r="D333" t="s">
        <v>753</v>
      </c>
      <c r="E333" t="s">
        <v>754</v>
      </c>
      <c r="F333" t="s">
        <v>3</v>
      </c>
      <c r="G333" t="s">
        <v>50</v>
      </c>
    </row>
    <row r="334" spans="1:7">
      <c r="A334" t="s">
        <v>430</v>
      </c>
      <c r="B334" s="17">
        <v>9999999</v>
      </c>
      <c r="D334" t="s">
        <v>753</v>
      </c>
      <c r="E334" t="s">
        <v>754</v>
      </c>
      <c r="F334" t="s">
        <v>3</v>
      </c>
      <c r="G334" t="s">
        <v>51</v>
      </c>
    </row>
    <row r="335" spans="1:7">
      <c r="A335" t="s">
        <v>431</v>
      </c>
      <c r="B335" s="17">
        <v>9999999</v>
      </c>
      <c r="D335" t="s">
        <v>753</v>
      </c>
      <c r="E335" t="s">
        <v>754</v>
      </c>
      <c r="F335" t="s">
        <v>3</v>
      </c>
      <c r="G335" t="s">
        <v>52</v>
      </c>
    </row>
    <row r="336" spans="1:7">
      <c r="A336" t="s">
        <v>432</v>
      </c>
      <c r="B336" s="17">
        <v>9999999</v>
      </c>
    </row>
    <row r="337" spans="1:7">
      <c r="A337" t="s">
        <v>433</v>
      </c>
      <c r="B337">
        <f t="array" ref="B337">SUM(IF('TEA data'!$A$4:$A$66='BSM Input'!$D337,IF('TEA data'!$B$4:$B$66='BSM Input'!$E337,IF('TEA data'!$D$4:$D$66='BSM Input'!$F337,IF('TEA data'!$E$4:$E$66='BSM Input'!$G337,'TEA data'!Y$4:Y$66,""),""),""),""))</f>
        <v>37294.336407509996</v>
      </c>
      <c r="D337" t="s">
        <v>753</v>
      </c>
      <c r="E337" t="s">
        <v>754</v>
      </c>
      <c r="F337" t="s">
        <v>4</v>
      </c>
      <c r="G337" t="s">
        <v>50</v>
      </c>
    </row>
    <row r="338" spans="1:7">
      <c r="A338" t="s">
        <v>434</v>
      </c>
      <c r="B338">
        <f t="array" ref="B338">SUM(IF('TEA data'!$A$4:$A$66='BSM Input'!$D338,IF('TEA data'!$B$4:$B$66='BSM Input'!$E338,IF('TEA data'!$D$4:$D$66='BSM Input'!$F338,IF('TEA data'!$E$4:$E$66='BSM Input'!$G338,'TEA data'!Y$4:Y$66,""),""),""),""))</f>
        <v>37294.336407509996</v>
      </c>
      <c r="D338" t="s">
        <v>753</v>
      </c>
      <c r="E338" t="s">
        <v>754</v>
      </c>
      <c r="F338" t="s">
        <v>4</v>
      </c>
      <c r="G338" t="s">
        <v>51</v>
      </c>
    </row>
    <row r="339" spans="1:7">
      <c r="A339" t="s">
        <v>435</v>
      </c>
      <c r="B339">
        <f t="array" ref="B339">SUM(IF('TEA data'!$A$4:$A$66='BSM Input'!$D339,IF('TEA data'!$B$4:$B$66='BSM Input'!$E339,IF('TEA data'!$D$4:$D$66='BSM Input'!$F339,IF('TEA data'!$E$4:$E$66='BSM Input'!$G339,'TEA data'!Y$4:Y$66,""),""),""),""))</f>
        <v>37294.336407509996</v>
      </c>
      <c r="D339" t="s">
        <v>753</v>
      </c>
      <c r="E339" t="s">
        <v>754</v>
      </c>
      <c r="F339" t="s">
        <v>4</v>
      </c>
      <c r="G339" t="s">
        <v>52</v>
      </c>
    </row>
    <row r="340" spans="1:7">
      <c r="A340" t="s">
        <v>436</v>
      </c>
      <c r="B340" s="17">
        <v>9999999</v>
      </c>
    </row>
    <row r="341" spans="1:7">
      <c r="A341" t="s">
        <v>437</v>
      </c>
      <c r="B341">
        <f t="array" ref="B341">SUM(IF('TEA data'!$A$4:$A$66='BSM Input'!$D341,IF('TEA data'!$B$4:$B$66='BSM Input'!$E341,IF('TEA data'!$D$4:$D$66='BSM Input'!$F341,IF('TEA data'!$E$4:$E$66='BSM Input'!$G341,'TEA data'!Y$4:Y$66,""),""),""),""))</f>
        <v>47810.339745999998</v>
      </c>
      <c r="D341" t="s">
        <v>755</v>
      </c>
      <c r="E341" t="s">
        <v>754</v>
      </c>
      <c r="F341" t="s">
        <v>2</v>
      </c>
      <c r="G341" t="s">
        <v>50</v>
      </c>
    </row>
    <row r="342" spans="1:7">
      <c r="A342" t="s">
        <v>438</v>
      </c>
      <c r="B342">
        <f t="array" ref="B342">SUM(IF('TEA data'!$A$4:$A$66='BSM Input'!$D342,IF('TEA data'!$B$4:$B$66='BSM Input'!$E342,IF('TEA data'!$D$4:$D$66='BSM Input'!$F342,IF('TEA data'!$E$4:$E$66='BSM Input'!$G342,'TEA data'!Y$4:Y$66,""),""),""),""))</f>
        <v>47810.339745999998</v>
      </c>
      <c r="D342" t="s">
        <v>755</v>
      </c>
      <c r="E342" t="s">
        <v>754</v>
      </c>
      <c r="F342" t="s">
        <v>2</v>
      </c>
      <c r="G342" t="s">
        <v>51</v>
      </c>
    </row>
    <row r="343" spans="1:7">
      <c r="A343" t="s">
        <v>439</v>
      </c>
      <c r="B343">
        <f t="array" ref="B343">SUM(IF('TEA data'!$A$4:$A$66='BSM Input'!$D343,IF('TEA data'!$B$4:$B$66='BSM Input'!$E343,IF('TEA data'!$D$4:$D$66='BSM Input'!$F343,IF('TEA data'!$E$4:$E$66='BSM Input'!$G343,'TEA data'!Y$4:Y$66,""),""),""),""))</f>
        <v>47810.339745999998</v>
      </c>
      <c r="D343" t="s">
        <v>755</v>
      </c>
      <c r="E343" t="s">
        <v>754</v>
      </c>
      <c r="F343" t="s">
        <v>2</v>
      </c>
      <c r="G343" t="s">
        <v>52</v>
      </c>
    </row>
    <row r="344" spans="1:7">
      <c r="A344" t="s">
        <v>440</v>
      </c>
      <c r="B344" s="17">
        <v>9999999</v>
      </c>
    </row>
    <row r="345" spans="1:7">
      <c r="A345" t="s">
        <v>441</v>
      </c>
      <c r="B345">
        <f t="array" ref="B345">SUM(IF('TEA data'!$A$4:$A$66='BSM Input'!$D345,IF('TEA data'!$B$4:$B$66='BSM Input'!$E345,IF('TEA data'!$D$4:$D$66='BSM Input'!$F345,IF('TEA data'!$E$4:$E$66='BSM Input'!$G345,'TEA data'!Y$4:Y$66,""),""),""),""))</f>
        <v>38824.271524999996</v>
      </c>
      <c r="D345" t="s">
        <v>755</v>
      </c>
      <c r="E345" t="s">
        <v>754</v>
      </c>
      <c r="F345" t="s">
        <v>3</v>
      </c>
      <c r="G345" t="s">
        <v>50</v>
      </c>
    </row>
    <row r="346" spans="1:7">
      <c r="A346" t="s">
        <v>442</v>
      </c>
      <c r="B346">
        <f t="array" ref="B346">SUM(IF('TEA data'!$A$4:$A$66='BSM Input'!$D346,IF('TEA data'!$B$4:$B$66='BSM Input'!$E346,IF('TEA data'!$D$4:$D$66='BSM Input'!$F346,IF('TEA data'!$E$4:$E$66='BSM Input'!$G346,'TEA data'!Y$4:Y$66,""),""),""),""))</f>
        <v>38824.271524999996</v>
      </c>
      <c r="D346" t="s">
        <v>755</v>
      </c>
      <c r="E346" t="s">
        <v>754</v>
      </c>
      <c r="F346" t="s">
        <v>3</v>
      </c>
      <c r="G346" t="s">
        <v>51</v>
      </c>
    </row>
    <row r="347" spans="1:7">
      <c r="A347" t="s">
        <v>443</v>
      </c>
      <c r="B347">
        <f t="array" ref="B347">SUM(IF('TEA data'!$A$4:$A$66='BSM Input'!$D347,IF('TEA data'!$B$4:$B$66='BSM Input'!$E347,IF('TEA data'!$D$4:$D$66='BSM Input'!$F347,IF('TEA data'!$E$4:$E$66='BSM Input'!$G347,'TEA data'!Y$4:Y$66,""),""),""),""))</f>
        <v>38824.271524999996</v>
      </c>
      <c r="D347" t="s">
        <v>755</v>
      </c>
      <c r="E347" t="s">
        <v>754</v>
      </c>
      <c r="F347" t="s">
        <v>3</v>
      </c>
      <c r="G347" t="s">
        <v>52</v>
      </c>
    </row>
    <row r="348" spans="1:7">
      <c r="A348" t="s">
        <v>444</v>
      </c>
      <c r="B348" s="17">
        <v>9999999</v>
      </c>
    </row>
    <row r="349" spans="1:7">
      <c r="A349" t="s">
        <v>445</v>
      </c>
      <c r="B349">
        <f t="array" ref="B349">SUM(IF('TEA data'!$A$4:$A$66='BSM Input'!$D349,IF('TEA data'!$B$4:$B$66='BSM Input'!$E349,IF('TEA data'!$D$4:$D$66='BSM Input'!$F349,IF('TEA data'!$E$4:$E$66='BSM Input'!$G349,'TEA data'!Y$4:Y$66,""),""),""),""))</f>
        <v>54216.269704999992</v>
      </c>
      <c r="D349" t="s">
        <v>755</v>
      </c>
      <c r="E349" t="s">
        <v>754</v>
      </c>
      <c r="F349" t="s">
        <v>4</v>
      </c>
      <c r="G349" t="s">
        <v>50</v>
      </c>
    </row>
    <row r="350" spans="1:7">
      <c r="A350" t="s">
        <v>446</v>
      </c>
      <c r="B350">
        <f t="array" ref="B350">SUM(IF('TEA data'!$A$4:$A$66='BSM Input'!$D350,IF('TEA data'!$B$4:$B$66='BSM Input'!$E350,IF('TEA data'!$D$4:$D$66='BSM Input'!$F350,IF('TEA data'!$E$4:$E$66='BSM Input'!$G350,'TEA data'!Y$4:Y$66,""),""),""),""))</f>
        <v>54216.269704999992</v>
      </c>
      <c r="D350" t="s">
        <v>755</v>
      </c>
      <c r="E350" t="s">
        <v>754</v>
      </c>
      <c r="F350" t="s">
        <v>4</v>
      </c>
      <c r="G350" t="s">
        <v>51</v>
      </c>
    </row>
    <row r="351" spans="1:7">
      <c r="A351" t="s">
        <v>447</v>
      </c>
      <c r="B351">
        <f t="array" ref="B351">SUM(IF('TEA data'!$A$4:$A$66='BSM Input'!$D351,IF('TEA data'!$B$4:$B$66='BSM Input'!$E351,IF('TEA data'!$D$4:$D$66='BSM Input'!$F351,IF('TEA data'!$E$4:$E$66='BSM Input'!$G351,'TEA data'!Y$4:Y$66,""),""),""),""))</f>
        <v>54216.269704999992</v>
      </c>
      <c r="D351" t="s">
        <v>755</v>
      </c>
      <c r="E351" t="s">
        <v>754</v>
      </c>
      <c r="F351" t="s">
        <v>4</v>
      </c>
      <c r="G351" t="s">
        <v>52</v>
      </c>
    </row>
    <row r="352" spans="1:7">
      <c r="A352" t="s">
        <v>448</v>
      </c>
      <c r="B352" s="17">
        <v>9999999</v>
      </c>
    </row>
    <row r="353" spans="1:7">
      <c r="A353" t="s">
        <v>449</v>
      </c>
      <c r="B353">
        <f t="array" ref="B353">SUM(IF('TEA data'!$A$4:$A$66='BSM Input'!$D353,IF('TEA data'!$B$4:$B$66='BSM Input'!$E353,IF('TEA data'!$D$4:$D$66='BSM Input'!$F353,IF('TEA data'!$E$4:$E$66='BSM Input'!$G353,'TEA data'!Y$4:Y$66,""),""),""),""))</f>
        <v>37724.05772199999</v>
      </c>
      <c r="D353" t="s">
        <v>756</v>
      </c>
      <c r="E353" t="s">
        <v>754</v>
      </c>
      <c r="F353" t="s">
        <v>2</v>
      </c>
      <c r="G353" t="s">
        <v>50</v>
      </c>
    </row>
    <row r="354" spans="1:7">
      <c r="A354" t="s">
        <v>450</v>
      </c>
      <c r="B354">
        <f t="array" ref="B354">SUM(IF('TEA data'!$A$4:$A$66='BSM Input'!$D354,IF('TEA data'!$B$4:$B$66='BSM Input'!$E354,IF('TEA data'!$D$4:$D$66='BSM Input'!$F354,IF('TEA data'!$E$4:$E$66='BSM Input'!$G354,'TEA data'!Y$4:Y$66,""),""),""),""))</f>
        <v>37724.05772199999</v>
      </c>
      <c r="D354" t="s">
        <v>756</v>
      </c>
      <c r="E354" t="s">
        <v>754</v>
      </c>
      <c r="F354" t="s">
        <v>2</v>
      </c>
      <c r="G354" t="s">
        <v>51</v>
      </c>
    </row>
    <row r="355" spans="1:7">
      <c r="A355" t="s">
        <v>451</v>
      </c>
      <c r="B355">
        <f t="array" ref="B355">SUM(IF('TEA data'!$A$4:$A$66='BSM Input'!$D355,IF('TEA data'!$B$4:$B$66='BSM Input'!$E355,IF('TEA data'!$D$4:$D$66='BSM Input'!$F355,IF('TEA data'!$E$4:$E$66='BSM Input'!$G355,'TEA data'!Y$4:Y$66,""),""),""),""))</f>
        <v>37724.05772199999</v>
      </c>
      <c r="D355" t="s">
        <v>756</v>
      </c>
      <c r="E355" t="s">
        <v>754</v>
      </c>
      <c r="F355" t="s">
        <v>2</v>
      </c>
      <c r="G355" t="s">
        <v>52</v>
      </c>
    </row>
    <row r="356" spans="1:7">
      <c r="A356" t="s">
        <v>452</v>
      </c>
      <c r="B356" s="17">
        <v>9999999</v>
      </c>
    </row>
    <row r="357" spans="1:7">
      <c r="A357" t="s">
        <v>453</v>
      </c>
      <c r="B357">
        <f t="array" ref="B357">SUM(IF('TEA data'!$A$4:$A$66='BSM Input'!$D357,IF('TEA data'!$B$4:$B$66='BSM Input'!$E357,IF('TEA data'!$D$4:$D$66='BSM Input'!$F357,IF('TEA data'!$E$4:$E$66='BSM Input'!$G357,'TEA data'!Y$4:Y$66,""),""),""),""))</f>
        <v>24627.829576219996</v>
      </c>
      <c r="D357" t="s">
        <v>756</v>
      </c>
      <c r="E357" t="s">
        <v>754</v>
      </c>
      <c r="F357" t="s">
        <v>3</v>
      </c>
      <c r="G357" t="s">
        <v>50</v>
      </c>
    </row>
    <row r="358" spans="1:7">
      <c r="A358" t="s">
        <v>454</v>
      </c>
      <c r="B358">
        <f t="array" ref="B358">SUM(IF('TEA data'!$A$4:$A$66='BSM Input'!$D358,IF('TEA data'!$B$4:$B$66='BSM Input'!$E358,IF('TEA data'!$D$4:$D$66='BSM Input'!$F358,IF('TEA data'!$E$4:$E$66='BSM Input'!$G358,'TEA data'!Y$4:Y$66,""),""),""),""))</f>
        <v>24627.829576219996</v>
      </c>
      <c r="D358" t="s">
        <v>756</v>
      </c>
      <c r="E358" t="s">
        <v>754</v>
      </c>
      <c r="F358" t="s">
        <v>3</v>
      </c>
      <c r="G358" t="s">
        <v>51</v>
      </c>
    </row>
    <row r="359" spans="1:7">
      <c r="A359" t="s">
        <v>455</v>
      </c>
      <c r="B359">
        <f t="array" ref="B359">SUM(IF('TEA data'!$A$4:$A$66='BSM Input'!$D359,IF('TEA data'!$B$4:$B$66='BSM Input'!$E359,IF('TEA data'!$D$4:$D$66='BSM Input'!$F359,IF('TEA data'!$E$4:$E$66='BSM Input'!$G359,'TEA data'!Y$4:Y$66,""),""),""),""))</f>
        <v>24627.829576219996</v>
      </c>
      <c r="D359" t="s">
        <v>756</v>
      </c>
      <c r="E359" t="s">
        <v>754</v>
      </c>
      <c r="F359" t="s">
        <v>3</v>
      </c>
      <c r="G359" t="s">
        <v>52</v>
      </c>
    </row>
    <row r="360" spans="1:7">
      <c r="A360" t="s">
        <v>456</v>
      </c>
      <c r="B360" s="17">
        <v>9999999</v>
      </c>
    </row>
    <row r="361" spans="1:7">
      <c r="A361" t="s">
        <v>457</v>
      </c>
      <c r="B361">
        <f t="array" ref="B361">SUM(IF('TEA data'!$A$4:$A$66='BSM Input'!$D361,IF('TEA data'!$B$4:$B$66='BSM Input'!$E361,IF('TEA data'!$D$4:$D$66='BSM Input'!$F361,IF('TEA data'!$E$4:$E$66='BSM Input'!$G361,'TEA data'!Y$4:Y$66,""),""),""),""))</f>
        <v>38658.179682979993</v>
      </c>
      <c r="D361" t="s">
        <v>756</v>
      </c>
      <c r="E361" t="s">
        <v>754</v>
      </c>
      <c r="F361" t="s">
        <v>4</v>
      </c>
      <c r="G361" t="s">
        <v>50</v>
      </c>
    </row>
    <row r="362" spans="1:7">
      <c r="A362" t="s">
        <v>458</v>
      </c>
      <c r="B362">
        <f t="array" ref="B362">SUM(IF('TEA data'!$A$4:$A$66='BSM Input'!$D362,IF('TEA data'!$B$4:$B$66='BSM Input'!$E362,IF('TEA data'!$D$4:$D$66='BSM Input'!$F362,IF('TEA data'!$E$4:$E$66='BSM Input'!$G362,'TEA data'!Y$4:Y$66,""),""),""),""))</f>
        <v>38658.179682979993</v>
      </c>
      <c r="D362" t="s">
        <v>756</v>
      </c>
      <c r="E362" t="s">
        <v>754</v>
      </c>
      <c r="F362" t="s">
        <v>4</v>
      </c>
      <c r="G362" t="s">
        <v>51</v>
      </c>
    </row>
    <row r="363" spans="1:7">
      <c r="A363" t="s">
        <v>459</v>
      </c>
      <c r="B363">
        <f t="array" ref="B363">SUM(IF('TEA data'!$A$4:$A$66='BSM Input'!$D363,IF('TEA data'!$B$4:$B$66='BSM Input'!$E363,IF('TEA data'!$D$4:$D$66='BSM Input'!$F363,IF('TEA data'!$E$4:$E$66='BSM Input'!$G363,'TEA data'!Y$4:Y$66,""),""),""),""))</f>
        <v>38658.179682979993</v>
      </c>
      <c r="D363" t="s">
        <v>756</v>
      </c>
      <c r="E363" t="s">
        <v>754</v>
      </c>
      <c r="F363" t="s">
        <v>4</v>
      </c>
      <c r="G363" t="s">
        <v>52</v>
      </c>
    </row>
    <row r="364" spans="1:7">
      <c r="A364" t="s">
        <v>460</v>
      </c>
      <c r="B364" s="17">
        <v>9999999</v>
      </c>
    </row>
    <row r="365" spans="1:7">
      <c r="A365" t="s">
        <v>461</v>
      </c>
      <c r="B365" s="17">
        <v>9999999</v>
      </c>
      <c r="D365" t="s">
        <v>753</v>
      </c>
      <c r="E365" t="s">
        <v>757</v>
      </c>
      <c r="F365" t="s">
        <v>2</v>
      </c>
      <c r="G365" t="s">
        <v>50</v>
      </c>
    </row>
    <row r="366" spans="1:7">
      <c r="A366" t="s">
        <v>462</v>
      </c>
      <c r="B366" s="17">
        <v>9999999</v>
      </c>
      <c r="D366" t="s">
        <v>753</v>
      </c>
      <c r="E366" t="s">
        <v>757</v>
      </c>
      <c r="F366" t="s">
        <v>2</v>
      </c>
      <c r="G366" t="s">
        <v>51</v>
      </c>
    </row>
    <row r="367" spans="1:7">
      <c r="A367" t="s">
        <v>463</v>
      </c>
      <c r="B367" s="17">
        <v>9999999</v>
      </c>
      <c r="D367" t="s">
        <v>753</v>
      </c>
      <c r="E367" t="s">
        <v>757</v>
      </c>
      <c r="F367" t="s">
        <v>2</v>
      </c>
      <c r="G367" t="s">
        <v>52</v>
      </c>
    </row>
    <row r="368" spans="1:7">
      <c r="A368" t="s">
        <v>464</v>
      </c>
      <c r="B368" s="17">
        <v>9999999</v>
      </c>
    </row>
    <row r="369" spans="1:7">
      <c r="A369" t="s">
        <v>465</v>
      </c>
      <c r="B369" s="17">
        <v>9999999</v>
      </c>
      <c r="D369" t="s">
        <v>753</v>
      </c>
      <c r="E369" t="s">
        <v>757</v>
      </c>
      <c r="F369" t="s">
        <v>3</v>
      </c>
      <c r="G369" t="s">
        <v>50</v>
      </c>
    </row>
    <row r="370" spans="1:7">
      <c r="A370" t="s">
        <v>466</v>
      </c>
      <c r="B370" s="17">
        <v>9999999</v>
      </c>
      <c r="D370" t="s">
        <v>753</v>
      </c>
      <c r="E370" t="s">
        <v>757</v>
      </c>
      <c r="F370" t="s">
        <v>3</v>
      </c>
      <c r="G370" t="s">
        <v>51</v>
      </c>
    </row>
    <row r="371" spans="1:7">
      <c r="A371" t="s">
        <v>467</v>
      </c>
      <c r="B371" s="17">
        <v>9999999</v>
      </c>
      <c r="D371" t="s">
        <v>753</v>
      </c>
      <c r="E371" t="s">
        <v>757</v>
      </c>
      <c r="F371" t="s">
        <v>3</v>
      </c>
      <c r="G371" t="s">
        <v>52</v>
      </c>
    </row>
    <row r="372" spans="1:7">
      <c r="A372" t="s">
        <v>468</v>
      </c>
      <c r="B372" s="17">
        <v>9999999</v>
      </c>
    </row>
    <row r="373" spans="1:7">
      <c r="A373" t="s">
        <v>469</v>
      </c>
      <c r="B373">
        <f t="array" ref="B373">SUM(IF('TEA data'!$A$4:$A$66='BSM Input'!$D373,IF('TEA data'!$B$4:$B$66='BSM Input'!$E373,IF('TEA data'!$D$4:$D$66='BSM Input'!$F373,IF('TEA data'!$E$4:$E$66='BSM Input'!$G373,'TEA data'!Y$4:Y$66,""),""),""),""))</f>
        <v>43593.001916359994</v>
      </c>
      <c r="D373" t="s">
        <v>753</v>
      </c>
      <c r="E373" t="s">
        <v>757</v>
      </c>
      <c r="F373" t="s">
        <v>4</v>
      </c>
      <c r="G373" t="s">
        <v>50</v>
      </c>
    </row>
    <row r="374" spans="1:7">
      <c r="A374" t="s">
        <v>470</v>
      </c>
      <c r="B374">
        <f t="array" ref="B374">SUM(IF('TEA data'!$A$4:$A$66='BSM Input'!$D374,IF('TEA data'!$B$4:$B$66='BSM Input'!$E374,IF('TEA data'!$D$4:$D$66='BSM Input'!$F374,IF('TEA data'!$E$4:$E$66='BSM Input'!$G374,'TEA data'!Y$4:Y$66,""),""),""),""))</f>
        <v>43593.001916359994</v>
      </c>
      <c r="D374" t="s">
        <v>753</v>
      </c>
      <c r="E374" t="s">
        <v>757</v>
      </c>
      <c r="F374" t="s">
        <v>4</v>
      </c>
      <c r="G374" t="s">
        <v>51</v>
      </c>
    </row>
    <row r="375" spans="1:7">
      <c r="A375" t="s">
        <v>471</v>
      </c>
      <c r="B375">
        <f t="array" ref="B375">SUM(IF('TEA data'!$A$4:$A$66='BSM Input'!$D375,IF('TEA data'!$B$4:$B$66='BSM Input'!$E375,IF('TEA data'!$D$4:$D$66='BSM Input'!$F375,IF('TEA data'!$E$4:$E$66='BSM Input'!$G375,'TEA data'!Y$4:Y$66,""),""),""),""))</f>
        <v>43593.001916359994</v>
      </c>
      <c r="D375" t="s">
        <v>753</v>
      </c>
      <c r="E375" t="s">
        <v>757</v>
      </c>
      <c r="F375" t="s">
        <v>4</v>
      </c>
      <c r="G375" t="s">
        <v>52</v>
      </c>
    </row>
    <row r="376" spans="1:7">
      <c r="A376" t="s">
        <v>472</v>
      </c>
      <c r="B376" s="17">
        <v>9999999</v>
      </c>
    </row>
    <row r="377" spans="1:7">
      <c r="A377" t="s">
        <v>473</v>
      </c>
      <c r="B377">
        <f t="array" ref="B377">SUM(IF('TEA data'!$A$4:$A$66='BSM Input'!$D377,IF('TEA data'!$B$4:$B$66='BSM Input'!$E377,IF('TEA data'!$D$4:$D$66='BSM Input'!$F377,IF('TEA data'!$E$4:$E$66='BSM Input'!$G377,'TEA data'!Y$4:Y$66,""),""),""),""))</f>
        <v>62158.351345999996</v>
      </c>
      <c r="D377" t="s">
        <v>755</v>
      </c>
      <c r="E377" t="s">
        <v>757</v>
      </c>
      <c r="F377" t="s">
        <v>2</v>
      </c>
      <c r="G377" t="s">
        <v>50</v>
      </c>
    </row>
    <row r="378" spans="1:7">
      <c r="A378" t="s">
        <v>474</v>
      </c>
      <c r="B378">
        <f t="array" ref="B378">SUM(IF('TEA data'!$A$4:$A$66='BSM Input'!$D378,IF('TEA data'!$B$4:$B$66='BSM Input'!$E378,IF('TEA data'!$D$4:$D$66='BSM Input'!$F378,IF('TEA data'!$E$4:$E$66='BSM Input'!$G378,'TEA data'!Y$4:Y$66,""),""),""),""))</f>
        <v>62158.351345999996</v>
      </c>
      <c r="D378" t="s">
        <v>755</v>
      </c>
      <c r="E378" t="s">
        <v>757</v>
      </c>
      <c r="F378" t="s">
        <v>2</v>
      </c>
      <c r="G378" t="s">
        <v>51</v>
      </c>
    </row>
    <row r="379" spans="1:7">
      <c r="A379" t="s">
        <v>475</v>
      </c>
      <c r="B379">
        <f t="array" ref="B379">SUM(IF('TEA data'!$A$4:$A$66='BSM Input'!$D379,IF('TEA data'!$B$4:$B$66='BSM Input'!$E379,IF('TEA data'!$D$4:$D$66='BSM Input'!$F379,IF('TEA data'!$E$4:$E$66='BSM Input'!$G379,'TEA data'!Y$4:Y$66,""),""),""),""))</f>
        <v>62158.351345999996</v>
      </c>
      <c r="D379" t="s">
        <v>755</v>
      </c>
      <c r="E379" t="s">
        <v>757</v>
      </c>
      <c r="F379" t="s">
        <v>2</v>
      </c>
      <c r="G379" t="s">
        <v>52</v>
      </c>
    </row>
    <row r="380" spans="1:7">
      <c r="A380" t="s">
        <v>476</v>
      </c>
      <c r="B380" s="17">
        <v>9999999</v>
      </c>
    </row>
    <row r="381" spans="1:7">
      <c r="A381" t="s">
        <v>477</v>
      </c>
      <c r="B381">
        <f t="array" ref="B381">SUM(IF('TEA data'!$A$4:$A$66='BSM Input'!$D381,IF('TEA data'!$B$4:$B$66='BSM Input'!$E381,IF('TEA data'!$D$4:$D$66='BSM Input'!$F381,IF('TEA data'!$E$4:$E$66='BSM Input'!$G381,'TEA data'!Y$4:Y$66,""),""),""),""))</f>
        <v>59019.097851999992</v>
      </c>
      <c r="D381" t="s">
        <v>755</v>
      </c>
      <c r="E381" t="s">
        <v>757</v>
      </c>
      <c r="F381" t="s">
        <v>3</v>
      </c>
      <c r="G381" t="s">
        <v>50</v>
      </c>
    </row>
    <row r="382" spans="1:7">
      <c r="A382" t="s">
        <v>478</v>
      </c>
      <c r="B382">
        <f t="array" ref="B382">SUM(IF('TEA data'!$A$4:$A$66='BSM Input'!$D382,IF('TEA data'!$B$4:$B$66='BSM Input'!$E382,IF('TEA data'!$D$4:$D$66='BSM Input'!$F382,IF('TEA data'!$E$4:$E$66='BSM Input'!$G382,'TEA data'!Y$4:Y$66,""),""),""),""))</f>
        <v>59019.097851999992</v>
      </c>
      <c r="D382" t="s">
        <v>755</v>
      </c>
      <c r="E382" t="s">
        <v>757</v>
      </c>
      <c r="F382" t="s">
        <v>3</v>
      </c>
      <c r="G382" t="s">
        <v>51</v>
      </c>
    </row>
    <row r="383" spans="1:7">
      <c r="A383" t="s">
        <v>479</v>
      </c>
      <c r="B383">
        <f t="array" ref="B383">SUM(IF('TEA data'!$A$4:$A$66='BSM Input'!$D383,IF('TEA data'!$B$4:$B$66='BSM Input'!$E383,IF('TEA data'!$D$4:$D$66='BSM Input'!$F383,IF('TEA data'!$E$4:$E$66='BSM Input'!$G383,'TEA data'!Y$4:Y$66,""),""),""),""))</f>
        <v>59019.097851999992</v>
      </c>
      <c r="D383" t="s">
        <v>755</v>
      </c>
      <c r="E383" t="s">
        <v>757</v>
      </c>
      <c r="F383" t="s">
        <v>3</v>
      </c>
      <c r="G383" t="s">
        <v>52</v>
      </c>
    </row>
    <row r="384" spans="1:7">
      <c r="A384" t="s">
        <v>480</v>
      </c>
      <c r="B384" s="17">
        <v>9999999</v>
      </c>
    </row>
    <row r="385" spans="1:7">
      <c r="A385" t="s">
        <v>481</v>
      </c>
      <c r="B385">
        <f t="array" ref="B385">SUM(IF('TEA data'!$A$4:$A$66='BSM Input'!$D385,IF('TEA data'!$B$4:$B$66='BSM Input'!$E385,IF('TEA data'!$D$4:$D$66='BSM Input'!$F385,IF('TEA data'!$E$4:$E$66='BSM Input'!$G385,'TEA data'!Y$4:Y$66,""),""),""),""))</f>
        <v>76348.077597999989</v>
      </c>
      <c r="D385" t="s">
        <v>755</v>
      </c>
      <c r="E385" t="s">
        <v>757</v>
      </c>
      <c r="F385" t="s">
        <v>4</v>
      </c>
      <c r="G385" t="s">
        <v>50</v>
      </c>
    </row>
    <row r="386" spans="1:7">
      <c r="A386" t="s">
        <v>482</v>
      </c>
      <c r="B386">
        <f t="array" ref="B386">SUM(IF('TEA data'!$A$4:$A$66='BSM Input'!$D386,IF('TEA data'!$B$4:$B$66='BSM Input'!$E386,IF('TEA data'!$D$4:$D$66='BSM Input'!$F386,IF('TEA data'!$E$4:$E$66='BSM Input'!$G386,'TEA data'!Y$4:Y$66,""),""),""),""))</f>
        <v>76348.077597999989</v>
      </c>
      <c r="D386" t="s">
        <v>755</v>
      </c>
      <c r="E386" t="s">
        <v>757</v>
      </c>
      <c r="F386" t="s">
        <v>4</v>
      </c>
      <c r="G386" t="s">
        <v>51</v>
      </c>
    </row>
    <row r="387" spans="1:7">
      <c r="A387" t="s">
        <v>483</v>
      </c>
      <c r="B387">
        <f t="array" ref="B387">SUM(IF('TEA data'!$A$4:$A$66='BSM Input'!$D387,IF('TEA data'!$B$4:$B$66='BSM Input'!$E387,IF('TEA data'!$D$4:$D$66='BSM Input'!$F387,IF('TEA data'!$E$4:$E$66='BSM Input'!$G387,'TEA data'!Y$4:Y$66,""),""),""),""))</f>
        <v>76348.077597999989</v>
      </c>
      <c r="D387" t="s">
        <v>755</v>
      </c>
      <c r="E387" t="s">
        <v>757</v>
      </c>
      <c r="F387" t="s">
        <v>4</v>
      </c>
      <c r="G387" t="s">
        <v>52</v>
      </c>
    </row>
    <row r="388" spans="1:7">
      <c r="A388" t="s">
        <v>484</v>
      </c>
      <c r="B388" s="17">
        <v>9999999</v>
      </c>
    </row>
    <row r="389" spans="1:7">
      <c r="A389" t="s">
        <v>485</v>
      </c>
      <c r="B389">
        <f t="array" ref="B389">SUM(IF('TEA data'!$A$4:$A$66='BSM Input'!$D389,IF('TEA data'!$B$4:$B$66='BSM Input'!$E389,IF('TEA data'!$D$4:$D$66='BSM Input'!$F389,IF('TEA data'!$E$4:$E$66='BSM Input'!$G389,'TEA data'!Y$4:Y$66,""),""),""),""))</f>
        <v>42475.666297999996</v>
      </c>
      <c r="D389" t="s">
        <v>756</v>
      </c>
      <c r="E389" t="s">
        <v>757</v>
      </c>
      <c r="F389" t="s">
        <v>2</v>
      </c>
      <c r="G389" t="s">
        <v>50</v>
      </c>
    </row>
    <row r="390" spans="1:7">
      <c r="A390" t="s">
        <v>486</v>
      </c>
      <c r="B390">
        <f t="array" ref="B390">SUM(IF('TEA data'!$A$4:$A$66='BSM Input'!$D390,IF('TEA data'!$B$4:$B$66='BSM Input'!$E390,IF('TEA data'!$D$4:$D$66='BSM Input'!$F390,IF('TEA data'!$E$4:$E$66='BSM Input'!$G390,'TEA data'!Y$4:Y$66,""),""),""),""))</f>
        <v>42475.666297999996</v>
      </c>
      <c r="D390" t="s">
        <v>756</v>
      </c>
      <c r="E390" t="s">
        <v>757</v>
      </c>
      <c r="F390" t="s">
        <v>2</v>
      </c>
      <c r="G390" t="s">
        <v>51</v>
      </c>
    </row>
    <row r="391" spans="1:7">
      <c r="A391" t="s">
        <v>487</v>
      </c>
      <c r="B391">
        <f t="array" ref="B391">SUM(IF('TEA data'!$A$4:$A$66='BSM Input'!$D391,IF('TEA data'!$B$4:$B$66='BSM Input'!$E391,IF('TEA data'!$D$4:$D$66='BSM Input'!$F391,IF('TEA data'!$E$4:$E$66='BSM Input'!$G391,'TEA data'!Y$4:Y$66,""),""),""),""))</f>
        <v>42475.666297999996</v>
      </c>
      <c r="D391" t="s">
        <v>756</v>
      </c>
      <c r="E391" t="s">
        <v>757</v>
      </c>
      <c r="F391" t="s">
        <v>2</v>
      </c>
      <c r="G391" t="s">
        <v>52</v>
      </c>
    </row>
    <row r="392" spans="1:7">
      <c r="A392" t="s">
        <v>488</v>
      </c>
      <c r="B392" s="17">
        <v>9999999</v>
      </c>
    </row>
    <row r="393" spans="1:7">
      <c r="A393" t="s">
        <v>489</v>
      </c>
      <c r="B393">
        <f t="array" ref="B393">SUM(IF('TEA data'!$A$4:$A$66='BSM Input'!$D393,IF('TEA data'!$B$4:$B$66='BSM Input'!$E393,IF('TEA data'!$D$4:$D$66='BSM Input'!$F393,IF('TEA data'!$E$4:$E$66='BSM Input'!$G393,'TEA data'!Y$4:Y$66,""),""),""),""))</f>
        <v>31315.718646939993</v>
      </c>
      <c r="D393" t="s">
        <v>756</v>
      </c>
      <c r="E393" t="s">
        <v>757</v>
      </c>
      <c r="F393" t="s">
        <v>3</v>
      </c>
      <c r="G393" t="s">
        <v>50</v>
      </c>
    </row>
    <row r="394" spans="1:7">
      <c r="A394" t="s">
        <v>490</v>
      </c>
      <c r="B394">
        <f t="array" ref="B394">SUM(IF('TEA data'!$A$4:$A$66='BSM Input'!$D394,IF('TEA data'!$B$4:$B$66='BSM Input'!$E394,IF('TEA data'!$D$4:$D$66='BSM Input'!$F394,IF('TEA data'!$E$4:$E$66='BSM Input'!$G394,'TEA data'!Y$4:Y$66,""),""),""),""))</f>
        <v>31315.718646939993</v>
      </c>
      <c r="D394" t="s">
        <v>756</v>
      </c>
      <c r="E394" t="s">
        <v>757</v>
      </c>
      <c r="F394" t="s">
        <v>3</v>
      </c>
      <c r="G394" t="s">
        <v>51</v>
      </c>
    </row>
    <row r="395" spans="1:7">
      <c r="A395" t="s">
        <v>491</v>
      </c>
      <c r="B395">
        <f t="array" ref="B395">SUM(IF('TEA data'!$A$4:$A$66='BSM Input'!$D395,IF('TEA data'!$B$4:$B$66='BSM Input'!$E395,IF('TEA data'!$D$4:$D$66='BSM Input'!$F395,IF('TEA data'!$E$4:$E$66='BSM Input'!$G395,'TEA data'!Y$4:Y$66,""),""),""),""))</f>
        <v>31315.718646939993</v>
      </c>
      <c r="D395" t="s">
        <v>756</v>
      </c>
      <c r="E395" t="s">
        <v>757</v>
      </c>
      <c r="F395" t="s">
        <v>3</v>
      </c>
      <c r="G395" t="s">
        <v>52</v>
      </c>
    </row>
    <row r="396" spans="1:7">
      <c r="A396" t="s">
        <v>492</v>
      </c>
      <c r="B396" s="17">
        <v>9999999</v>
      </c>
    </row>
    <row r="397" spans="1:7">
      <c r="A397" t="s">
        <v>493</v>
      </c>
      <c r="B397">
        <f t="array" ref="B397">SUM(IF('TEA data'!$A$4:$A$66='BSM Input'!$D397,IF('TEA data'!$B$4:$B$66='BSM Input'!$E397,IF('TEA data'!$D$4:$D$66='BSM Input'!$F397,IF('TEA data'!$E$4:$E$66='BSM Input'!$G397,'TEA data'!Y$4:Y$66,""),""),""),""))</f>
        <v>45987.535911459992</v>
      </c>
      <c r="D397" t="s">
        <v>756</v>
      </c>
      <c r="E397" t="s">
        <v>757</v>
      </c>
      <c r="F397" t="s">
        <v>4</v>
      </c>
      <c r="G397" t="s">
        <v>50</v>
      </c>
    </row>
    <row r="398" spans="1:7">
      <c r="A398" t="s">
        <v>494</v>
      </c>
      <c r="B398">
        <f t="array" ref="B398">SUM(IF('TEA data'!$A$4:$A$66='BSM Input'!$D398,IF('TEA data'!$B$4:$B$66='BSM Input'!$E398,IF('TEA data'!$D$4:$D$66='BSM Input'!$F398,IF('TEA data'!$E$4:$E$66='BSM Input'!$G398,'TEA data'!Y$4:Y$66,""),""),""),""))</f>
        <v>45987.535911459992</v>
      </c>
      <c r="D398" t="s">
        <v>756</v>
      </c>
      <c r="E398" t="s">
        <v>757</v>
      </c>
      <c r="F398" t="s">
        <v>4</v>
      </c>
      <c r="G398" t="s">
        <v>51</v>
      </c>
    </row>
    <row r="399" spans="1:7">
      <c r="A399" t="s">
        <v>495</v>
      </c>
      <c r="B399">
        <f t="array" ref="B399">SUM(IF('TEA data'!$A$4:$A$66='BSM Input'!$D399,IF('TEA data'!$B$4:$B$66='BSM Input'!$E399,IF('TEA data'!$D$4:$D$66='BSM Input'!$F399,IF('TEA data'!$E$4:$E$66='BSM Input'!$G399,'TEA data'!Y$4:Y$66,""),""),""),""))</f>
        <v>45987.535911459992</v>
      </c>
      <c r="D399" t="s">
        <v>756</v>
      </c>
      <c r="E399" t="s">
        <v>757</v>
      </c>
      <c r="F399" t="s">
        <v>4</v>
      </c>
      <c r="G399" t="s">
        <v>52</v>
      </c>
    </row>
    <row r="400" spans="1:7">
      <c r="A400" t="s">
        <v>496</v>
      </c>
      <c r="B400" s="17">
        <v>9999999</v>
      </c>
    </row>
    <row r="401" spans="1:7">
      <c r="A401" t="s">
        <v>497</v>
      </c>
      <c r="B401" s="17">
        <v>9999999</v>
      </c>
      <c r="D401" t="s">
        <v>753</v>
      </c>
      <c r="E401" t="s">
        <v>758</v>
      </c>
      <c r="F401" t="s">
        <v>2</v>
      </c>
      <c r="G401" t="s">
        <v>50</v>
      </c>
    </row>
    <row r="402" spans="1:7">
      <c r="A402" t="s">
        <v>498</v>
      </c>
      <c r="B402" s="17">
        <v>9999999</v>
      </c>
      <c r="D402" t="s">
        <v>753</v>
      </c>
      <c r="E402" t="s">
        <v>758</v>
      </c>
      <c r="F402" t="s">
        <v>2</v>
      </c>
      <c r="G402" t="s">
        <v>51</v>
      </c>
    </row>
    <row r="403" spans="1:7">
      <c r="A403" t="s">
        <v>499</v>
      </c>
      <c r="B403" s="17">
        <v>9999999</v>
      </c>
      <c r="D403" t="s">
        <v>753</v>
      </c>
      <c r="E403" t="s">
        <v>758</v>
      </c>
      <c r="F403" t="s">
        <v>2</v>
      </c>
      <c r="G403" t="s">
        <v>52</v>
      </c>
    </row>
    <row r="404" spans="1:7">
      <c r="A404" t="s">
        <v>500</v>
      </c>
      <c r="B404" s="17">
        <v>9999999</v>
      </c>
    </row>
    <row r="405" spans="1:7">
      <c r="A405" t="s">
        <v>501</v>
      </c>
      <c r="B405" s="17">
        <v>9999999</v>
      </c>
      <c r="D405" t="s">
        <v>753</v>
      </c>
      <c r="E405" t="s">
        <v>758</v>
      </c>
      <c r="F405" t="s">
        <v>3</v>
      </c>
      <c r="G405" t="s">
        <v>50</v>
      </c>
    </row>
    <row r="406" spans="1:7">
      <c r="A406" t="s">
        <v>502</v>
      </c>
      <c r="B406" s="17">
        <v>9999999</v>
      </c>
      <c r="D406" t="s">
        <v>753</v>
      </c>
      <c r="E406" t="s">
        <v>758</v>
      </c>
      <c r="F406" t="s">
        <v>3</v>
      </c>
      <c r="G406" t="s">
        <v>51</v>
      </c>
    </row>
    <row r="407" spans="1:7">
      <c r="A407" t="s">
        <v>503</v>
      </c>
      <c r="B407" s="17">
        <v>9999999</v>
      </c>
      <c r="D407" t="s">
        <v>753</v>
      </c>
      <c r="E407" t="s">
        <v>758</v>
      </c>
      <c r="F407" t="s">
        <v>3</v>
      </c>
      <c r="G407" t="s">
        <v>52</v>
      </c>
    </row>
    <row r="408" spans="1:7">
      <c r="A408" t="s">
        <v>504</v>
      </c>
      <c r="B408" s="17">
        <v>9999999</v>
      </c>
    </row>
    <row r="409" spans="1:7">
      <c r="A409" t="s">
        <v>505</v>
      </c>
      <c r="B409">
        <f t="array" ref="B409">SUM(IF('TEA data'!$A$4:$A$66='BSM Input'!$D409,IF('TEA data'!$B$4:$B$66='BSM Input'!$E409,IF('TEA data'!$D$4:$D$66='BSM Input'!$F409,IF('TEA data'!$E$4:$E$66='BSM Input'!$G409,'TEA data'!Y$4:Y$66,""),""),""),""))</f>
        <v>79271.55844334999</v>
      </c>
      <c r="D409" t="s">
        <v>753</v>
      </c>
      <c r="E409" t="s">
        <v>758</v>
      </c>
      <c r="F409" t="s">
        <v>4</v>
      </c>
      <c r="G409" t="s">
        <v>50</v>
      </c>
    </row>
    <row r="410" spans="1:7">
      <c r="A410" t="s">
        <v>506</v>
      </c>
      <c r="B410">
        <f t="array" ref="B410">SUM(IF('TEA data'!$A$4:$A$66='BSM Input'!$D410,IF('TEA data'!$B$4:$B$66='BSM Input'!$E410,IF('TEA data'!$D$4:$D$66='BSM Input'!$F410,IF('TEA data'!$E$4:$E$66='BSM Input'!$G410,'TEA data'!Y$4:Y$66,""),""),""),""))</f>
        <v>79271.55844334999</v>
      </c>
      <c r="D410" t="s">
        <v>753</v>
      </c>
      <c r="E410" t="s">
        <v>758</v>
      </c>
      <c r="F410" t="s">
        <v>4</v>
      </c>
      <c r="G410" t="s">
        <v>51</v>
      </c>
    </row>
    <row r="411" spans="1:7">
      <c r="A411" t="s">
        <v>507</v>
      </c>
      <c r="B411">
        <f t="array" ref="B411">SUM(IF('TEA data'!$A$4:$A$66='BSM Input'!$D411,IF('TEA data'!$B$4:$B$66='BSM Input'!$E411,IF('TEA data'!$D$4:$D$66='BSM Input'!$F411,IF('TEA data'!$E$4:$E$66='BSM Input'!$G411,'TEA data'!Y$4:Y$66,""),""),""),""))</f>
        <v>79271.55844334999</v>
      </c>
      <c r="D411" t="s">
        <v>753</v>
      </c>
      <c r="E411" t="s">
        <v>758</v>
      </c>
      <c r="F411" t="s">
        <v>4</v>
      </c>
      <c r="G411" t="s">
        <v>52</v>
      </c>
    </row>
    <row r="412" spans="1:7">
      <c r="A412" t="s">
        <v>508</v>
      </c>
      <c r="B412" s="17">
        <v>9999999</v>
      </c>
    </row>
    <row r="413" spans="1:7">
      <c r="A413" t="s">
        <v>509</v>
      </c>
      <c r="B413">
        <f t="array" ref="B413">SUM(IF('TEA data'!$A$4:$A$66='BSM Input'!$D413,IF('TEA data'!$B$4:$B$66='BSM Input'!$E413,IF('TEA data'!$D$4:$D$66='BSM Input'!$F413,IF('TEA data'!$E$4:$E$66='BSM Input'!$G413,'TEA data'!Y$4:Y$66,""),""),""),""))</f>
        <v>116349.85494599998</v>
      </c>
      <c r="D413" t="s">
        <v>755</v>
      </c>
      <c r="E413" t="s">
        <v>758</v>
      </c>
      <c r="F413" t="s">
        <v>2</v>
      </c>
      <c r="G413" t="s">
        <v>50</v>
      </c>
    </row>
    <row r="414" spans="1:7">
      <c r="A414" t="s">
        <v>510</v>
      </c>
      <c r="B414">
        <f t="array" ref="B414">SUM(IF('TEA data'!$A$4:$A$66='BSM Input'!$D414,IF('TEA data'!$B$4:$B$66='BSM Input'!$E414,IF('TEA data'!$D$4:$D$66='BSM Input'!$F414,IF('TEA data'!$E$4:$E$66='BSM Input'!$G414,'TEA data'!Y$4:Y$66,""),""),""),""))</f>
        <v>116349.85494599998</v>
      </c>
      <c r="D414" t="s">
        <v>755</v>
      </c>
      <c r="E414" t="s">
        <v>758</v>
      </c>
      <c r="F414" t="s">
        <v>2</v>
      </c>
      <c r="G414" t="s">
        <v>51</v>
      </c>
    </row>
    <row r="415" spans="1:7">
      <c r="A415" t="s">
        <v>511</v>
      </c>
      <c r="B415">
        <f t="array" ref="B415">SUM(IF('TEA data'!$A$4:$A$66='BSM Input'!$D415,IF('TEA data'!$B$4:$B$66='BSM Input'!$E415,IF('TEA data'!$D$4:$D$66='BSM Input'!$F415,IF('TEA data'!$E$4:$E$66='BSM Input'!$G415,'TEA data'!Y$4:Y$66,""),""),""),""))</f>
        <v>116349.85494599998</v>
      </c>
      <c r="D415" t="s">
        <v>755</v>
      </c>
      <c r="E415" t="s">
        <v>758</v>
      </c>
      <c r="F415" t="s">
        <v>2</v>
      </c>
      <c r="G415" t="s">
        <v>52</v>
      </c>
    </row>
    <row r="416" spans="1:7">
      <c r="A416" t="s">
        <v>512</v>
      </c>
      <c r="B416" s="17">
        <v>9999999</v>
      </c>
    </row>
    <row r="417" spans="1:7">
      <c r="A417" t="s">
        <v>513</v>
      </c>
      <c r="B417">
        <f t="array" ref="B417">SUM(IF('TEA data'!$A$4:$A$66='BSM Input'!$D417,IF('TEA data'!$B$4:$B$66='BSM Input'!$E417,IF('TEA data'!$D$4:$D$66='BSM Input'!$F417,IF('TEA data'!$E$4:$E$66='BSM Input'!$G417,'TEA data'!Y$4:Y$66,""),""),""),""))</f>
        <v>135293.639169</v>
      </c>
      <c r="D417" t="s">
        <v>755</v>
      </c>
      <c r="E417" t="s">
        <v>758</v>
      </c>
      <c r="F417" t="s">
        <v>3</v>
      </c>
      <c r="G417" t="s">
        <v>50</v>
      </c>
    </row>
    <row r="418" spans="1:7">
      <c r="A418" t="s">
        <v>514</v>
      </c>
      <c r="B418">
        <f t="array" ref="B418">SUM(IF('TEA data'!$A$4:$A$66='BSM Input'!$D418,IF('TEA data'!$B$4:$B$66='BSM Input'!$E418,IF('TEA data'!$D$4:$D$66='BSM Input'!$F418,IF('TEA data'!$E$4:$E$66='BSM Input'!$G418,'TEA data'!Y$4:Y$66,""),""),""),""))</f>
        <v>135293.639169</v>
      </c>
      <c r="D418" t="s">
        <v>755</v>
      </c>
      <c r="E418" t="s">
        <v>758</v>
      </c>
      <c r="F418" t="s">
        <v>3</v>
      </c>
      <c r="G418" t="s">
        <v>51</v>
      </c>
    </row>
    <row r="419" spans="1:7">
      <c r="A419" t="s">
        <v>515</v>
      </c>
      <c r="B419">
        <f t="array" ref="B419">SUM(IF('TEA data'!$A$4:$A$66='BSM Input'!$D419,IF('TEA data'!$B$4:$B$66='BSM Input'!$E419,IF('TEA data'!$D$4:$D$66='BSM Input'!$F419,IF('TEA data'!$E$4:$E$66='BSM Input'!$G419,'TEA data'!Y$4:Y$66,""),""),""),""))</f>
        <v>135293.639169</v>
      </c>
      <c r="D419" t="s">
        <v>755</v>
      </c>
      <c r="E419" t="s">
        <v>758</v>
      </c>
      <c r="F419" t="s">
        <v>3</v>
      </c>
      <c r="G419" t="s">
        <v>52</v>
      </c>
    </row>
    <row r="420" spans="1:7">
      <c r="A420" t="s">
        <v>516</v>
      </c>
      <c r="B420" s="17">
        <v>9999999</v>
      </c>
    </row>
    <row r="421" spans="1:7">
      <c r="A421" t="s">
        <v>517</v>
      </c>
      <c r="B421">
        <f t="array" ref="B421">SUM(IF('TEA data'!$A$4:$A$66='BSM Input'!$D421,IF('TEA data'!$B$4:$B$66='BSM Input'!$E421,IF('TEA data'!$D$4:$D$66='BSM Input'!$F421,IF('TEA data'!$E$4:$E$66='BSM Input'!$G421,'TEA data'!Y$4:Y$66,""),""),""),""))</f>
        <v>159938.47190099998</v>
      </c>
      <c r="D421" t="s">
        <v>755</v>
      </c>
      <c r="E421" t="s">
        <v>758</v>
      </c>
      <c r="F421" t="s">
        <v>4</v>
      </c>
      <c r="G421" t="s">
        <v>50</v>
      </c>
    </row>
    <row r="422" spans="1:7">
      <c r="A422" t="s">
        <v>518</v>
      </c>
      <c r="B422">
        <f t="array" ref="B422">SUM(IF('TEA data'!$A$4:$A$66='BSM Input'!$D422,IF('TEA data'!$B$4:$B$66='BSM Input'!$E422,IF('TEA data'!$D$4:$D$66='BSM Input'!$F422,IF('TEA data'!$E$4:$E$66='BSM Input'!$G422,'TEA data'!Y$4:Y$66,""),""),""),""))</f>
        <v>159938.47190099998</v>
      </c>
      <c r="D422" t="s">
        <v>755</v>
      </c>
      <c r="E422" t="s">
        <v>758</v>
      </c>
      <c r="F422" t="s">
        <v>4</v>
      </c>
      <c r="G422" t="s">
        <v>51</v>
      </c>
    </row>
    <row r="423" spans="1:7">
      <c r="A423" t="s">
        <v>519</v>
      </c>
      <c r="B423">
        <f t="array" ref="B423">SUM(IF('TEA data'!$A$4:$A$66='BSM Input'!$D423,IF('TEA data'!$B$4:$B$66='BSM Input'!$E423,IF('TEA data'!$D$4:$D$66='BSM Input'!$F423,IF('TEA data'!$E$4:$E$66='BSM Input'!$G423,'TEA data'!Y$4:Y$66,""),""),""),""))</f>
        <v>159938.47190099998</v>
      </c>
      <c r="D423" t="s">
        <v>755</v>
      </c>
      <c r="E423" t="s">
        <v>758</v>
      </c>
      <c r="F423" t="s">
        <v>4</v>
      </c>
      <c r="G423" t="s">
        <v>52</v>
      </c>
    </row>
    <row r="424" spans="1:7">
      <c r="A424" t="s">
        <v>520</v>
      </c>
      <c r="B424" s="17">
        <v>9999999</v>
      </c>
    </row>
    <row r="425" spans="1:7">
      <c r="A425" t="s">
        <v>521</v>
      </c>
      <c r="B425">
        <f t="array" ref="B425">SUM(IF('TEA data'!$A$4:$A$66='BSM Input'!$D425,IF('TEA data'!$B$4:$B$66='BSM Input'!$E425,IF('TEA data'!$D$4:$D$66='BSM Input'!$F425,IF('TEA data'!$E$4:$E$66='BSM Input'!$G425,'TEA data'!Y$4:Y$66,""),""),""),""))</f>
        <v>84301.970765999984</v>
      </c>
      <c r="D425" t="s">
        <v>756</v>
      </c>
      <c r="E425" t="s">
        <v>758</v>
      </c>
      <c r="F425" t="s">
        <v>2</v>
      </c>
      <c r="G425" t="s">
        <v>50</v>
      </c>
    </row>
    <row r="426" spans="1:7">
      <c r="A426" t="s">
        <v>522</v>
      </c>
      <c r="B426">
        <f t="array" ref="B426">SUM(IF('TEA data'!$A$4:$A$66='BSM Input'!$D426,IF('TEA data'!$B$4:$B$66='BSM Input'!$E426,IF('TEA data'!$D$4:$D$66='BSM Input'!$F426,IF('TEA data'!$E$4:$E$66='BSM Input'!$G426,'TEA data'!Y$4:Y$66,""),""),""),""))</f>
        <v>84301.970765999984</v>
      </c>
      <c r="D426" t="s">
        <v>756</v>
      </c>
      <c r="E426" t="s">
        <v>758</v>
      </c>
      <c r="F426" t="s">
        <v>2</v>
      </c>
      <c r="G426" t="s">
        <v>51</v>
      </c>
    </row>
    <row r="427" spans="1:7">
      <c r="A427" t="s">
        <v>523</v>
      </c>
      <c r="B427">
        <f t="array" ref="B427">SUM(IF('TEA data'!$A$4:$A$66='BSM Input'!$D427,IF('TEA data'!$B$4:$B$66='BSM Input'!$E427,IF('TEA data'!$D$4:$D$66='BSM Input'!$F427,IF('TEA data'!$E$4:$E$66='BSM Input'!$G427,'TEA data'!Y$4:Y$66,""),""),""),""))</f>
        <v>84301.970765999984</v>
      </c>
      <c r="D427" t="s">
        <v>756</v>
      </c>
      <c r="E427" t="s">
        <v>758</v>
      </c>
      <c r="F427" t="s">
        <v>2</v>
      </c>
      <c r="G427" t="s">
        <v>52</v>
      </c>
    </row>
    <row r="428" spans="1:7">
      <c r="A428" t="s">
        <v>524</v>
      </c>
      <c r="B428" s="17">
        <v>9999999</v>
      </c>
    </row>
    <row r="429" spans="1:7">
      <c r="A429" t="s">
        <v>525</v>
      </c>
      <c r="B429">
        <f t="array" ref="B429">SUM(IF('TEA data'!$A$4:$A$66='BSM Input'!$D429,IF('TEA data'!$B$4:$B$66='BSM Input'!$E429,IF('TEA data'!$D$4:$D$66='BSM Input'!$F429,IF('TEA data'!$E$4:$E$66='BSM Input'!$G429,'TEA data'!Y$4:Y$66,""),""),""),""))</f>
        <v>90186.242185649986</v>
      </c>
      <c r="D429" t="s">
        <v>756</v>
      </c>
      <c r="E429" t="s">
        <v>758</v>
      </c>
      <c r="F429" t="s">
        <v>3</v>
      </c>
      <c r="G429" t="s">
        <v>50</v>
      </c>
    </row>
    <row r="430" spans="1:7">
      <c r="A430" t="s">
        <v>526</v>
      </c>
      <c r="B430">
        <f t="array" ref="B430">SUM(IF('TEA data'!$A$4:$A$66='BSM Input'!$D430,IF('TEA data'!$B$4:$B$66='BSM Input'!$E430,IF('TEA data'!$D$4:$D$66='BSM Input'!$F430,IF('TEA data'!$E$4:$E$66='BSM Input'!$G430,'TEA data'!Y$4:Y$66,""),""),""),""))</f>
        <v>90186.242185649986</v>
      </c>
      <c r="D430" t="s">
        <v>756</v>
      </c>
      <c r="E430" t="s">
        <v>758</v>
      </c>
      <c r="F430" t="s">
        <v>3</v>
      </c>
      <c r="G430" t="s">
        <v>51</v>
      </c>
    </row>
    <row r="431" spans="1:7">
      <c r="A431" t="s">
        <v>527</v>
      </c>
      <c r="B431">
        <f t="array" ref="B431">SUM(IF('TEA data'!$A$4:$A$66='BSM Input'!$D431,IF('TEA data'!$B$4:$B$66='BSM Input'!$E431,IF('TEA data'!$D$4:$D$66='BSM Input'!$F431,IF('TEA data'!$E$4:$E$66='BSM Input'!$G431,'TEA data'!Y$4:Y$66,""),""),""),""))</f>
        <v>90186.242185649986</v>
      </c>
      <c r="D431" t="s">
        <v>756</v>
      </c>
      <c r="E431" t="s">
        <v>758</v>
      </c>
      <c r="F431" t="s">
        <v>3</v>
      </c>
      <c r="G431" t="s">
        <v>52</v>
      </c>
    </row>
    <row r="432" spans="1:7">
      <c r="A432" t="s">
        <v>528</v>
      </c>
      <c r="B432" s="17">
        <v>9999999</v>
      </c>
    </row>
    <row r="433" spans="1:7">
      <c r="A433" t="s">
        <v>529</v>
      </c>
      <c r="B433">
        <f t="array" ref="B433">SUM(IF('TEA data'!$A$4:$A$66='BSM Input'!$D433,IF('TEA data'!$B$4:$B$66='BSM Input'!$E433,IF('TEA data'!$D$4:$D$66='BSM Input'!$F433,IF('TEA data'!$E$4:$E$66='BSM Input'!$G433,'TEA data'!Y$4:Y$66,""),""),""),""))</f>
        <v>110504.61055334999</v>
      </c>
      <c r="D433" t="s">
        <v>756</v>
      </c>
      <c r="E433" t="s">
        <v>758</v>
      </c>
      <c r="F433" t="s">
        <v>4</v>
      </c>
      <c r="G433" t="s">
        <v>50</v>
      </c>
    </row>
    <row r="434" spans="1:7">
      <c r="A434" t="s">
        <v>530</v>
      </c>
      <c r="B434">
        <f t="array" ref="B434">SUM(IF('TEA data'!$A$4:$A$66='BSM Input'!$D434,IF('TEA data'!$B$4:$B$66='BSM Input'!$E434,IF('TEA data'!$D$4:$D$66='BSM Input'!$F434,IF('TEA data'!$E$4:$E$66='BSM Input'!$G434,'TEA data'!Y$4:Y$66,""),""),""),""))</f>
        <v>110504.61055334999</v>
      </c>
      <c r="D434" t="s">
        <v>756</v>
      </c>
      <c r="E434" t="s">
        <v>758</v>
      </c>
      <c r="F434" t="s">
        <v>4</v>
      </c>
      <c r="G434" t="s">
        <v>51</v>
      </c>
    </row>
    <row r="435" spans="1:7">
      <c r="A435" t="s">
        <v>531</v>
      </c>
      <c r="B435">
        <f t="array" ref="B435">SUM(IF('TEA data'!$A$4:$A$66='BSM Input'!$D435,IF('TEA data'!$B$4:$B$66='BSM Input'!$E435,IF('TEA data'!$D$4:$D$66='BSM Input'!$F435,IF('TEA data'!$E$4:$E$66='BSM Input'!$G435,'TEA data'!Y$4:Y$66,""),""),""),""))</f>
        <v>110504.61055334999</v>
      </c>
      <c r="D435" t="s">
        <v>756</v>
      </c>
      <c r="E435" t="s">
        <v>758</v>
      </c>
      <c r="F435" t="s">
        <v>4</v>
      </c>
      <c r="G435" t="s">
        <v>52</v>
      </c>
    </row>
    <row r="436" spans="1:7">
      <c r="A436" t="s">
        <v>532</v>
      </c>
      <c r="B436" s="17">
        <v>9999999</v>
      </c>
    </row>
    <row r="438" spans="1:7">
      <c r="A438" t="s">
        <v>533</v>
      </c>
      <c r="B438" s="17">
        <v>9999999</v>
      </c>
      <c r="D438" t="s">
        <v>753</v>
      </c>
      <c r="E438" t="s">
        <v>754</v>
      </c>
      <c r="F438" t="s">
        <v>2</v>
      </c>
      <c r="G438" t="s">
        <v>50</v>
      </c>
    </row>
    <row r="439" spans="1:7">
      <c r="A439" t="s">
        <v>534</v>
      </c>
      <c r="B439" s="17">
        <v>9999999</v>
      </c>
      <c r="D439" t="s">
        <v>753</v>
      </c>
      <c r="E439" t="s">
        <v>754</v>
      </c>
      <c r="F439" t="s">
        <v>2</v>
      </c>
      <c r="G439" t="s">
        <v>51</v>
      </c>
    </row>
    <row r="440" spans="1:7">
      <c r="A440" t="s">
        <v>535</v>
      </c>
      <c r="B440" s="17">
        <v>9999999</v>
      </c>
      <c r="D440" t="s">
        <v>753</v>
      </c>
      <c r="E440" t="s">
        <v>754</v>
      </c>
      <c r="F440" t="s">
        <v>2</v>
      </c>
      <c r="G440" t="s">
        <v>52</v>
      </c>
    </row>
    <row r="441" spans="1:7">
      <c r="A441" t="s">
        <v>536</v>
      </c>
      <c r="B441" s="17">
        <v>9999999</v>
      </c>
    </row>
    <row r="442" spans="1:7">
      <c r="A442" t="s">
        <v>537</v>
      </c>
      <c r="B442" s="17">
        <v>9999999</v>
      </c>
      <c r="D442" t="s">
        <v>753</v>
      </c>
      <c r="E442" t="s">
        <v>754</v>
      </c>
      <c r="F442" t="s">
        <v>3</v>
      </c>
      <c r="G442" t="s">
        <v>50</v>
      </c>
    </row>
    <row r="443" spans="1:7">
      <c r="A443" t="s">
        <v>538</v>
      </c>
      <c r="B443" s="17">
        <v>9999999</v>
      </c>
      <c r="D443" t="s">
        <v>753</v>
      </c>
      <c r="E443" t="s">
        <v>754</v>
      </c>
      <c r="F443" t="s">
        <v>3</v>
      </c>
      <c r="G443" t="s">
        <v>51</v>
      </c>
    </row>
    <row r="444" spans="1:7">
      <c r="A444" t="s">
        <v>539</v>
      </c>
      <c r="B444" s="17">
        <v>9999999</v>
      </c>
      <c r="D444" t="s">
        <v>753</v>
      </c>
      <c r="E444" t="s">
        <v>754</v>
      </c>
      <c r="F444" t="s">
        <v>3</v>
      </c>
      <c r="G444" t="s">
        <v>52</v>
      </c>
    </row>
    <row r="445" spans="1:7">
      <c r="A445" t="s">
        <v>540</v>
      </c>
      <c r="B445" s="17">
        <v>9999999</v>
      </c>
    </row>
    <row r="446" spans="1:7">
      <c r="A446" t="s">
        <v>541</v>
      </c>
      <c r="B446">
        <f t="array" ref="B446">SUM(IF('TEA data'!$A$4:$A$66='BSM Input'!$D446,IF('TEA data'!$B$4:$B$66='BSM Input'!$E446,IF('TEA data'!$D$4:$D$66='BSM Input'!$F446,IF('TEA data'!$E$4:$E$66='BSM Input'!$G446,'TEA data'!X$4:X$66,""),""),""),""))</f>
        <v>45034.670378879993</v>
      </c>
      <c r="D446" t="s">
        <v>753</v>
      </c>
      <c r="E446" t="s">
        <v>754</v>
      </c>
      <c r="F446" t="s">
        <v>4</v>
      </c>
      <c r="G446" t="s">
        <v>50</v>
      </c>
    </row>
    <row r="447" spans="1:7">
      <c r="A447" t="s">
        <v>542</v>
      </c>
      <c r="B447">
        <f t="array" ref="B447">SUM(IF('TEA data'!$A$4:$A$66='BSM Input'!$D447,IF('TEA data'!$B$4:$B$66='BSM Input'!$E447,IF('TEA data'!$D$4:$D$66='BSM Input'!$F447,IF('TEA data'!$E$4:$E$66='BSM Input'!$G447,'TEA data'!X$4:X$66,""),""),""),""))</f>
        <v>45034.670378879993</v>
      </c>
      <c r="D447" t="s">
        <v>753</v>
      </c>
      <c r="E447" t="s">
        <v>754</v>
      </c>
      <c r="F447" t="s">
        <v>4</v>
      </c>
      <c r="G447" t="s">
        <v>51</v>
      </c>
    </row>
    <row r="448" spans="1:7">
      <c r="A448" t="s">
        <v>543</v>
      </c>
      <c r="B448">
        <f t="array" ref="B448">SUM(IF('TEA data'!$A$4:$A$66='BSM Input'!$D448,IF('TEA data'!$B$4:$B$66='BSM Input'!$E448,IF('TEA data'!$D$4:$D$66='BSM Input'!$F448,IF('TEA data'!$E$4:$E$66='BSM Input'!$G448,'TEA data'!X$4:X$66,""),""),""),""))</f>
        <v>45034.670378879993</v>
      </c>
      <c r="D448" t="s">
        <v>753</v>
      </c>
      <c r="E448" t="s">
        <v>754</v>
      </c>
      <c r="F448" t="s">
        <v>4</v>
      </c>
      <c r="G448" t="s">
        <v>52</v>
      </c>
    </row>
    <row r="449" spans="1:7">
      <c r="A449" t="s">
        <v>544</v>
      </c>
      <c r="B449" s="17">
        <v>9999999</v>
      </c>
    </row>
    <row r="450" spans="1:7">
      <c r="A450" t="s">
        <v>545</v>
      </c>
      <c r="B450">
        <f t="array" ref="B450">SUM(IF('TEA data'!$A$4:$A$66='BSM Input'!$D450,IF('TEA data'!$B$4:$B$66='BSM Input'!$E450,IF('TEA data'!$D$4:$D$66='BSM Input'!$F450,IF('TEA data'!$E$4:$E$66='BSM Input'!$G450,'TEA data'!X$4:X$66,""),""),""),""))</f>
        <v>57733.240447999997</v>
      </c>
      <c r="D450" t="s">
        <v>755</v>
      </c>
      <c r="E450" t="s">
        <v>754</v>
      </c>
      <c r="F450" t="s">
        <v>2</v>
      </c>
      <c r="G450" t="s">
        <v>50</v>
      </c>
    </row>
    <row r="451" spans="1:7">
      <c r="A451" t="s">
        <v>546</v>
      </c>
      <c r="B451">
        <f t="array" ref="B451">SUM(IF('TEA data'!$A$4:$A$66='BSM Input'!$D451,IF('TEA data'!$B$4:$B$66='BSM Input'!$E451,IF('TEA data'!$D$4:$D$66='BSM Input'!$F451,IF('TEA data'!$E$4:$E$66='BSM Input'!$G451,'TEA data'!X$4:X$66,""),""),""),""))</f>
        <v>57733.240447999997</v>
      </c>
      <c r="D451" t="s">
        <v>755</v>
      </c>
      <c r="E451" t="s">
        <v>754</v>
      </c>
      <c r="F451" t="s">
        <v>2</v>
      </c>
      <c r="G451" t="s">
        <v>51</v>
      </c>
    </row>
    <row r="452" spans="1:7">
      <c r="A452" t="s">
        <v>547</v>
      </c>
      <c r="B452">
        <f t="array" ref="B452">SUM(IF('TEA data'!$A$4:$A$66='BSM Input'!$D452,IF('TEA data'!$B$4:$B$66='BSM Input'!$E452,IF('TEA data'!$D$4:$D$66='BSM Input'!$F452,IF('TEA data'!$E$4:$E$66='BSM Input'!$G452,'TEA data'!X$4:X$66,""),""),""),""))</f>
        <v>57733.240447999997</v>
      </c>
      <c r="D452" t="s">
        <v>755</v>
      </c>
      <c r="E452" t="s">
        <v>754</v>
      </c>
      <c r="F452" t="s">
        <v>2</v>
      </c>
      <c r="G452" t="s">
        <v>52</v>
      </c>
    </row>
    <row r="453" spans="1:7">
      <c r="A453" t="s">
        <v>548</v>
      </c>
      <c r="B453" s="17">
        <v>9999999</v>
      </c>
    </row>
    <row r="454" spans="1:7">
      <c r="A454" t="s">
        <v>549</v>
      </c>
      <c r="B454">
        <f t="array" ref="B454">SUM(IF('TEA data'!$A$4:$A$66='BSM Input'!$D454,IF('TEA data'!$B$4:$B$66='BSM Input'!$E454,IF('TEA data'!$D$4:$D$66='BSM Input'!$F454,IF('TEA data'!$E$4:$E$66='BSM Input'!$G454,'TEA data'!X$4:X$66,""),""),""),""))</f>
        <v>46882.139199999998</v>
      </c>
      <c r="D454" t="s">
        <v>755</v>
      </c>
      <c r="E454" t="s">
        <v>754</v>
      </c>
      <c r="F454" t="s">
        <v>3</v>
      </c>
      <c r="G454" t="s">
        <v>50</v>
      </c>
    </row>
    <row r="455" spans="1:7">
      <c r="A455" t="s">
        <v>550</v>
      </c>
      <c r="B455">
        <f t="array" ref="B455">SUM(IF('TEA data'!$A$4:$A$66='BSM Input'!$D455,IF('TEA data'!$B$4:$B$66='BSM Input'!$E455,IF('TEA data'!$D$4:$D$66='BSM Input'!$F455,IF('TEA data'!$E$4:$E$66='BSM Input'!$G455,'TEA data'!X$4:X$66,""),""),""),""))</f>
        <v>46882.139199999998</v>
      </c>
      <c r="D455" t="s">
        <v>755</v>
      </c>
      <c r="E455" t="s">
        <v>754</v>
      </c>
      <c r="F455" t="s">
        <v>3</v>
      </c>
      <c r="G455" t="s">
        <v>51</v>
      </c>
    </row>
    <row r="456" spans="1:7">
      <c r="A456" t="s">
        <v>551</v>
      </c>
      <c r="B456">
        <f t="array" ref="B456">SUM(IF('TEA data'!$A$4:$A$66='BSM Input'!$D456,IF('TEA data'!$B$4:$B$66='BSM Input'!$E456,IF('TEA data'!$D$4:$D$66='BSM Input'!$F456,IF('TEA data'!$E$4:$E$66='BSM Input'!$G456,'TEA data'!X$4:X$66,""),""),""),""))</f>
        <v>46882.139199999998</v>
      </c>
      <c r="D456" t="s">
        <v>755</v>
      </c>
      <c r="E456" t="s">
        <v>754</v>
      </c>
      <c r="F456" t="s">
        <v>3</v>
      </c>
      <c r="G456" t="s">
        <v>52</v>
      </c>
    </row>
    <row r="457" spans="1:7">
      <c r="A457" t="s">
        <v>552</v>
      </c>
      <c r="B457" s="17">
        <v>9999999</v>
      </c>
    </row>
    <row r="458" spans="1:7">
      <c r="A458" t="s">
        <v>553</v>
      </c>
      <c r="B458">
        <f t="array" ref="B458">SUM(IF('TEA data'!$A$4:$A$66='BSM Input'!$D458,IF('TEA data'!$B$4:$B$66='BSM Input'!$E458,IF('TEA data'!$D$4:$D$66='BSM Input'!$F458,IF('TEA data'!$E$4:$E$66='BSM Input'!$G458,'TEA data'!X$4:X$66,""),""),""),""))</f>
        <v>65468.703039999993</v>
      </c>
      <c r="D458" t="s">
        <v>755</v>
      </c>
      <c r="E458" t="s">
        <v>754</v>
      </c>
      <c r="F458" t="s">
        <v>4</v>
      </c>
      <c r="G458" t="s">
        <v>50</v>
      </c>
    </row>
    <row r="459" spans="1:7">
      <c r="A459" t="s">
        <v>554</v>
      </c>
      <c r="B459">
        <f t="array" ref="B459">SUM(IF('TEA data'!$A$4:$A$66='BSM Input'!$D459,IF('TEA data'!$B$4:$B$66='BSM Input'!$E459,IF('TEA data'!$D$4:$D$66='BSM Input'!$F459,IF('TEA data'!$E$4:$E$66='BSM Input'!$G459,'TEA data'!X$4:X$66,""),""),""),""))</f>
        <v>65468.703039999993</v>
      </c>
      <c r="D459" t="s">
        <v>755</v>
      </c>
      <c r="E459" t="s">
        <v>754</v>
      </c>
      <c r="F459" t="s">
        <v>4</v>
      </c>
      <c r="G459" t="s">
        <v>51</v>
      </c>
    </row>
    <row r="460" spans="1:7">
      <c r="A460" t="s">
        <v>555</v>
      </c>
      <c r="B460">
        <f t="array" ref="B460">SUM(IF('TEA data'!$A$4:$A$66='BSM Input'!$D460,IF('TEA data'!$B$4:$B$66='BSM Input'!$E460,IF('TEA data'!$D$4:$D$66='BSM Input'!$F460,IF('TEA data'!$E$4:$E$66='BSM Input'!$G460,'TEA data'!X$4:X$66,""),""),""),""))</f>
        <v>65468.703039999993</v>
      </c>
      <c r="D460" t="s">
        <v>755</v>
      </c>
      <c r="E460" t="s">
        <v>754</v>
      </c>
      <c r="F460" t="s">
        <v>4</v>
      </c>
      <c r="G460" t="s">
        <v>52</v>
      </c>
    </row>
    <row r="461" spans="1:7">
      <c r="A461" t="s">
        <v>556</v>
      </c>
      <c r="B461" s="17">
        <v>9999999</v>
      </c>
    </row>
    <row r="462" spans="1:7">
      <c r="A462" t="s">
        <v>557</v>
      </c>
      <c r="B462">
        <f t="array" ref="B462">SUM(IF('TEA data'!$A$4:$A$66='BSM Input'!$D462,IF('TEA data'!$B$4:$B$66='BSM Input'!$E462,IF('TEA data'!$D$4:$D$66='BSM Input'!$F462,IF('TEA data'!$E$4:$E$66='BSM Input'!$G462,'TEA data'!X$4:X$66,""),""),""),""))</f>
        <v>0</v>
      </c>
      <c r="D462" t="s">
        <v>756</v>
      </c>
      <c r="E462" t="s">
        <v>754</v>
      </c>
      <c r="F462" t="s">
        <v>2</v>
      </c>
      <c r="G462" t="s">
        <v>50</v>
      </c>
    </row>
    <row r="463" spans="1:7">
      <c r="A463" t="s">
        <v>558</v>
      </c>
      <c r="B463">
        <f t="array" ref="B463">SUM(IF('TEA data'!$A$4:$A$66='BSM Input'!$D463,IF('TEA data'!$B$4:$B$66='BSM Input'!$E463,IF('TEA data'!$D$4:$D$66='BSM Input'!$F463,IF('TEA data'!$E$4:$E$66='BSM Input'!$G463,'TEA data'!X$4:X$66,""),""),""),""))</f>
        <v>0</v>
      </c>
      <c r="D463" t="s">
        <v>756</v>
      </c>
      <c r="E463" t="s">
        <v>754</v>
      </c>
      <c r="F463" t="s">
        <v>2</v>
      </c>
      <c r="G463" t="s">
        <v>51</v>
      </c>
    </row>
    <row r="464" spans="1:7">
      <c r="A464" t="s">
        <v>559</v>
      </c>
      <c r="B464">
        <f t="array" ref="B464">SUM(IF('TEA data'!$A$4:$A$66='BSM Input'!$D464,IF('TEA data'!$B$4:$B$66='BSM Input'!$E464,IF('TEA data'!$D$4:$D$66='BSM Input'!$F464,IF('TEA data'!$E$4:$E$66='BSM Input'!$G464,'TEA data'!X$4:X$66,""),""),""),""))</f>
        <v>0</v>
      </c>
      <c r="D464" t="s">
        <v>756</v>
      </c>
      <c r="E464" t="s">
        <v>754</v>
      </c>
      <c r="F464" t="s">
        <v>2</v>
      </c>
      <c r="G464" t="s">
        <v>52</v>
      </c>
    </row>
    <row r="465" spans="1:7">
      <c r="A465" t="s">
        <v>560</v>
      </c>
      <c r="B465" s="17">
        <v>9999999</v>
      </c>
    </row>
    <row r="466" spans="1:7">
      <c r="A466" t="s">
        <v>561</v>
      </c>
      <c r="B466">
        <f t="array" ref="B466">SUM(IF('TEA data'!$A$4:$A$66='BSM Input'!$D466,IF('TEA data'!$B$4:$B$66='BSM Input'!$E466,IF('TEA data'!$D$4:$D$66='BSM Input'!$F466,IF('TEA data'!$E$4:$E$66='BSM Input'!$G466,'TEA data'!X$4:X$66,""),""),""),""))</f>
        <v>0</v>
      </c>
      <c r="D466" t="s">
        <v>756</v>
      </c>
      <c r="E466" t="s">
        <v>754</v>
      </c>
      <c r="F466" t="s">
        <v>3</v>
      </c>
      <c r="G466" t="s">
        <v>50</v>
      </c>
    </row>
    <row r="467" spans="1:7">
      <c r="A467" t="s">
        <v>562</v>
      </c>
      <c r="B467">
        <f t="array" ref="B467">SUM(IF('TEA data'!$A$4:$A$66='BSM Input'!$D467,IF('TEA data'!$B$4:$B$66='BSM Input'!$E467,IF('TEA data'!$D$4:$D$66='BSM Input'!$F467,IF('TEA data'!$E$4:$E$66='BSM Input'!$G467,'TEA data'!X$4:X$66,""),""),""),""))</f>
        <v>0</v>
      </c>
      <c r="D467" t="s">
        <v>756</v>
      </c>
      <c r="E467" t="s">
        <v>754</v>
      </c>
      <c r="F467" t="s">
        <v>3</v>
      </c>
      <c r="G467" t="s">
        <v>51</v>
      </c>
    </row>
    <row r="468" spans="1:7">
      <c r="A468" t="s">
        <v>563</v>
      </c>
      <c r="B468">
        <f t="array" ref="B468">SUM(IF('TEA data'!$A$4:$A$66='BSM Input'!$D468,IF('TEA data'!$B$4:$B$66='BSM Input'!$E468,IF('TEA data'!$D$4:$D$66='BSM Input'!$F468,IF('TEA data'!$E$4:$E$66='BSM Input'!$G468,'TEA data'!X$4:X$66,""),""),""),""))</f>
        <v>0</v>
      </c>
      <c r="D468" t="s">
        <v>756</v>
      </c>
      <c r="E468" t="s">
        <v>754</v>
      </c>
      <c r="F468" t="s">
        <v>3</v>
      </c>
      <c r="G468" t="s">
        <v>52</v>
      </c>
    </row>
    <row r="469" spans="1:7">
      <c r="A469" t="s">
        <v>564</v>
      </c>
      <c r="B469" s="17">
        <v>9999999</v>
      </c>
    </row>
    <row r="470" spans="1:7">
      <c r="A470" t="s">
        <v>565</v>
      </c>
      <c r="B470">
        <f t="array" ref="B470">SUM(IF('TEA data'!$A$4:$A$66='BSM Input'!$D470,IF('TEA data'!$B$4:$B$66='BSM Input'!$E470,IF('TEA data'!$D$4:$D$66='BSM Input'!$F470,IF('TEA data'!$E$4:$E$66='BSM Input'!$G470,'TEA data'!X$4:X$66,""),""),""),""))</f>
        <v>0</v>
      </c>
      <c r="D470" t="s">
        <v>756</v>
      </c>
      <c r="E470" t="s">
        <v>754</v>
      </c>
      <c r="F470" t="s">
        <v>4</v>
      </c>
      <c r="G470" t="s">
        <v>50</v>
      </c>
    </row>
    <row r="471" spans="1:7">
      <c r="A471" t="s">
        <v>566</v>
      </c>
      <c r="B471">
        <f t="array" ref="B471">SUM(IF('TEA data'!$A$4:$A$66='BSM Input'!$D471,IF('TEA data'!$B$4:$B$66='BSM Input'!$E471,IF('TEA data'!$D$4:$D$66='BSM Input'!$F471,IF('TEA data'!$E$4:$E$66='BSM Input'!$G471,'TEA data'!X$4:X$66,""),""),""),""))</f>
        <v>0</v>
      </c>
      <c r="D471" t="s">
        <v>756</v>
      </c>
      <c r="E471" t="s">
        <v>754</v>
      </c>
      <c r="F471" t="s">
        <v>4</v>
      </c>
      <c r="G471" t="s">
        <v>51</v>
      </c>
    </row>
    <row r="472" spans="1:7">
      <c r="A472" t="s">
        <v>567</v>
      </c>
      <c r="B472">
        <f t="array" ref="B472">SUM(IF('TEA data'!$A$4:$A$66='BSM Input'!$D472,IF('TEA data'!$B$4:$B$66='BSM Input'!$E472,IF('TEA data'!$D$4:$D$66='BSM Input'!$F472,IF('TEA data'!$E$4:$E$66='BSM Input'!$G472,'TEA data'!X$4:X$66,""),""),""),""))</f>
        <v>0</v>
      </c>
      <c r="D472" t="s">
        <v>756</v>
      </c>
      <c r="E472" t="s">
        <v>754</v>
      </c>
      <c r="F472" t="s">
        <v>4</v>
      </c>
      <c r="G472" t="s">
        <v>52</v>
      </c>
    </row>
    <row r="473" spans="1:7">
      <c r="A473" t="s">
        <v>568</v>
      </c>
      <c r="B473" s="17">
        <v>9999999</v>
      </c>
    </row>
    <row r="474" spans="1:7">
      <c r="A474" t="s">
        <v>569</v>
      </c>
      <c r="B474" s="17">
        <v>9999999</v>
      </c>
      <c r="D474" t="s">
        <v>753</v>
      </c>
      <c r="E474" t="s">
        <v>757</v>
      </c>
      <c r="F474" t="s">
        <v>2</v>
      </c>
      <c r="G474" t="s">
        <v>50</v>
      </c>
    </row>
    <row r="475" spans="1:7">
      <c r="A475" t="s">
        <v>570</v>
      </c>
      <c r="B475" s="17">
        <v>9999999</v>
      </c>
      <c r="D475" t="s">
        <v>753</v>
      </c>
      <c r="E475" t="s">
        <v>757</v>
      </c>
      <c r="F475" t="s">
        <v>2</v>
      </c>
      <c r="G475" t="s">
        <v>51</v>
      </c>
    </row>
    <row r="476" spans="1:7">
      <c r="A476" t="s">
        <v>571</v>
      </c>
      <c r="B476" s="17">
        <v>9999999</v>
      </c>
      <c r="D476" t="s">
        <v>753</v>
      </c>
      <c r="E476" t="s">
        <v>757</v>
      </c>
      <c r="F476" t="s">
        <v>2</v>
      </c>
      <c r="G476" t="s">
        <v>52</v>
      </c>
    </row>
    <row r="477" spans="1:7">
      <c r="A477" t="s">
        <v>572</v>
      </c>
      <c r="B477" s="17">
        <v>9999999</v>
      </c>
    </row>
    <row r="478" spans="1:7">
      <c r="A478" t="s">
        <v>573</v>
      </c>
      <c r="B478" s="17">
        <v>9999999</v>
      </c>
      <c r="D478" t="s">
        <v>753</v>
      </c>
      <c r="E478" t="s">
        <v>757</v>
      </c>
      <c r="F478" t="s">
        <v>3</v>
      </c>
      <c r="G478" t="s">
        <v>50</v>
      </c>
    </row>
    <row r="479" spans="1:7">
      <c r="A479" t="s">
        <v>574</v>
      </c>
      <c r="B479" s="17">
        <v>9999999</v>
      </c>
      <c r="D479" t="s">
        <v>753</v>
      </c>
      <c r="E479" t="s">
        <v>757</v>
      </c>
      <c r="F479" t="s">
        <v>3</v>
      </c>
      <c r="G479" t="s">
        <v>51</v>
      </c>
    </row>
    <row r="480" spans="1:7">
      <c r="A480" t="s">
        <v>575</v>
      </c>
      <c r="B480" s="17">
        <v>9999999</v>
      </c>
      <c r="D480" t="s">
        <v>753</v>
      </c>
      <c r="E480" t="s">
        <v>757</v>
      </c>
      <c r="F480" t="s">
        <v>3</v>
      </c>
      <c r="G480" t="s">
        <v>52</v>
      </c>
    </row>
    <row r="481" spans="1:7">
      <c r="A481" t="s">
        <v>576</v>
      </c>
      <c r="B481" s="17">
        <v>9999999</v>
      </c>
    </row>
    <row r="482" spans="1:7">
      <c r="A482" t="s">
        <v>577</v>
      </c>
      <c r="B482">
        <f t="array" ref="B482">SUM(IF('TEA data'!$A$4:$A$66='BSM Input'!$D482,IF('TEA data'!$B$4:$B$66='BSM Input'!$E482,IF('TEA data'!$D$4:$D$66='BSM Input'!$F482,IF('TEA data'!$E$4:$E$66='BSM Input'!$G482,'TEA data'!X$4:X$66,""),""),""),""))</f>
        <v>52640.606087679997</v>
      </c>
      <c r="D482" t="s">
        <v>753</v>
      </c>
      <c r="E482" t="s">
        <v>757</v>
      </c>
      <c r="F482" t="s">
        <v>4</v>
      </c>
      <c r="G482" t="s">
        <v>50</v>
      </c>
    </row>
    <row r="483" spans="1:7">
      <c r="A483" t="s">
        <v>578</v>
      </c>
      <c r="B483">
        <f t="array" ref="B483">SUM(IF('TEA data'!$A$4:$A$66='BSM Input'!$D483,IF('TEA data'!$B$4:$B$66='BSM Input'!$E483,IF('TEA data'!$D$4:$D$66='BSM Input'!$F483,IF('TEA data'!$E$4:$E$66='BSM Input'!$G483,'TEA data'!X$4:X$66,""),""),""),""))</f>
        <v>52640.606087679997</v>
      </c>
      <c r="D483" t="s">
        <v>753</v>
      </c>
      <c r="E483" t="s">
        <v>757</v>
      </c>
      <c r="F483" t="s">
        <v>4</v>
      </c>
      <c r="G483" t="s">
        <v>51</v>
      </c>
    </row>
    <row r="484" spans="1:7">
      <c r="A484" t="s">
        <v>579</v>
      </c>
      <c r="B484">
        <f t="array" ref="B484">SUM(IF('TEA data'!$A$4:$A$66='BSM Input'!$D484,IF('TEA data'!$B$4:$B$66='BSM Input'!$E484,IF('TEA data'!$D$4:$D$66='BSM Input'!$F484,IF('TEA data'!$E$4:$E$66='BSM Input'!$G484,'TEA data'!X$4:X$66,""),""),""),""))</f>
        <v>52640.606087679997</v>
      </c>
      <c r="D484" t="s">
        <v>753</v>
      </c>
      <c r="E484" t="s">
        <v>757</v>
      </c>
      <c r="F484" t="s">
        <v>4</v>
      </c>
      <c r="G484" t="s">
        <v>52</v>
      </c>
    </row>
    <row r="485" spans="1:7">
      <c r="A485" t="s">
        <v>580</v>
      </c>
      <c r="B485" s="17">
        <v>9999999</v>
      </c>
    </row>
    <row r="486" spans="1:7">
      <c r="A486" t="s">
        <v>581</v>
      </c>
      <c r="B486">
        <f t="array" ref="B486">SUM(IF('TEA data'!$A$4:$A$66='BSM Input'!$D486,IF('TEA data'!$B$4:$B$66='BSM Input'!$E486,IF('TEA data'!$D$4:$D$66='BSM Input'!$F486,IF('TEA data'!$E$4:$E$66='BSM Input'!$G486,'TEA data'!X$4:X$66,""),""),""),""))</f>
        <v>75059.141248</v>
      </c>
      <c r="D486" t="s">
        <v>755</v>
      </c>
      <c r="E486" t="s">
        <v>757</v>
      </c>
      <c r="F486" t="s">
        <v>2</v>
      </c>
      <c r="G486" t="s">
        <v>50</v>
      </c>
    </row>
    <row r="487" spans="1:7">
      <c r="A487" t="s">
        <v>582</v>
      </c>
      <c r="B487">
        <f t="array" ref="B487">SUM(IF('TEA data'!$A$4:$A$66='BSM Input'!$D487,IF('TEA data'!$B$4:$B$66='BSM Input'!$E487,IF('TEA data'!$D$4:$D$66='BSM Input'!$F487,IF('TEA data'!$E$4:$E$66='BSM Input'!$G487,'TEA data'!X$4:X$66,""),""),""),""))</f>
        <v>75059.141248</v>
      </c>
      <c r="D487" t="s">
        <v>755</v>
      </c>
      <c r="E487" t="s">
        <v>757</v>
      </c>
      <c r="F487" t="s">
        <v>2</v>
      </c>
      <c r="G487" t="s">
        <v>51</v>
      </c>
    </row>
    <row r="488" spans="1:7">
      <c r="A488" t="s">
        <v>583</v>
      </c>
      <c r="B488">
        <f t="array" ref="B488">SUM(IF('TEA data'!$A$4:$A$66='BSM Input'!$D488,IF('TEA data'!$B$4:$B$66='BSM Input'!$E488,IF('TEA data'!$D$4:$D$66='BSM Input'!$F488,IF('TEA data'!$E$4:$E$66='BSM Input'!$G488,'TEA data'!X$4:X$66,""),""),""),""))</f>
        <v>75059.141248</v>
      </c>
      <c r="D488" t="s">
        <v>755</v>
      </c>
      <c r="E488" t="s">
        <v>757</v>
      </c>
      <c r="F488" t="s">
        <v>2</v>
      </c>
      <c r="G488" t="s">
        <v>52</v>
      </c>
    </row>
    <row r="489" spans="1:7">
      <c r="A489" t="s">
        <v>584</v>
      </c>
      <c r="B489" s="17">
        <v>9999999</v>
      </c>
    </row>
    <row r="490" spans="1:7">
      <c r="A490" t="s">
        <v>585</v>
      </c>
      <c r="B490">
        <f t="array" ref="B490">SUM(IF('TEA data'!$A$4:$A$66='BSM Input'!$D490,IF('TEA data'!$B$4:$B$66='BSM Input'!$E490,IF('TEA data'!$D$4:$D$66='BSM Input'!$F490,IF('TEA data'!$E$4:$E$66='BSM Input'!$G490,'TEA data'!X$4:X$66,""),""),""),""))</f>
        <v>71268.344575999989</v>
      </c>
      <c r="D490" t="s">
        <v>755</v>
      </c>
      <c r="E490" t="s">
        <v>757</v>
      </c>
      <c r="F490" t="s">
        <v>3</v>
      </c>
      <c r="G490" t="s">
        <v>50</v>
      </c>
    </row>
    <row r="491" spans="1:7">
      <c r="A491" t="s">
        <v>586</v>
      </c>
      <c r="B491">
        <f t="array" ref="B491">SUM(IF('TEA data'!$A$4:$A$66='BSM Input'!$D491,IF('TEA data'!$B$4:$B$66='BSM Input'!$E491,IF('TEA data'!$D$4:$D$66='BSM Input'!$F491,IF('TEA data'!$E$4:$E$66='BSM Input'!$G491,'TEA data'!X$4:X$66,""),""),""),""))</f>
        <v>71268.344575999989</v>
      </c>
      <c r="D491" t="s">
        <v>755</v>
      </c>
      <c r="E491" t="s">
        <v>757</v>
      </c>
      <c r="F491" t="s">
        <v>3</v>
      </c>
      <c r="G491" t="s">
        <v>51</v>
      </c>
    </row>
    <row r="492" spans="1:7">
      <c r="A492" t="s">
        <v>587</v>
      </c>
      <c r="B492">
        <f t="array" ref="B492">SUM(IF('TEA data'!$A$4:$A$66='BSM Input'!$D492,IF('TEA data'!$B$4:$B$66='BSM Input'!$E492,IF('TEA data'!$D$4:$D$66='BSM Input'!$F492,IF('TEA data'!$E$4:$E$66='BSM Input'!$G492,'TEA data'!X$4:X$66,""),""),""),""))</f>
        <v>71268.344575999989</v>
      </c>
      <c r="D492" t="s">
        <v>755</v>
      </c>
      <c r="E492" t="s">
        <v>757</v>
      </c>
      <c r="F492" t="s">
        <v>3</v>
      </c>
      <c r="G492" t="s">
        <v>52</v>
      </c>
    </row>
    <row r="493" spans="1:7">
      <c r="A493" t="s">
        <v>588</v>
      </c>
      <c r="B493" s="17">
        <v>9999999</v>
      </c>
    </row>
    <row r="494" spans="1:7">
      <c r="A494" t="s">
        <v>589</v>
      </c>
      <c r="B494">
        <f t="array" ref="B494">SUM(IF('TEA data'!$A$4:$A$66='BSM Input'!$D494,IF('TEA data'!$B$4:$B$66='BSM Input'!$E494,IF('TEA data'!$D$4:$D$66='BSM Input'!$F494,IF('TEA data'!$E$4:$E$66='BSM Input'!$G494,'TEA data'!X$4:X$66,""),""),""),""))</f>
        <v>92193.905023999992</v>
      </c>
      <c r="D494" t="s">
        <v>755</v>
      </c>
      <c r="E494" t="s">
        <v>757</v>
      </c>
      <c r="F494" t="s">
        <v>4</v>
      </c>
      <c r="G494" t="s">
        <v>50</v>
      </c>
    </row>
    <row r="495" spans="1:7">
      <c r="A495" t="s">
        <v>590</v>
      </c>
      <c r="B495">
        <f t="array" ref="B495">SUM(IF('TEA data'!$A$4:$A$66='BSM Input'!$D495,IF('TEA data'!$B$4:$B$66='BSM Input'!$E495,IF('TEA data'!$D$4:$D$66='BSM Input'!$F495,IF('TEA data'!$E$4:$E$66='BSM Input'!$G495,'TEA data'!X$4:X$66,""),""),""),""))</f>
        <v>92193.905023999992</v>
      </c>
      <c r="D495" t="s">
        <v>755</v>
      </c>
      <c r="E495" t="s">
        <v>757</v>
      </c>
      <c r="F495" t="s">
        <v>4</v>
      </c>
      <c r="G495" t="s">
        <v>51</v>
      </c>
    </row>
    <row r="496" spans="1:7">
      <c r="A496" t="s">
        <v>591</v>
      </c>
      <c r="B496">
        <f t="array" ref="B496">SUM(IF('TEA data'!$A$4:$A$66='BSM Input'!$D496,IF('TEA data'!$B$4:$B$66='BSM Input'!$E496,IF('TEA data'!$D$4:$D$66='BSM Input'!$F496,IF('TEA data'!$E$4:$E$66='BSM Input'!$G496,'TEA data'!X$4:X$66,""),""),""),""))</f>
        <v>92193.905023999992</v>
      </c>
      <c r="D496" t="s">
        <v>755</v>
      </c>
      <c r="E496" t="s">
        <v>757</v>
      </c>
      <c r="F496" t="s">
        <v>4</v>
      </c>
      <c r="G496" t="s">
        <v>52</v>
      </c>
    </row>
    <row r="497" spans="1:7">
      <c r="A497" t="s">
        <v>592</v>
      </c>
      <c r="B497" s="17">
        <v>9999999</v>
      </c>
    </row>
    <row r="498" spans="1:7">
      <c r="A498" t="s">
        <v>593</v>
      </c>
      <c r="B498">
        <f t="array" ref="B498">SUM(IF('TEA data'!$A$4:$A$66='BSM Input'!$D498,IF('TEA data'!$B$4:$B$66='BSM Input'!$E498,IF('TEA data'!$D$4:$D$66='BSM Input'!$F498,IF('TEA data'!$E$4:$E$66='BSM Input'!$G498,'TEA data'!X$4:X$66,""),""),""),""))</f>
        <v>0</v>
      </c>
      <c r="D498" t="s">
        <v>756</v>
      </c>
      <c r="E498" t="s">
        <v>757</v>
      </c>
      <c r="F498" t="s">
        <v>2</v>
      </c>
      <c r="G498" t="s">
        <v>50</v>
      </c>
    </row>
    <row r="499" spans="1:7">
      <c r="A499" t="s">
        <v>594</v>
      </c>
      <c r="B499">
        <f t="array" ref="B499">SUM(IF('TEA data'!$A$4:$A$66='BSM Input'!$D499,IF('TEA data'!$B$4:$B$66='BSM Input'!$E499,IF('TEA data'!$D$4:$D$66='BSM Input'!$F499,IF('TEA data'!$E$4:$E$66='BSM Input'!$G499,'TEA data'!X$4:X$66,""),""),""),""))</f>
        <v>0</v>
      </c>
      <c r="D499" t="s">
        <v>756</v>
      </c>
      <c r="E499" t="s">
        <v>757</v>
      </c>
      <c r="F499" t="s">
        <v>2</v>
      </c>
      <c r="G499" t="s">
        <v>51</v>
      </c>
    </row>
    <row r="500" spans="1:7">
      <c r="A500" t="s">
        <v>595</v>
      </c>
      <c r="B500">
        <f t="array" ref="B500">SUM(IF('TEA data'!$A$4:$A$66='BSM Input'!$D500,IF('TEA data'!$B$4:$B$66='BSM Input'!$E500,IF('TEA data'!$D$4:$D$66='BSM Input'!$F500,IF('TEA data'!$E$4:$E$66='BSM Input'!$G500,'TEA data'!X$4:X$66,""),""),""),""))</f>
        <v>0</v>
      </c>
      <c r="D500" t="s">
        <v>756</v>
      </c>
      <c r="E500" t="s">
        <v>757</v>
      </c>
      <c r="F500" t="s">
        <v>2</v>
      </c>
      <c r="G500" t="s">
        <v>52</v>
      </c>
    </row>
    <row r="501" spans="1:7">
      <c r="A501" t="s">
        <v>596</v>
      </c>
      <c r="B501" s="17">
        <v>9999999</v>
      </c>
    </row>
    <row r="502" spans="1:7">
      <c r="A502" t="s">
        <v>597</v>
      </c>
      <c r="B502">
        <f t="array" ref="B502">SUM(IF('TEA data'!$A$4:$A$66='BSM Input'!$D502,IF('TEA data'!$B$4:$B$66='BSM Input'!$E502,IF('TEA data'!$D$4:$D$66='BSM Input'!$F502,IF('TEA data'!$E$4:$E$66='BSM Input'!$G502,'TEA data'!X$4:X$66,""),""),""),""))</f>
        <v>0</v>
      </c>
      <c r="D502" t="s">
        <v>756</v>
      </c>
      <c r="E502" t="s">
        <v>757</v>
      </c>
      <c r="F502" t="s">
        <v>3</v>
      </c>
      <c r="G502" t="s">
        <v>50</v>
      </c>
    </row>
    <row r="503" spans="1:7">
      <c r="A503" t="s">
        <v>598</v>
      </c>
      <c r="B503">
        <f t="array" ref="B503">SUM(IF('TEA data'!$A$4:$A$66='BSM Input'!$D503,IF('TEA data'!$B$4:$B$66='BSM Input'!$E503,IF('TEA data'!$D$4:$D$66='BSM Input'!$F503,IF('TEA data'!$E$4:$E$66='BSM Input'!$G503,'TEA data'!X$4:X$66,""),""),""),""))</f>
        <v>0</v>
      </c>
      <c r="D503" t="s">
        <v>756</v>
      </c>
      <c r="E503" t="s">
        <v>757</v>
      </c>
      <c r="F503" t="s">
        <v>3</v>
      </c>
      <c r="G503" t="s">
        <v>51</v>
      </c>
    </row>
    <row r="504" spans="1:7">
      <c r="A504" t="s">
        <v>599</v>
      </c>
      <c r="B504">
        <f t="array" ref="B504">SUM(IF('TEA data'!$A$4:$A$66='BSM Input'!$D504,IF('TEA data'!$B$4:$B$66='BSM Input'!$E504,IF('TEA data'!$D$4:$D$66='BSM Input'!$F504,IF('TEA data'!$E$4:$E$66='BSM Input'!$G504,'TEA data'!X$4:X$66,""),""),""),""))</f>
        <v>0</v>
      </c>
      <c r="D504" t="s">
        <v>756</v>
      </c>
      <c r="E504" t="s">
        <v>757</v>
      </c>
      <c r="F504" t="s">
        <v>3</v>
      </c>
      <c r="G504" t="s">
        <v>52</v>
      </c>
    </row>
    <row r="505" spans="1:7">
      <c r="A505" t="s">
        <v>600</v>
      </c>
      <c r="B505" s="17">
        <v>9999999</v>
      </c>
    </row>
    <row r="506" spans="1:7">
      <c r="A506" t="s">
        <v>601</v>
      </c>
      <c r="B506">
        <f t="array" ref="B506">SUM(IF('TEA data'!$A$4:$A$66='BSM Input'!$D506,IF('TEA data'!$B$4:$B$66='BSM Input'!$E506,IF('TEA data'!$D$4:$D$66='BSM Input'!$F506,IF('TEA data'!$E$4:$E$66='BSM Input'!$G506,'TEA data'!X$4:X$66,""),""),""),""))</f>
        <v>0</v>
      </c>
      <c r="D506" t="s">
        <v>756</v>
      </c>
      <c r="E506" t="s">
        <v>757</v>
      </c>
      <c r="F506" t="s">
        <v>4</v>
      </c>
      <c r="G506" t="s">
        <v>50</v>
      </c>
    </row>
    <row r="507" spans="1:7">
      <c r="A507" t="s">
        <v>602</v>
      </c>
      <c r="B507">
        <f t="array" ref="B507">SUM(IF('TEA data'!$A$4:$A$66='BSM Input'!$D507,IF('TEA data'!$B$4:$B$66='BSM Input'!$E507,IF('TEA data'!$D$4:$D$66='BSM Input'!$F507,IF('TEA data'!$E$4:$E$66='BSM Input'!$G507,'TEA data'!X$4:X$66,""),""),""),""))</f>
        <v>0</v>
      </c>
      <c r="D507" t="s">
        <v>756</v>
      </c>
      <c r="E507" t="s">
        <v>757</v>
      </c>
      <c r="F507" t="s">
        <v>4</v>
      </c>
      <c r="G507" t="s">
        <v>51</v>
      </c>
    </row>
    <row r="508" spans="1:7">
      <c r="A508" t="s">
        <v>603</v>
      </c>
      <c r="B508">
        <f t="array" ref="B508">SUM(IF('TEA data'!$A$4:$A$66='BSM Input'!$D508,IF('TEA data'!$B$4:$B$66='BSM Input'!$E508,IF('TEA data'!$D$4:$D$66='BSM Input'!$F508,IF('TEA data'!$E$4:$E$66='BSM Input'!$G508,'TEA data'!X$4:X$66,""),""),""),""))</f>
        <v>0</v>
      </c>
      <c r="D508" t="s">
        <v>756</v>
      </c>
      <c r="E508" t="s">
        <v>757</v>
      </c>
      <c r="F508" t="s">
        <v>4</v>
      </c>
      <c r="G508" t="s">
        <v>52</v>
      </c>
    </row>
    <row r="509" spans="1:7">
      <c r="A509" t="s">
        <v>604</v>
      </c>
      <c r="B509" s="17">
        <v>9999999</v>
      </c>
    </row>
    <row r="510" spans="1:7">
      <c r="A510" t="s">
        <v>605</v>
      </c>
      <c r="B510" s="17">
        <v>9999999</v>
      </c>
      <c r="D510" t="s">
        <v>753</v>
      </c>
      <c r="E510" t="s">
        <v>758</v>
      </c>
      <c r="F510" t="s">
        <v>2</v>
      </c>
      <c r="G510" t="s">
        <v>50</v>
      </c>
    </row>
    <row r="511" spans="1:7">
      <c r="A511" t="s">
        <v>606</v>
      </c>
      <c r="B511" s="17">
        <v>9999999</v>
      </c>
      <c r="D511" t="s">
        <v>753</v>
      </c>
      <c r="E511" t="s">
        <v>758</v>
      </c>
      <c r="F511" t="s">
        <v>2</v>
      </c>
      <c r="G511" t="s">
        <v>51</v>
      </c>
    </row>
    <row r="512" spans="1:7">
      <c r="A512" t="s">
        <v>607</v>
      </c>
      <c r="B512" s="17">
        <v>9999999</v>
      </c>
      <c r="D512" t="s">
        <v>753</v>
      </c>
      <c r="E512" t="s">
        <v>758</v>
      </c>
      <c r="F512" t="s">
        <v>2</v>
      </c>
      <c r="G512" t="s">
        <v>52</v>
      </c>
    </row>
    <row r="513" spans="1:7">
      <c r="A513" t="s">
        <v>608</v>
      </c>
      <c r="B513" s="17">
        <v>9999999</v>
      </c>
    </row>
    <row r="514" spans="1:7">
      <c r="A514" t="s">
        <v>609</v>
      </c>
      <c r="B514" s="17">
        <v>9999999</v>
      </c>
      <c r="D514" t="s">
        <v>753</v>
      </c>
      <c r="E514" t="s">
        <v>758</v>
      </c>
      <c r="F514" t="s">
        <v>3</v>
      </c>
      <c r="G514" t="s">
        <v>50</v>
      </c>
    </row>
    <row r="515" spans="1:7">
      <c r="A515" t="s">
        <v>610</v>
      </c>
      <c r="B515" s="17">
        <v>9999999</v>
      </c>
      <c r="D515" t="s">
        <v>753</v>
      </c>
      <c r="E515" t="s">
        <v>758</v>
      </c>
      <c r="F515" t="s">
        <v>3</v>
      </c>
      <c r="G515" t="s">
        <v>51</v>
      </c>
    </row>
    <row r="516" spans="1:7">
      <c r="A516" t="s">
        <v>611</v>
      </c>
      <c r="B516" s="17">
        <v>9999999</v>
      </c>
      <c r="D516" t="s">
        <v>753</v>
      </c>
      <c r="E516" t="s">
        <v>758</v>
      </c>
      <c r="F516" t="s">
        <v>3</v>
      </c>
      <c r="G516" t="s">
        <v>52</v>
      </c>
    </row>
    <row r="517" spans="1:7">
      <c r="A517" t="s">
        <v>612</v>
      </c>
      <c r="B517" s="17">
        <v>9999999</v>
      </c>
    </row>
    <row r="518" spans="1:7">
      <c r="A518" t="s">
        <v>613</v>
      </c>
      <c r="B518">
        <f t="array" ref="B518">SUM(IF('TEA data'!$A$4:$A$66='BSM Input'!$D518,IF('TEA data'!$B$4:$B$66='BSM Input'!$E518,IF('TEA data'!$D$4:$D$66='BSM Input'!$F518,IF('TEA data'!$E$4:$E$66='BSM Input'!$G518,'TEA data'!X$4:X$66,""),""),""),""))</f>
        <v>95724.1460448</v>
      </c>
      <c r="D518" t="s">
        <v>753</v>
      </c>
      <c r="E518" t="s">
        <v>758</v>
      </c>
      <c r="F518" t="s">
        <v>4</v>
      </c>
      <c r="G518" t="s">
        <v>50</v>
      </c>
    </row>
    <row r="519" spans="1:7">
      <c r="A519" t="s">
        <v>614</v>
      </c>
      <c r="B519">
        <f t="array" ref="B519">SUM(IF('TEA data'!$A$4:$A$66='BSM Input'!$D519,IF('TEA data'!$B$4:$B$66='BSM Input'!$E519,IF('TEA data'!$D$4:$D$66='BSM Input'!$F519,IF('TEA data'!$E$4:$E$66='BSM Input'!$G519,'TEA data'!X$4:X$66,""),""),""),""))</f>
        <v>95724.1460448</v>
      </c>
      <c r="D519" t="s">
        <v>753</v>
      </c>
      <c r="E519" t="s">
        <v>758</v>
      </c>
      <c r="F519" t="s">
        <v>4</v>
      </c>
      <c r="G519" t="s">
        <v>51</v>
      </c>
    </row>
    <row r="520" spans="1:7">
      <c r="A520" t="s">
        <v>615</v>
      </c>
      <c r="B520">
        <f t="array" ref="B520">SUM(IF('TEA data'!$A$4:$A$66='BSM Input'!$D520,IF('TEA data'!$B$4:$B$66='BSM Input'!$E520,IF('TEA data'!$D$4:$D$66='BSM Input'!$F520,IF('TEA data'!$E$4:$E$66='BSM Input'!$G520,'TEA data'!X$4:X$66,""),""),""),""))</f>
        <v>95724.1460448</v>
      </c>
      <c r="D520" t="s">
        <v>753</v>
      </c>
      <c r="E520" t="s">
        <v>758</v>
      </c>
      <c r="F520" t="s">
        <v>4</v>
      </c>
      <c r="G520" t="s">
        <v>52</v>
      </c>
    </row>
    <row r="521" spans="1:7">
      <c r="A521" t="s">
        <v>616</v>
      </c>
      <c r="B521" s="17">
        <v>9999999</v>
      </c>
    </row>
    <row r="522" spans="1:7">
      <c r="A522" t="s">
        <v>617</v>
      </c>
      <c r="B522">
        <f t="array" ref="B522">SUM(IF('TEA data'!$A$4:$A$66='BSM Input'!$D522,IF('TEA data'!$B$4:$B$66='BSM Input'!$E522,IF('TEA data'!$D$4:$D$66='BSM Input'!$F522,IF('TEA data'!$E$4:$E$66='BSM Input'!$G522,'TEA data'!X$4:X$66,""),""),""),""))</f>
        <v>140497.93804799998</v>
      </c>
      <c r="D522" t="s">
        <v>755</v>
      </c>
      <c r="E522" t="s">
        <v>758</v>
      </c>
      <c r="F522" t="s">
        <v>2</v>
      </c>
      <c r="G522" t="s">
        <v>50</v>
      </c>
    </row>
    <row r="523" spans="1:7">
      <c r="A523" t="s">
        <v>618</v>
      </c>
      <c r="B523">
        <f t="array" ref="B523">SUM(IF('TEA data'!$A$4:$A$66='BSM Input'!$D523,IF('TEA data'!$B$4:$B$66='BSM Input'!$E523,IF('TEA data'!$D$4:$D$66='BSM Input'!$F523,IF('TEA data'!$E$4:$E$66='BSM Input'!$G523,'TEA data'!X$4:X$66,""),""),""),""))</f>
        <v>140497.93804799998</v>
      </c>
      <c r="D523" t="s">
        <v>755</v>
      </c>
      <c r="E523" t="s">
        <v>758</v>
      </c>
      <c r="F523" t="s">
        <v>2</v>
      </c>
      <c r="G523" t="s">
        <v>51</v>
      </c>
    </row>
    <row r="524" spans="1:7">
      <c r="A524" t="s">
        <v>619</v>
      </c>
      <c r="B524">
        <f t="array" ref="B524">SUM(IF('TEA data'!$A$4:$A$66='BSM Input'!$D524,IF('TEA data'!$B$4:$B$66='BSM Input'!$E524,IF('TEA data'!$D$4:$D$66='BSM Input'!$F524,IF('TEA data'!$E$4:$E$66='BSM Input'!$G524,'TEA data'!X$4:X$66,""),""),""),""))</f>
        <v>140497.93804799998</v>
      </c>
      <c r="D524" t="s">
        <v>755</v>
      </c>
      <c r="E524" t="s">
        <v>758</v>
      </c>
      <c r="F524" t="s">
        <v>2</v>
      </c>
      <c r="G524" t="s">
        <v>52</v>
      </c>
    </row>
    <row r="525" spans="1:7">
      <c r="A525" t="s">
        <v>620</v>
      </c>
      <c r="B525" s="17">
        <v>9999999</v>
      </c>
    </row>
    <row r="526" spans="1:7">
      <c r="A526" t="s">
        <v>621</v>
      </c>
      <c r="B526">
        <f t="array" ref="B526">SUM(IF('TEA data'!$A$4:$A$66='BSM Input'!$D526,IF('TEA data'!$B$4:$B$66='BSM Input'!$E526,IF('TEA data'!$D$4:$D$66='BSM Input'!$F526,IF('TEA data'!$E$4:$E$66='BSM Input'!$G526,'TEA data'!X$4:X$66,""),""),""),""))</f>
        <v>163373.451072</v>
      </c>
      <c r="D526" t="s">
        <v>755</v>
      </c>
      <c r="E526" t="s">
        <v>758</v>
      </c>
      <c r="F526" t="s">
        <v>3</v>
      </c>
      <c r="G526" t="s">
        <v>50</v>
      </c>
    </row>
    <row r="527" spans="1:7">
      <c r="A527" t="s">
        <v>622</v>
      </c>
      <c r="B527">
        <f t="array" ref="B527">SUM(IF('TEA data'!$A$4:$A$66='BSM Input'!$D527,IF('TEA data'!$B$4:$B$66='BSM Input'!$E527,IF('TEA data'!$D$4:$D$66='BSM Input'!$F527,IF('TEA data'!$E$4:$E$66='BSM Input'!$G527,'TEA data'!X$4:X$66,""),""),""),""))</f>
        <v>163373.451072</v>
      </c>
      <c r="D527" t="s">
        <v>755</v>
      </c>
      <c r="E527" t="s">
        <v>758</v>
      </c>
      <c r="F527" t="s">
        <v>3</v>
      </c>
      <c r="G527" t="s">
        <v>51</v>
      </c>
    </row>
    <row r="528" spans="1:7">
      <c r="A528" t="s">
        <v>623</v>
      </c>
      <c r="B528">
        <f t="array" ref="B528">SUM(IF('TEA data'!$A$4:$A$66='BSM Input'!$D528,IF('TEA data'!$B$4:$B$66='BSM Input'!$E528,IF('TEA data'!$D$4:$D$66='BSM Input'!$F528,IF('TEA data'!$E$4:$E$66='BSM Input'!$G528,'TEA data'!X$4:X$66,""),""),""),""))</f>
        <v>163373.451072</v>
      </c>
      <c r="D528" t="s">
        <v>755</v>
      </c>
      <c r="E528" t="s">
        <v>758</v>
      </c>
      <c r="F528" t="s">
        <v>3</v>
      </c>
      <c r="G528" t="s">
        <v>52</v>
      </c>
    </row>
    <row r="529" spans="1:7">
      <c r="A529" t="s">
        <v>624</v>
      </c>
      <c r="B529" s="17">
        <v>9999999</v>
      </c>
    </row>
    <row r="530" spans="1:7">
      <c r="A530" t="s">
        <v>625</v>
      </c>
      <c r="B530">
        <f t="array" ref="B530">SUM(IF('TEA data'!$A$4:$A$66='BSM Input'!$D530,IF('TEA data'!$B$4:$B$66='BSM Input'!$E530,IF('TEA data'!$D$4:$D$66='BSM Input'!$F530,IF('TEA data'!$E$4:$E$66='BSM Input'!$G530,'TEA data'!X$4:X$66,""),""),""),""))</f>
        <v>193133.24908799998</v>
      </c>
      <c r="D530" t="s">
        <v>755</v>
      </c>
      <c r="E530" t="s">
        <v>758</v>
      </c>
      <c r="F530" t="s">
        <v>4</v>
      </c>
      <c r="G530" t="s">
        <v>50</v>
      </c>
    </row>
    <row r="531" spans="1:7">
      <c r="A531" t="s">
        <v>626</v>
      </c>
      <c r="B531">
        <f t="array" ref="B531">SUM(IF('TEA data'!$A$4:$A$66='BSM Input'!$D531,IF('TEA data'!$B$4:$B$66='BSM Input'!$E531,IF('TEA data'!$D$4:$D$66='BSM Input'!$F531,IF('TEA data'!$E$4:$E$66='BSM Input'!$G531,'TEA data'!X$4:X$66,""),""),""),""))</f>
        <v>193133.24908799998</v>
      </c>
      <c r="D531" t="s">
        <v>755</v>
      </c>
      <c r="E531" t="s">
        <v>758</v>
      </c>
      <c r="F531" t="s">
        <v>4</v>
      </c>
      <c r="G531" t="s">
        <v>51</v>
      </c>
    </row>
    <row r="532" spans="1:7">
      <c r="A532" t="s">
        <v>627</v>
      </c>
      <c r="B532">
        <f t="array" ref="B532">SUM(IF('TEA data'!$A$4:$A$66='BSM Input'!$D532,IF('TEA data'!$B$4:$B$66='BSM Input'!$E532,IF('TEA data'!$D$4:$D$66='BSM Input'!$F532,IF('TEA data'!$E$4:$E$66='BSM Input'!$G532,'TEA data'!X$4:X$66,""),""),""),""))</f>
        <v>193133.24908799998</v>
      </c>
      <c r="D532" t="s">
        <v>755</v>
      </c>
      <c r="E532" t="s">
        <v>758</v>
      </c>
      <c r="F532" t="s">
        <v>4</v>
      </c>
      <c r="G532" t="s">
        <v>52</v>
      </c>
    </row>
    <row r="533" spans="1:7">
      <c r="A533" t="s">
        <v>628</v>
      </c>
      <c r="B533" s="17">
        <v>9999999</v>
      </c>
    </row>
    <row r="534" spans="1:7">
      <c r="A534" t="s">
        <v>629</v>
      </c>
      <c r="B534">
        <f t="array" ref="B534">SUM(IF('TEA data'!$A$4:$A$66='BSM Input'!$D534,IF('TEA data'!$B$4:$B$66='BSM Input'!$E534,IF('TEA data'!$D$4:$D$66='BSM Input'!$F534,IF('TEA data'!$E$4:$E$66='BSM Input'!$G534,'TEA data'!X$4:X$66,""),""),""),""))</f>
        <v>0</v>
      </c>
      <c r="D534" t="s">
        <v>756</v>
      </c>
      <c r="E534" t="s">
        <v>758</v>
      </c>
      <c r="F534" t="s">
        <v>2</v>
      </c>
      <c r="G534" t="s">
        <v>50</v>
      </c>
    </row>
    <row r="535" spans="1:7">
      <c r="A535" t="s">
        <v>630</v>
      </c>
      <c r="B535">
        <f t="array" ref="B535">SUM(IF('TEA data'!$A$4:$A$66='BSM Input'!$D535,IF('TEA data'!$B$4:$B$66='BSM Input'!$E535,IF('TEA data'!$D$4:$D$66='BSM Input'!$F535,IF('TEA data'!$E$4:$E$66='BSM Input'!$G535,'TEA data'!X$4:X$66,""),""),""),""))</f>
        <v>0</v>
      </c>
      <c r="D535" t="s">
        <v>756</v>
      </c>
      <c r="E535" t="s">
        <v>758</v>
      </c>
      <c r="F535" t="s">
        <v>2</v>
      </c>
      <c r="G535" t="s">
        <v>51</v>
      </c>
    </row>
    <row r="536" spans="1:7">
      <c r="A536" t="s">
        <v>631</v>
      </c>
      <c r="B536">
        <f t="array" ref="B536">SUM(IF('TEA data'!$A$4:$A$66='BSM Input'!$D536,IF('TEA data'!$B$4:$B$66='BSM Input'!$E536,IF('TEA data'!$D$4:$D$66='BSM Input'!$F536,IF('TEA data'!$E$4:$E$66='BSM Input'!$G536,'TEA data'!X$4:X$66,""),""),""),""))</f>
        <v>0</v>
      </c>
      <c r="D536" t="s">
        <v>756</v>
      </c>
      <c r="E536" t="s">
        <v>758</v>
      </c>
      <c r="F536" t="s">
        <v>2</v>
      </c>
      <c r="G536" t="s">
        <v>52</v>
      </c>
    </row>
    <row r="537" spans="1:7">
      <c r="A537" t="s">
        <v>632</v>
      </c>
      <c r="B537" s="17">
        <v>9999999</v>
      </c>
    </row>
    <row r="538" spans="1:7">
      <c r="A538" t="s">
        <v>633</v>
      </c>
      <c r="B538">
        <f t="array" ref="B538">SUM(IF('TEA data'!$A$4:$A$66='BSM Input'!$D538,IF('TEA data'!$B$4:$B$66='BSM Input'!$E538,IF('TEA data'!$D$4:$D$66='BSM Input'!$F538,IF('TEA data'!$E$4:$E$66='BSM Input'!$G538,'TEA data'!X$4:X$66,""),""),""),""))</f>
        <v>0</v>
      </c>
      <c r="D538" t="s">
        <v>756</v>
      </c>
      <c r="E538" t="s">
        <v>758</v>
      </c>
      <c r="F538" t="s">
        <v>3</v>
      </c>
      <c r="G538" t="s">
        <v>50</v>
      </c>
    </row>
    <row r="539" spans="1:7">
      <c r="A539" t="s">
        <v>634</v>
      </c>
      <c r="B539">
        <f t="array" ref="B539">SUM(IF('TEA data'!$A$4:$A$66='BSM Input'!$D539,IF('TEA data'!$B$4:$B$66='BSM Input'!$E539,IF('TEA data'!$D$4:$D$66='BSM Input'!$F539,IF('TEA data'!$E$4:$E$66='BSM Input'!$G539,'TEA data'!X$4:X$66,""),""),""),""))</f>
        <v>0</v>
      </c>
      <c r="D539" t="s">
        <v>756</v>
      </c>
      <c r="E539" t="s">
        <v>758</v>
      </c>
      <c r="F539" t="s">
        <v>3</v>
      </c>
      <c r="G539" t="s">
        <v>51</v>
      </c>
    </row>
    <row r="540" spans="1:7">
      <c r="A540" t="s">
        <v>635</v>
      </c>
      <c r="B540">
        <f t="array" ref="B540">SUM(IF('TEA data'!$A$4:$A$66='BSM Input'!$D540,IF('TEA data'!$B$4:$B$66='BSM Input'!$E540,IF('TEA data'!$D$4:$D$66='BSM Input'!$F540,IF('TEA data'!$E$4:$E$66='BSM Input'!$G540,'TEA data'!X$4:X$66,""),""),""),""))</f>
        <v>0</v>
      </c>
      <c r="D540" t="s">
        <v>756</v>
      </c>
      <c r="E540" t="s">
        <v>758</v>
      </c>
      <c r="F540" t="s">
        <v>3</v>
      </c>
      <c r="G540" t="s">
        <v>52</v>
      </c>
    </row>
    <row r="541" spans="1:7">
      <c r="A541" t="s">
        <v>636</v>
      </c>
      <c r="B541" s="17">
        <v>9999999</v>
      </c>
    </row>
    <row r="542" spans="1:7">
      <c r="A542" t="s">
        <v>637</v>
      </c>
      <c r="B542">
        <f t="array" ref="B542">SUM(IF('TEA data'!$A$4:$A$66='BSM Input'!$D542,IF('TEA data'!$B$4:$B$66='BSM Input'!$E542,IF('TEA data'!$D$4:$D$66='BSM Input'!$F542,IF('TEA data'!$E$4:$E$66='BSM Input'!$G542,'TEA data'!X$4:X$66,""),""),""),""))</f>
        <v>0</v>
      </c>
      <c r="D542" t="s">
        <v>756</v>
      </c>
      <c r="E542" t="s">
        <v>758</v>
      </c>
      <c r="F542" t="s">
        <v>4</v>
      </c>
      <c r="G542" t="s">
        <v>50</v>
      </c>
    </row>
    <row r="543" spans="1:7">
      <c r="A543" t="s">
        <v>638</v>
      </c>
      <c r="B543">
        <f t="array" ref="B543">SUM(IF('TEA data'!$A$4:$A$66='BSM Input'!$D543,IF('TEA data'!$B$4:$B$66='BSM Input'!$E543,IF('TEA data'!$D$4:$D$66='BSM Input'!$F543,IF('TEA data'!$E$4:$E$66='BSM Input'!$G543,'TEA data'!X$4:X$66,""),""),""),""))</f>
        <v>0</v>
      </c>
      <c r="D543" t="s">
        <v>756</v>
      </c>
      <c r="E543" t="s">
        <v>758</v>
      </c>
      <c r="F543" t="s">
        <v>4</v>
      </c>
      <c r="G543" t="s">
        <v>51</v>
      </c>
    </row>
    <row r="544" spans="1:7">
      <c r="A544" t="s">
        <v>639</v>
      </c>
      <c r="B544">
        <f t="array" ref="B544">SUM(IF('TEA data'!$A$4:$A$66='BSM Input'!$D544,IF('TEA data'!$B$4:$B$66='BSM Input'!$E544,IF('TEA data'!$D$4:$D$66='BSM Input'!$F544,IF('TEA data'!$E$4:$E$66='BSM Input'!$G544,'TEA data'!X$4:X$66,""),""),""),""))</f>
        <v>0</v>
      </c>
      <c r="D544" t="s">
        <v>756</v>
      </c>
      <c r="E544" t="s">
        <v>758</v>
      </c>
      <c r="F544" t="s">
        <v>4</v>
      </c>
      <c r="G544" t="s">
        <v>52</v>
      </c>
    </row>
    <row r="545" spans="1:7">
      <c r="A545" t="s">
        <v>640</v>
      </c>
      <c r="B545" s="17">
        <v>9999999</v>
      </c>
    </row>
    <row r="547" spans="1:7">
      <c r="A547" t="s">
        <v>641</v>
      </c>
      <c r="B547" s="17">
        <v>9999999</v>
      </c>
      <c r="D547" t="s">
        <v>753</v>
      </c>
      <c r="E547" t="s">
        <v>754</v>
      </c>
      <c r="F547" t="s">
        <v>2</v>
      </c>
      <c r="G547" t="s">
        <v>50</v>
      </c>
    </row>
    <row r="548" spans="1:7">
      <c r="A548" t="s">
        <v>642</v>
      </c>
      <c r="B548" s="17">
        <v>9999999</v>
      </c>
      <c r="D548" t="s">
        <v>753</v>
      </c>
      <c r="E548" t="s">
        <v>754</v>
      </c>
      <c r="F548" t="s">
        <v>2</v>
      </c>
      <c r="G548" t="s">
        <v>51</v>
      </c>
    </row>
    <row r="549" spans="1:7">
      <c r="A549" t="s">
        <v>643</v>
      </c>
      <c r="B549" s="17">
        <v>9999999</v>
      </c>
      <c r="D549" t="s">
        <v>753</v>
      </c>
      <c r="E549" t="s">
        <v>754</v>
      </c>
      <c r="F549" t="s">
        <v>2</v>
      </c>
      <c r="G549" t="s">
        <v>52</v>
      </c>
    </row>
    <row r="550" spans="1:7">
      <c r="A550" t="s">
        <v>644</v>
      </c>
      <c r="B550" s="17">
        <v>9999999</v>
      </c>
    </row>
    <row r="551" spans="1:7">
      <c r="A551" t="s">
        <v>645</v>
      </c>
      <c r="B551" s="17">
        <v>9999999</v>
      </c>
      <c r="D551" t="s">
        <v>753</v>
      </c>
      <c r="E551" t="s">
        <v>754</v>
      </c>
      <c r="F551" t="s">
        <v>3</v>
      </c>
      <c r="G551" t="s">
        <v>50</v>
      </c>
    </row>
    <row r="552" spans="1:7">
      <c r="A552" t="s">
        <v>646</v>
      </c>
      <c r="B552" s="17">
        <v>9999999</v>
      </c>
      <c r="D552" t="s">
        <v>753</v>
      </c>
      <c r="E552" t="s">
        <v>754</v>
      </c>
      <c r="F552" t="s">
        <v>3</v>
      </c>
      <c r="G552" t="s">
        <v>51</v>
      </c>
    </row>
    <row r="553" spans="1:7">
      <c r="A553" t="s">
        <v>647</v>
      </c>
      <c r="B553" s="17">
        <v>9999999</v>
      </c>
      <c r="D553" t="s">
        <v>753</v>
      </c>
      <c r="E553" t="s">
        <v>754</v>
      </c>
      <c r="F553" t="s">
        <v>3</v>
      </c>
      <c r="G553" t="s">
        <v>52</v>
      </c>
    </row>
    <row r="554" spans="1:7">
      <c r="A554" t="s">
        <v>648</v>
      </c>
      <c r="B554" s="17">
        <v>9999999</v>
      </c>
    </row>
    <row r="555" spans="1:7">
      <c r="A555" t="s">
        <v>649</v>
      </c>
      <c r="B555">
        <f t="array" ref="B555">SUM(IF('TEA data'!$A$4:$A$66='BSM Input'!$D555,IF('TEA data'!$B$4:$B$66='BSM Input'!$E555,IF('TEA data'!$D$4:$D$66='BSM Input'!$F555,IF('TEA data'!$E$4:$E$66='BSM Input'!$G555,'TEA data'!P$4:P$66,""),""),""),""))</f>
        <v>703666.72466999991</v>
      </c>
      <c r="D555" t="s">
        <v>753</v>
      </c>
      <c r="E555" t="s">
        <v>754</v>
      </c>
      <c r="F555" t="s">
        <v>4</v>
      </c>
      <c r="G555" t="s">
        <v>50</v>
      </c>
    </row>
    <row r="556" spans="1:7">
      <c r="A556" t="s">
        <v>650</v>
      </c>
      <c r="B556">
        <f t="array" ref="B556">SUM(IF('TEA data'!$A$4:$A$66='BSM Input'!$D556,IF('TEA data'!$B$4:$B$66='BSM Input'!$E556,IF('TEA data'!$D$4:$D$66='BSM Input'!$F556,IF('TEA data'!$E$4:$E$66='BSM Input'!$G556,'TEA data'!P$4:P$66,""),""),""),""))</f>
        <v>836166.72466999991</v>
      </c>
      <c r="D556" t="s">
        <v>753</v>
      </c>
      <c r="E556" t="s">
        <v>754</v>
      </c>
      <c r="F556" t="s">
        <v>4</v>
      </c>
      <c r="G556" t="s">
        <v>51</v>
      </c>
    </row>
    <row r="557" spans="1:7">
      <c r="A557" t="s">
        <v>651</v>
      </c>
      <c r="B557">
        <f t="array" ref="B557">SUM(IF('TEA data'!$A$4:$A$66='BSM Input'!$D557,IF('TEA data'!$B$4:$B$66='BSM Input'!$E557,IF('TEA data'!$D$4:$D$66='BSM Input'!$F557,IF('TEA data'!$E$4:$E$66='BSM Input'!$G557,'TEA data'!P$4:P$66,""),""),""),""))</f>
        <v>1736166.7246699999</v>
      </c>
      <c r="D557" t="s">
        <v>753</v>
      </c>
      <c r="E557" t="s">
        <v>754</v>
      </c>
      <c r="F557" t="s">
        <v>4</v>
      </c>
      <c r="G557" t="s">
        <v>52</v>
      </c>
    </row>
    <row r="558" spans="1:7">
      <c r="A558" t="s">
        <v>652</v>
      </c>
      <c r="B558" s="17">
        <v>9999999</v>
      </c>
    </row>
    <row r="559" spans="1:7">
      <c r="A559" t="s">
        <v>653</v>
      </c>
      <c r="B559">
        <f t="array" ref="B559">SUM(IF('TEA data'!$A$4:$A$66='BSM Input'!$D559,IF('TEA data'!$B$4:$B$66='BSM Input'!$E559,IF('TEA data'!$D$4:$D$66='BSM Input'!$F559,IF('TEA data'!$E$4:$E$66='BSM Input'!$G559,'TEA data'!P$4:P$66,""),""),""),""))</f>
        <v>902081.88199999998</v>
      </c>
      <c r="D559" t="s">
        <v>755</v>
      </c>
      <c r="E559" t="s">
        <v>754</v>
      </c>
      <c r="F559" t="s">
        <v>2</v>
      </c>
      <c r="G559" t="s">
        <v>50</v>
      </c>
    </row>
    <row r="560" spans="1:7">
      <c r="A560" t="s">
        <v>654</v>
      </c>
      <c r="B560">
        <f t="array" ref="B560">SUM(IF('TEA data'!$A$4:$A$66='BSM Input'!$D560,IF('TEA data'!$B$4:$B$66='BSM Input'!$E560,IF('TEA data'!$D$4:$D$66='BSM Input'!$F560,IF('TEA data'!$E$4:$E$66='BSM Input'!$G560,'TEA data'!P$4:P$66,""),""),""),""))</f>
        <v>1034581.882</v>
      </c>
      <c r="D560" t="s">
        <v>755</v>
      </c>
      <c r="E560" t="s">
        <v>754</v>
      </c>
      <c r="F560" t="s">
        <v>2</v>
      </c>
      <c r="G560" t="s">
        <v>51</v>
      </c>
    </row>
    <row r="561" spans="1:7">
      <c r="A561" t="s">
        <v>655</v>
      </c>
      <c r="B561">
        <f t="array" ref="B561">SUM(IF('TEA data'!$A$4:$A$66='BSM Input'!$D561,IF('TEA data'!$B$4:$B$66='BSM Input'!$E561,IF('TEA data'!$D$4:$D$66='BSM Input'!$F561,IF('TEA data'!$E$4:$E$66='BSM Input'!$G561,'TEA data'!P$4:P$66,""),""),""),""))</f>
        <v>1934581.882</v>
      </c>
      <c r="D561" t="s">
        <v>755</v>
      </c>
      <c r="E561" t="s">
        <v>754</v>
      </c>
      <c r="F561" t="s">
        <v>2</v>
      </c>
      <c r="G561" t="s">
        <v>52</v>
      </c>
    </row>
    <row r="562" spans="1:7">
      <c r="A562" t="s">
        <v>656</v>
      </c>
      <c r="B562" s="17">
        <v>9999999</v>
      </c>
    </row>
    <row r="563" spans="1:7">
      <c r="A563" t="s">
        <v>657</v>
      </c>
      <c r="B563">
        <f t="array" ref="B563">SUM(IF('TEA data'!$A$4:$A$66='BSM Input'!$D563,IF('TEA data'!$B$4:$B$66='BSM Input'!$E563,IF('TEA data'!$D$4:$D$66='BSM Input'!$F563,IF('TEA data'!$E$4:$E$66='BSM Input'!$G563,'TEA data'!P$4:P$66,""),""),""),""))</f>
        <v>732533.42499999993</v>
      </c>
      <c r="D563" t="s">
        <v>755</v>
      </c>
      <c r="E563" t="s">
        <v>754</v>
      </c>
      <c r="F563" t="s">
        <v>3</v>
      </c>
      <c r="G563" t="s">
        <v>50</v>
      </c>
    </row>
    <row r="564" spans="1:7">
      <c r="A564" t="s">
        <v>658</v>
      </c>
      <c r="B564">
        <f t="array" ref="B564">SUM(IF('TEA data'!$A$4:$A$66='BSM Input'!$D564,IF('TEA data'!$B$4:$B$66='BSM Input'!$E564,IF('TEA data'!$D$4:$D$66='BSM Input'!$F564,IF('TEA data'!$E$4:$E$66='BSM Input'!$G564,'TEA data'!P$4:P$66,""),""),""),""))</f>
        <v>865033.42499999993</v>
      </c>
      <c r="D564" t="s">
        <v>755</v>
      </c>
      <c r="E564" t="s">
        <v>754</v>
      </c>
      <c r="F564" t="s">
        <v>3</v>
      </c>
      <c r="G564" t="s">
        <v>51</v>
      </c>
    </row>
    <row r="565" spans="1:7">
      <c r="A565" t="s">
        <v>659</v>
      </c>
      <c r="B565">
        <f t="array" ref="B565">SUM(IF('TEA data'!$A$4:$A$66='BSM Input'!$D565,IF('TEA data'!$B$4:$B$66='BSM Input'!$E565,IF('TEA data'!$D$4:$D$66='BSM Input'!$F565,IF('TEA data'!$E$4:$E$66='BSM Input'!$G565,'TEA data'!P$4:P$66,""),""),""),""))</f>
        <v>1765033.4249999998</v>
      </c>
      <c r="D565" t="s">
        <v>755</v>
      </c>
      <c r="E565" t="s">
        <v>754</v>
      </c>
      <c r="F565" t="s">
        <v>3</v>
      </c>
      <c r="G565" t="s">
        <v>52</v>
      </c>
    </row>
    <row r="566" spans="1:7">
      <c r="A566" t="s">
        <v>660</v>
      </c>
      <c r="B566" s="17">
        <v>9999999</v>
      </c>
    </row>
    <row r="567" spans="1:7">
      <c r="A567" t="s">
        <v>661</v>
      </c>
      <c r="B567">
        <f t="array" ref="B567">SUM(IF('TEA data'!$A$4:$A$66='BSM Input'!$D567,IF('TEA data'!$B$4:$B$66='BSM Input'!$E567,IF('TEA data'!$D$4:$D$66='BSM Input'!$F567,IF('TEA data'!$E$4:$E$66='BSM Input'!$G567,'TEA data'!P$4:P$66,""),""),""),""))</f>
        <v>1022948.4849999999</v>
      </c>
      <c r="D567" t="s">
        <v>755</v>
      </c>
      <c r="E567" t="s">
        <v>754</v>
      </c>
      <c r="F567" t="s">
        <v>4</v>
      </c>
      <c r="G567" t="s">
        <v>50</v>
      </c>
    </row>
    <row r="568" spans="1:7">
      <c r="A568" t="s">
        <v>662</v>
      </c>
      <c r="B568">
        <f t="array" ref="B568">SUM(IF('TEA data'!$A$4:$A$66='BSM Input'!$D568,IF('TEA data'!$B$4:$B$66='BSM Input'!$E568,IF('TEA data'!$D$4:$D$66='BSM Input'!$F568,IF('TEA data'!$E$4:$E$66='BSM Input'!$G568,'TEA data'!P$4:P$66,""),""),""),""))</f>
        <v>1155448.4849999999</v>
      </c>
      <c r="D568" t="s">
        <v>755</v>
      </c>
      <c r="E568" t="s">
        <v>754</v>
      </c>
      <c r="F568" t="s">
        <v>4</v>
      </c>
      <c r="G568" t="s">
        <v>51</v>
      </c>
    </row>
    <row r="569" spans="1:7">
      <c r="A569" t="s">
        <v>663</v>
      </c>
      <c r="B569">
        <f t="array" ref="B569">SUM(IF('TEA data'!$A$4:$A$66='BSM Input'!$D569,IF('TEA data'!$B$4:$B$66='BSM Input'!$E569,IF('TEA data'!$D$4:$D$66='BSM Input'!$F569,IF('TEA data'!$E$4:$E$66='BSM Input'!$G569,'TEA data'!P$4:P$66,""),""),""),""))</f>
        <v>2055448.4849999999</v>
      </c>
      <c r="D569" t="s">
        <v>755</v>
      </c>
      <c r="E569" t="s">
        <v>754</v>
      </c>
      <c r="F569" t="s">
        <v>4</v>
      </c>
      <c r="G569" t="s">
        <v>52</v>
      </c>
    </row>
    <row r="570" spans="1:7">
      <c r="A570" t="s">
        <v>664</v>
      </c>
      <c r="B570" s="17">
        <v>9999999</v>
      </c>
    </row>
    <row r="571" spans="1:7">
      <c r="A571" t="s">
        <v>665</v>
      </c>
      <c r="B571">
        <f t="array" ref="B571">SUM(IF('TEA data'!$A$4:$A$66='BSM Input'!$D571,IF('TEA data'!$B$4:$B$66='BSM Input'!$E571,IF('TEA data'!$D$4:$D$66='BSM Input'!$F571,IF('TEA data'!$E$4:$E$66='BSM Input'!$G571,'TEA data'!P$4:P$66,""),""),""),""))</f>
        <v>711774.67399999988</v>
      </c>
      <c r="D571" t="s">
        <v>756</v>
      </c>
      <c r="E571" t="s">
        <v>754</v>
      </c>
      <c r="F571" t="s">
        <v>2</v>
      </c>
      <c r="G571" t="s">
        <v>50</v>
      </c>
    </row>
    <row r="572" spans="1:7">
      <c r="A572" t="s">
        <v>666</v>
      </c>
      <c r="B572">
        <f t="array" ref="B572">SUM(IF('TEA data'!$A$4:$A$66='BSM Input'!$D572,IF('TEA data'!$B$4:$B$66='BSM Input'!$E572,IF('TEA data'!$D$4:$D$66='BSM Input'!$F572,IF('TEA data'!$E$4:$E$66='BSM Input'!$G572,'TEA data'!P$4:P$66,""),""),""),""))</f>
        <v>844274.67399999988</v>
      </c>
      <c r="D572" t="s">
        <v>756</v>
      </c>
      <c r="E572" t="s">
        <v>754</v>
      </c>
      <c r="F572" t="s">
        <v>2</v>
      </c>
      <c r="G572" t="s">
        <v>51</v>
      </c>
    </row>
    <row r="573" spans="1:7">
      <c r="A573" t="s">
        <v>667</v>
      </c>
      <c r="B573">
        <f t="array" ref="B573">SUM(IF('TEA data'!$A$4:$A$66='BSM Input'!$D573,IF('TEA data'!$B$4:$B$66='BSM Input'!$E573,IF('TEA data'!$D$4:$D$66='BSM Input'!$F573,IF('TEA data'!$E$4:$E$66='BSM Input'!$G573,'TEA data'!P$4:P$66,""),""),""),""))</f>
        <v>1744274.6739999999</v>
      </c>
      <c r="D573" t="s">
        <v>756</v>
      </c>
      <c r="E573" t="s">
        <v>754</v>
      </c>
      <c r="F573" t="s">
        <v>2</v>
      </c>
      <c r="G573" t="s">
        <v>52</v>
      </c>
    </row>
    <row r="574" spans="1:7">
      <c r="A574" t="s">
        <v>668</v>
      </c>
      <c r="B574" s="17">
        <v>9999999</v>
      </c>
    </row>
    <row r="575" spans="1:7">
      <c r="A575" t="s">
        <v>669</v>
      </c>
      <c r="B575">
        <f t="array" ref="B575">SUM(IF('TEA data'!$A$4:$A$66='BSM Input'!$D575,IF('TEA data'!$B$4:$B$66='BSM Input'!$E575,IF('TEA data'!$D$4:$D$66='BSM Input'!$F575,IF('TEA data'!$E$4:$E$66='BSM Input'!$G575,'TEA data'!P$4:P$66,""),""),""),""))</f>
        <v>464676.02973999997</v>
      </c>
      <c r="D575" t="s">
        <v>756</v>
      </c>
      <c r="E575" t="s">
        <v>754</v>
      </c>
      <c r="F575" t="s">
        <v>3</v>
      </c>
      <c r="G575" t="s">
        <v>50</v>
      </c>
    </row>
    <row r="576" spans="1:7">
      <c r="A576" t="s">
        <v>670</v>
      </c>
      <c r="B576">
        <f t="array" ref="B576">SUM(IF('TEA data'!$A$4:$A$66='BSM Input'!$D576,IF('TEA data'!$B$4:$B$66='BSM Input'!$E576,IF('TEA data'!$D$4:$D$66='BSM Input'!$F576,IF('TEA data'!$E$4:$E$66='BSM Input'!$G576,'TEA data'!P$4:P$66,""),""),""),""))</f>
        <v>597176.02973999991</v>
      </c>
      <c r="D576" t="s">
        <v>756</v>
      </c>
      <c r="E576" t="s">
        <v>754</v>
      </c>
      <c r="F576" t="s">
        <v>3</v>
      </c>
      <c r="G576" t="s">
        <v>51</v>
      </c>
    </row>
    <row r="577" spans="1:7">
      <c r="A577" t="s">
        <v>671</v>
      </c>
      <c r="B577">
        <f t="array" ref="B577">SUM(IF('TEA data'!$A$4:$A$66='BSM Input'!$D577,IF('TEA data'!$B$4:$B$66='BSM Input'!$E577,IF('TEA data'!$D$4:$D$66='BSM Input'!$F577,IF('TEA data'!$E$4:$E$66='BSM Input'!$G577,'TEA data'!P$4:P$66,""),""),""),""))</f>
        <v>1497176.0297399999</v>
      </c>
      <c r="D577" t="s">
        <v>756</v>
      </c>
      <c r="E577" t="s">
        <v>754</v>
      </c>
      <c r="F577" t="s">
        <v>3</v>
      </c>
      <c r="G577" t="s">
        <v>52</v>
      </c>
    </row>
    <row r="578" spans="1:7">
      <c r="A578" t="s">
        <v>672</v>
      </c>
      <c r="B578" s="17">
        <v>9999999</v>
      </c>
    </row>
    <row r="579" spans="1:7">
      <c r="A579" t="s">
        <v>673</v>
      </c>
      <c r="B579">
        <f t="array" ref="B579">SUM(IF('TEA data'!$A$4:$A$66='BSM Input'!$D579,IF('TEA data'!$B$4:$B$66='BSM Input'!$E579,IF('TEA data'!$D$4:$D$66='BSM Input'!$F579,IF('TEA data'!$E$4:$E$66='BSM Input'!$G579,'TEA data'!P$4:P$66,""),""),""),""))</f>
        <v>729399.61665999994</v>
      </c>
      <c r="D579" t="s">
        <v>756</v>
      </c>
      <c r="E579" t="s">
        <v>754</v>
      </c>
      <c r="F579" t="s">
        <v>4</v>
      </c>
      <c r="G579" t="s">
        <v>50</v>
      </c>
    </row>
    <row r="580" spans="1:7">
      <c r="A580" t="s">
        <v>674</v>
      </c>
      <c r="B580">
        <f t="array" ref="B580">SUM(IF('TEA data'!$A$4:$A$66='BSM Input'!$D580,IF('TEA data'!$B$4:$B$66='BSM Input'!$E580,IF('TEA data'!$D$4:$D$66='BSM Input'!$F580,IF('TEA data'!$E$4:$E$66='BSM Input'!$G580,'TEA data'!P$4:P$66,""),""),""),""))</f>
        <v>861899.61665999994</v>
      </c>
      <c r="D580" t="s">
        <v>756</v>
      </c>
      <c r="E580" t="s">
        <v>754</v>
      </c>
      <c r="F580" t="s">
        <v>4</v>
      </c>
      <c r="G580" t="s">
        <v>51</v>
      </c>
    </row>
    <row r="581" spans="1:7">
      <c r="A581" t="s">
        <v>675</v>
      </c>
      <c r="B581">
        <f t="array" ref="B581">SUM(IF('TEA data'!$A$4:$A$66='BSM Input'!$D581,IF('TEA data'!$B$4:$B$66='BSM Input'!$E581,IF('TEA data'!$D$4:$D$66='BSM Input'!$F581,IF('TEA data'!$E$4:$E$66='BSM Input'!$G581,'TEA data'!P$4:P$66,""),""),""),""))</f>
        <v>1761899.6166599998</v>
      </c>
      <c r="D581" t="s">
        <v>756</v>
      </c>
      <c r="E581" t="s">
        <v>754</v>
      </c>
      <c r="F581" t="s">
        <v>4</v>
      </c>
      <c r="G581" t="s">
        <v>52</v>
      </c>
    </row>
    <row r="582" spans="1:7">
      <c r="A582" t="s">
        <v>676</v>
      </c>
      <c r="B582" s="17">
        <v>9999999</v>
      </c>
    </row>
    <row r="583" spans="1:7">
      <c r="A583" t="s">
        <v>677</v>
      </c>
      <c r="B583" s="17">
        <v>9999999</v>
      </c>
      <c r="D583" t="s">
        <v>753</v>
      </c>
      <c r="E583" t="s">
        <v>757</v>
      </c>
      <c r="F583" t="s">
        <v>2</v>
      </c>
      <c r="G583" t="s">
        <v>50</v>
      </c>
    </row>
    <row r="584" spans="1:7">
      <c r="A584" t="s">
        <v>678</v>
      </c>
      <c r="B584" s="17">
        <v>9999999</v>
      </c>
      <c r="D584" t="s">
        <v>753</v>
      </c>
      <c r="E584" t="s">
        <v>757</v>
      </c>
      <c r="F584" t="s">
        <v>2</v>
      </c>
      <c r="G584" t="s">
        <v>51</v>
      </c>
    </row>
    <row r="585" spans="1:7">
      <c r="A585" t="s">
        <v>679</v>
      </c>
      <c r="B585" s="17">
        <v>9999999</v>
      </c>
      <c r="D585" t="s">
        <v>753</v>
      </c>
      <c r="E585" t="s">
        <v>757</v>
      </c>
      <c r="F585" t="s">
        <v>2</v>
      </c>
      <c r="G585" t="s">
        <v>52</v>
      </c>
    </row>
    <row r="586" spans="1:7">
      <c r="A586" t="s">
        <v>680</v>
      </c>
      <c r="B586" s="17">
        <v>9999999</v>
      </c>
    </row>
    <row r="587" spans="1:7">
      <c r="A587" t="s">
        <v>681</v>
      </c>
      <c r="B587" s="17">
        <v>9999999</v>
      </c>
      <c r="D587" t="s">
        <v>753</v>
      </c>
      <c r="E587" t="s">
        <v>757</v>
      </c>
      <c r="F587" t="s">
        <v>3</v>
      </c>
      <c r="G587" t="s">
        <v>50</v>
      </c>
    </row>
    <row r="588" spans="1:7">
      <c r="A588" t="s">
        <v>682</v>
      </c>
      <c r="B588" s="17">
        <v>9999999</v>
      </c>
      <c r="D588" t="s">
        <v>753</v>
      </c>
      <c r="E588" t="s">
        <v>757</v>
      </c>
      <c r="F588" t="s">
        <v>3</v>
      </c>
      <c r="G588" t="s">
        <v>51</v>
      </c>
    </row>
    <row r="589" spans="1:7">
      <c r="A589" t="s">
        <v>683</v>
      </c>
      <c r="B589" s="17">
        <v>9999999</v>
      </c>
      <c r="D589" t="s">
        <v>753</v>
      </c>
      <c r="E589" t="s">
        <v>757</v>
      </c>
      <c r="F589" t="s">
        <v>3</v>
      </c>
      <c r="G589" t="s">
        <v>52</v>
      </c>
    </row>
    <row r="590" spans="1:7">
      <c r="A590" t="s">
        <v>684</v>
      </c>
      <c r="B590" s="17">
        <v>9999999</v>
      </c>
    </row>
    <row r="591" spans="1:7">
      <c r="A591" t="s">
        <v>685</v>
      </c>
      <c r="B591">
        <f t="array" ref="B591">SUM(IF('TEA data'!$A$4:$A$66='BSM Input'!$D591,IF('TEA data'!$B$4:$B$66='BSM Input'!$E591,IF('TEA data'!$D$4:$D$66='BSM Input'!$F591,IF('TEA data'!$E$4:$E$66='BSM Input'!$G591,'TEA data'!P$4:P$66,""),""),""),""))</f>
        <v>822509.47011999995</v>
      </c>
      <c r="D591" t="s">
        <v>753</v>
      </c>
      <c r="E591" t="s">
        <v>757</v>
      </c>
      <c r="F591" t="s">
        <v>4</v>
      </c>
      <c r="G591" t="s">
        <v>50</v>
      </c>
    </row>
    <row r="592" spans="1:7">
      <c r="A592" t="s">
        <v>686</v>
      </c>
      <c r="B592">
        <f t="array" ref="B592">SUM(IF('TEA data'!$A$4:$A$66='BSM Input'!$D592,IF('TEA data'!$B$4:$B$66='BSM Input'!$E592,IF('TEA data'!$D$4:$D$66='BSM Input'!$F592,IF('TEA data'!$E$4:$E$66='BSM Input'!$G592,'TEA data'!P$4:P$66,""),""),""),""))</f>
        <v>955009.47011999995</v>
      </c>
      <c r="D592" t="s">
        <v>753</v>
      </c>
      <c r="E592" t="s">
        <v>757</v>
      </c>
      <c r="F592" t="s">
        <v>4</v>
      </c>
      <c r="G592" t="s">
        <v>51</v>
      </c>
    </row>
    <row r="593" spans="1:7">
      <c r="A593" t="s">
        <v>687</v>
      </c>
      <c r="B593">
        <f t="array" ref="B593">SUM(IF('TEA data'!$A$4:$A$66='BSM Input'!$D593,IF('TEA data'!$B$4:$B$66='BSM Input'!$E593,IF('TEA data'!$D$4:$D$66='BSM Input'!$F593,IF('TEA data'!$E$4:$E$66='BSM Input'!$G593,'TEA data'!P$4:P$66,""),""),""),""))</f>
        <v>1855009.47012</v>
      </c>
      <c r="D593" t="s">
        <v>753</v>
      </c>
      <c r="E593" t="s">
        <v>757</v>
      </c>
      <c r="F593" t="s">
        <v>4</v>
      </c>
      <c r="G593" t="s">
        <v>52</v>
      </c>
    </row>
    <row r="594" spans="1:7">
      <c r="A594" t="s">
        <v>688</v>
      </c>
      <c r="B594" s="17">
        <v>9999999</v>
      </c>
    </row>
    <row r="595" spans="1:7">
      <c r="A595" t="s">
        <v>689</v>
      </c>
      <c r="B595">
        <f t="array" ref="B595">SUM(IF('TEA data'!$A$4:$A$66='BSM Input'!$D595,IF('TEA data'!$B$4:$B$66='BSM Input'!$E595,IF('TEA data'!$D$4:$D$66='BSM Input'!$F595,IF('TEA data'!$E$4:$E$66='BSM Input'!$G595,'TEA data'!P$4:P$66,""),""),""),""))</f>
        <v>1172799.0819999999</v>
      </c>
      <c r="D595" t="s">
        <v>755</v>
      </c>
      <c r="E595" t="s">
        <v>757</v>
      </c>
      <c r="F595" t="s">
        <v>2</v>
      </c>
      <c r="G595" t="s">
        <v>50</v>
      </c>
    </row>
    <row r="596" spans="1:7">
      <c r="A596" t="s">
        <v>690</v>
      </c>
      <c r="B596">
        <f t="array" ref="B596">SUM(IF('TEA data'!$A$4:$A$66='BSM Input'!$D596,IF('TEA data'!$B$4:$B$66='BSM Input'!$E596,IF('TEA data'!$D$4:$D$66='BSM Input'!$F596,IF('TEA data'!$E$4:$E$66='BSM Input'!$G596,'TEA data'!P$4:P$66,""),""),""),""))</f>
        <v>1305299.0819999999</v>
      </c>
      <c r="D596" t="s">
        <v>755</v>
      </c>
      <c r="E596" t="s">
        <v>757</v>
      </c>
      <c r="F596" t="s">
        <v>2</v>
      </c>
      <c r="G596" t="s">
        <v>51</v>
      </c>
    </row>
    <row r="597" spans="1:7">
      <c r="A597" t="s">
        <v>691</v>
      </c>
      <c r="B597">
        <f t="array" ref="B597">SUM(IF('TEA data'!$A$4:$A$66='BSM Input'!$D597,IF('TEA data'!$B$4:$B$66='BSM Input'!$E597,IF('TEA data'!$D$4:$D$66='BSM Input'!$F597,IF('TEA data'!$E$4:$E$66='BSM Input'!$G597,'TEA data'!P$4:P$66,""),""),""),""))</f>
        <v>2205299.0819999999</v>
      </c>
      <c r="D597" t="s">
        <v>755</v>
      </c>
      <c r="E597" t="s">
        <v>757</v>
      </c>
      <c r="F597" t="s">
        <v>2</v>
      </c>
      <c r="G597" t="s">
        <v>52</v>
      </c>
    </row>
    <row r="598" spans="1:7">
      <c r="A598" t="s">
        <v>692</v>
      </c>
      <c r="B598" s="17">
        <v>9999999</v>
      </c>
    </row>
    <row r="599" spans="1:7">
      <c r="A599" t="s">
        <v>693</v>
      </c>
      <c r="B599">
        <f t="array" ref="B599">SUM(IF('TEA data'!$A$4:$A$66='BSM Input'!$D599,IF('TEA data'!$B$4:$B$66='BSM Input'!$E599,IF('TEA data'!$D$4:$D$66='BSM Input'!$F599,IF('TEA data'!$E$4:$E$66='BSM Input'!$G599,'TEA data'!P$4:P$66,""),""),""),""))</f>
        <v>1113567.8839999998</v>
      </c>
      <c r="D599" t="s">
        <v>755</v>
      </c>
      <c r="E599" t="s">
        <v>757</v>
      </c>
      <c r="F599" t="s">
        <v>3</v>
      </c>
      <c r="G599" t="s">
        <v>50</v>
      </c>
    </row>
    <row r="600" spans="1:7">
      <c r="A600" t="s">
        <v>694</v>
      </c>
      <c r="B600">
        <f t="array" ref="B600">SUM(IF('TEA data'!$A$4:$A$66='BSM Input'!$D600,IF('TEA data'!$B$4:$B$66='BSM Input'!$E600,IF('TEA data'!$D$4:$D$66='BSM Input'!$F600,IF('TEA data'!$E$4:$E$66='BSM Input'!$G600,'TEA data'!P$4:P$66,""),""),""),""))</f>
        <v>1246067.8839999998</v>
      </c>
      <c r="D600" t="s">
        <v>755</v>
      </c>
      <c r="E600" t="s">
        <v>757</v>
      </c>
      <c r="F600" t="s">
        <v>3</v>
      </c>
      <c r="G600" t="s">
        <v>51</v>
      </c>
    </row>
    <row r="601" spans="1:7">
      <c r="A601" t="s">
        <v>695</v>
      </c>
      <c r="B601">
        <f t="array" ref="B601">SUM(IF('TEA data'!$A$4:$A$66='BSM Input'!$D601,IF('TEA data'!$B$4:$B$66='BSM Input'!$E601,IF('TEA data'!$D$4:$D$66='BSM Input'!$F601,IF('TEA data'!$E$4:$E$66='BSM Input'!$G601,'TEA data'!P$4:P$66,""),""),""),""))</f>
        <v>2146067.8839999996</v>
      </c>
      <c r="D601" t="s">
        <v>755</v>
      </c>
      <c r="E601" t="s">
        <v>757</v>
      </c>
      <c r="F601" t="s">
        <v>3</v>
      </c>
      <c r="G601" t="s">
        <v>52</v>
      </c>
    </row>
    <row r="602" spans="1:7">
      <c r="A602" t="s">
        <v>696</v>
      </c>
      <c r="B602" s="17">
        <v>9999999</v>
      </c>
    </row>
    <row r="603" spans="1:7">
      <c r="A603" t="s">
        <v>697</v>
      </c>
      <c r="B603">
        <f t="array" ref="B603">SUM(IF('TEA data'!$A$4:$A$66='BSM Input'!$D603,IF('TEA data'!$B$4:$B$66='BSM Input'!$E603,IF('TEA data'!$D$4:$D$66='BSM Input'!$F603,IF('TEA data'!$E$4:$E$66='BSM Input'!$G603,'TEA data'!P$4:P$66,""),""),""),""))</f>
        <v>1440529.7659999998</v>
      </c>
      <c r="D603" t="s">
        <v>755</v>
      </c>
      <c r="E603" t="s">
        <v>757</v>
      </c>
      <c r="F603" t="s">
        <v>4</v>
      </c>
      <c r="G603" t="s">
        <v>50</v>
      </c>
    </row>
    <row r="604" spans="1:7">
      <c r="A604" t="s">
        <v>698</v>
      </c>
      <c r="B604">
        <f t="array" ref="B604">SUM(IF('TEA data'!$A$4:$A$66='BSM Input'!$D604,IF('TEA data'!$B$4:$B$66='BSM Input'!$E604,IF('TEA data'!$D$4:$D$66='BSM Input'!$F604,IF('TEA data'!$E$4:$E$66='BSM Input'!$G604,'TEA data'!P$4:P$66,""),""),""),""))</f>
        <v>1573029.7659999998</v>
      </c>
      <c r="D604" t="s">
        <v>755</v>
      </c>
      <c r="E604" t="s">
        <v>757</v>
      </c>
      <c r="F604" t="s">
        <v>4</v>
      </c>
      <c r="G604" t="s">
        <v>51</v>
      </c>
    </row>
    <row r="605" spans="1:7">
      <c r="A605" t="s">
        <v>699</v>
      </c>
      <c r="B605">
        <f t="array" ref="B605">SUM(IF('TEA data'!$A$4:$A$66='BSM Input'!$D605,IF('TEA data'!$B$4:$B$66='BSM Input'!$E605,IF('TEA data'!$D$4:$D$66='BSM Input'!$F605,IF('TEA data'!$E$4:$E$66='BSM Input'!$G605,'TEA data'!P$4:P$66,""),""),""),""))</f>
        <v>2473029.7659999998</v>
      </c>
      <c r="D605" t="s">
        <v>755</v>
      </c>
      <c r="E605" t="s">
        <v>757</v>
      </c>
      <c r="F605" t="s">
        <v>4</v>
      </c>
      <c r="G605" t="s">
        <v>52</v>
      </c>
    </row>
    <row r="606" spans="1:7">
      <c r="A606" t="s">
        <v>700</v>
      </c>
      <c r="B606" s="17">
        <v>9999999</v>
      </c>
    </row>
    <row r="607" spans="1:7">
      <c r="A607" t="s">
        <v>701</v>
      </c>
      <c r="B607">
        <f t="array" ref="B607">SUM(IF('TEA data'!$A$4:$A$66='BSM Input'!$D607,IF('TEA data'!$B$4:$B$66='BSM Input'!$E607,IF('TEA data'!$D$4:$D$66='BSM Input'!$F607,IF('TEA data'!$E$4:$E$66='BSM Input'!$G607,'TEA data'!P$4:P$66,""),""),""),""))</f>
        <v>801427.66599999997</v>
      </c>
      <c r="D607" t="s">
        <v>756</v>
      </c>
      <c r="E607" t="s">
        <v>757</v>
      </c>
      <c r="F607" t="s">
        <v>2</v>
      </c>
      <c r="G607" t="s">
        <v>50</v>
      </c>
    </row>
    <row r="608" spans="1:7">
      <c r="A608" t="s">
        <v>702</v>
      </c>
      <c r="B608">
        <f t="array" ref="B608">SUM(IF('TEA data'!$A$4:$A$66='BSM Input'!$D608,IF('TEA data'!$B$4:$B$66='BSM Input'!$E608,IF('TEA data'!$D$4:$D$66='BSM Input'!$F608,IF('TEA data'!$E$4:$E$66='BSM Input'!$G608,'TEA data'!P$4:P$66,""),""),""),""))</f>
        <v>933927.66599999997</v>
      </c>
      <c r="D608" t="s">
        <v>756</v>
      </c>
      <c r="E608" t="s">
        <v>757</v>
      </c>
      <c r="F608" t="s">
        <v>2</v>
      </c>
      <c r="G608" t="s">
        <v>51</v>
      </c>
    </row>
    <row r="609" spans="1:7">
      <c r="A609" t="s">
        <v>703</v>
      </c>
      <c r="B609">
        <f t="array" ref="B609">SUM(IF('TEA data'!$A$4:$A$66='BSM Input'!$D609,IF('TEA data'!$B$4:$B$66='BSM Input'!$E609,IF('TEA data'!$D$4:$D$66='BSM Input'!$F609,IF('TEA data'!$E$4:$E$66='BSM Input'!$G609,'TEA data'!P$4:P$66,""),""),""),""))</f>
        <v>1833927.666</v>
      </c>
      <c r="D609" t="s">
        <v>756</v>
      </c>
      <c r="E609" t="s">
        <v>757</v>
      </c>
      <c r="F609" t="s">
        <v>2</v>
      </c>
      <c r="G609" t="s">
        <v>52</v>
      </c>
    </row>
    <row r="610" spans="1:7">
      <c r="A610" t="s">
        <v>704</v>
      </c>
      <c r="B610" s="17">
        <v>9999999</v>
      </c>
    </row>
    <row r="611" spans="1:7">
      <c r="A611" t="s">
        <v>705</v>
      </c>
      <c r="B611">
        <f t="array" ref="B611">SUM(IF('TEA data'!$A$4:$A$66='BSM Input'!$D611,IF('TEA data'!$B$4:$B$66='BSM Input'!$E611,IF('TEA data'!$D$4:$D$66='BSM Input'!$F611,IF('TEA data'!$E$4:$E$66='BSM Input'!$G611,'TEA data'!P$4:P$66,""),""),""),""))</f>
        <v>590862.61597999989</v>
      </c>
      <c r="D611" t="s">
        <v>756</v>
      </c>
      <c r="E611" t="s">
        <v>757</v>
      </c>
      <c r="F611" t="s">
        <v>3</v>
      </c>
      <c r="G611" t="s">
        <v>50</v>
      </c>
    </row>
    <row r="612" spans="1:7">
      <c r="A612" t="s">
        <v>706</v>
      </c>
      <c r="B612">
        <f t="array" ref="B612">SUM(IF('TEA data'!$A$4:$A$66='BSM Input'!$D612,IF('TEA data'!$B$4:$B$66='BSM Input'!$E612,IF('TEA data'!$D$4:$D$66='BSM Input'!$F612,IF('TEA data'!$E$4:$E$66='BSM Input'!$G612,'TEA data'!P$4:P$66,""),""),""),""))</f>
        <v>723362.61597999989</v>
      </c>
      <c r="D612" t="s">
        <v>756</v>
      </c>
      <c r="E612" t="s">
        <v>757</v>
      </c>
      <c r="F612" t="s">
        <v>3</v>
      </c>
      <c r="G612" t="s">
        <v>51</v>
      </c>
    </row>
    <row r="613" spans="1:7">
      <c r="A613" t="s">
        <v>707</v>
      </c>
      <c r="B613">
        <f t="array" ref="B613">SUM(IF('TEA data'!$A$4:$A$66='BSM Input'!$D613,IF('TEA data'!$B$4:$B$66='BSM Input'!$E613,IF('TEA data'!$D$4:$D$66='BSM Input'!$F613,IF('TEA data'!$E$4:$E$66='BSM Input'!$G613,'TEA data'!P$4:P$66,""),""),""),""))</f>
        <v>1623362.6159799998</v>
      </c>
      <c r="D613" t="s">
        <v>756</v>
      </c>
      <c r="E613" t="s">
        <v>757</v>
      </c>
      <c r="F613" t="s">
        <v>3</v>
      </c>
      <c r="G613" t="s">
        <v>52</v>
      </c>
    </row>
    <row r="614" spans="1:7">
      <c r="A614" t="s">
        <v>708</v>
      </c>
      <c r="B614" s="17">
        <v>9999999</v>
      </c>
    </row>
    <row r="615" spans="1:7">
      <c r="A615" t="s">
        <v>709</v>
      </c>
      <c r="B615">
        <f t="array" ref="B615">SUM(IF('TEA data'!$A$4:$A$66='BSM Input'!$D615,IF('TEA data'!$B$4:$B$66='BSM Input'!$E615,IF('TEA data'!$D$4:$D$66='BSM Input'!$F615,IF('TEA data'!$E$4:$E$66='BSM Input'!$G615,'TEA data'!P$4:P$66,""),""),""),""))</f>
        <v>867689.35681999987</v>
      </c>
      <c r="D615" t="s">
        <v>756</v>
      </c>
      <c r="E615" t="s">
        <v>757</v>
      </c>
      <c r="F615" t="s">
        <v>4</v>
      </c>
      <c r="G615" t="s">
        <v>50</v>
      </c>
    </row>
    <row r="616" spans="1:7">
      <c r="A616" t="s">
        <v>710</v>
      </c>
      <c r="B616">
        <f t="array" ref="B616">SUM(IF('TEA data'!$A$4:$A$66='BSM Input'!$D616,IF('TEA data'!$B$4:$B$66='BSM Input'!$E616,IF('TEA data'!$D$4:$D$66='BSM Input'!$F616,IF('TEA data'!$E$4:$E$66='BSM Input'!$G616,'TEA data'!P$4:P$66,""),""),""),""))</f>
        <v>1000189.3568199999</v>
      </c>
      <c r="D616" t="s">
        <v>756</v>
      </c>
      <c r="E616" t="s">
        <v>757</v>
      </c>
      <c r="F616" t="s">
        <v>4</v>
      </c>
      <c r="G616" t="s">
        <v>51</v>
      </c>
    </row>
    <row r="617" spans="1:7">
      <c r="A617" t="s">
        <v>711</v>
      </c>
      <c r="B617">
        <f t="array" ref="B617">SUM(IF('TEA data'!$A$4:$A$66='BSM Input'!$D617,IF('TEA data'!$B$4:$B$66='BSM Input'!$E617,IF('TEA data'!$D$4:$D$66='BSM Input'!$F617,IF('TEA data'!$E$4:$E$66='BSM Input'!$G617,'TEA data'!P$4:P$66,""),""),""),""))</f>
        <v>1900189.3568199999</v>
      </c>
      <c r="D617" t="s">
        <v>756</v>
      </c>
      <c r="E617" t="s">
        <v>757</v>
      </c>
      <c r="F617" t="s">
        <v>4</v>
      </c>
      <c r="G617" t="s">
        <v>52</v>
      </c>
    </row>
    <row r="618" spans="1:7">
      <c r="A618" t="s">
        <v>712</v>
      </c>
      <c r="B618" s="17">
        <v>9999999</v>
      </c>
    </row>
    <row r="619" spans="1:7">
      <c r="A619" t="s">
        <v>713</v>
      </c>
      <c r="B619" s="17">
        <v>9999999</v>
      </c>
      <c r="D619" t="s">
        <v>753</v>
      </c>
      <c r="E619" t="s">
        <v>758</v>
      </c>
      <c r="F619" t="s">
        <v>2</v>
      </c>
      <c r="G619" t="s">
        <v>50</v>
      </c>
    </row>
    <row r="620" spans="1:7">
      <c r="A620" t="s">
        <v>714</v>
      </c>
      <c r="B620" s="17">
        <v>9999999</v>
      </c>
      <c r="D620" t="s">
        <v>753</v>
      </c>
      <c r="E620" t="s">
        <v>758</v>
      </c>
      <c r="F620" t="s">
        <v>2</v>
      </c>
      <c r="G620" t="s">
        <v>51</v>
      </c>
    </row>
    <row r="621" spans="1:7">
      <c r="A621" t="s">
        <v>715</v>
      </c>
      <c r="B621" s="17">
        <v>9999999</v>
      </c>
      <c r="D621" t="s">
        <v>753</v>
      </c>
      <c r="E621" t="s">
        <v>758</v>
      </c>
      <c r="F621" t="s">
        <v>2</v>
      </c>
      <c r="G621" t="s">
        <v>52</v>
      </c>
    </row>
    <row r="622" spans="1:7">
      <c r="A622" t="s">
        <v>716</v>
      </c>
      <c r="B622" s="17">
        <v>9999999</v>
      </c>
    </row>
    <row r="623" spans="1:7">
      <c r="A623" t="s">
        <v>717</v>
      </c>
      <c r="B623" s="17">
        <v>9999999</v>
      </c>
      <c r="D623" t="s">
        <v>753</v>
      </c>
      <c r="E623" t="s">
        <v>758</v>
      </c>
      <c r="F623" t="s">
        <v>3</v>
      </c>
      <c r="G623" t="s">
        <v>50</v>
      </c>
    </row>
    <row r="624" spans="1:7">
      <c r="A624" t="s">
        <v>718</v>
      </c>
      <c r="B624" s="17">
        <v>9999999</v>
      </c>
      <c r="D624" t="s">
        <v>753</v>
      </c>
      <c r="E624" t="s">
        <v>758</v>
      </c>
      <c r="F624" t="s">
        <v>3</v>
      </c>
      <c r="G624" t="s">
        <v>51</v>
      </c>
    </row>
    <row r="625" spans="1:7">
      <c r="A625" t="s">
        <v>719</v>
      </c>
      <c r="B625" s="17">
        <v>9999999</v>
      </c>
      <c r="D625" t="s">
        <v>753</v>
      </c>
      <c r="E625" t="s">
        <v>758</v>
      </c>
      <c r="F625" t="s">
        <v>3</v>
      </c>
      <c r="G625" t="s">
        <v>52</v>
      </c>
    </row>
    <row r="626" spans="1:7">
      <c r="A626" t="s">
        <v>720</v>
      </c>
      <c r="B626" s="17">
        <v>9999999</v>
      </c>
    </row>
    <row r="627" spans="1:7">
      <c r="A627" t="s">
        <v>721</v>
      </c>
      <c r="B627">
        <f t="array" ref="B627">SUM(IF('TEA data'!$A$4:$A$66='BSM Input'!$D627,IF('TEA data'!$B$4:$B$66='BSM Input'!$E627,IF('TEA data'!$D$4:$D$66='BSM Input'!$F627,IF('TEA data'!$E$4:$E$66='BSM Input'!$G627,'TEA data'!P$4:P$66,""),""),""),""))</f>
        <v>1495689.78195</v>
      </c>
      <c r="D627" t="s">
        <v>753</v>
      </c>
      <c r="E627" t="s">
        <v>758</v>
      </c>
      <c r="F627" t="s">
        <v>4</v>
      </c>
      <c r="G627" t="s">
        <v>50</v>
      </c>
    </row>
    <row r="628" spans="1:7">
      <c r="A628" t="s">
        <v>722</v>
      </c>
      <c r="B628">
        <f t="array" ref="B628">SUM(IF('TEA data'!$A$4:$A$66='BSM Input'!$D628,IF('TEA data'!$B$4:$B$66='BSM Input'!$E628,IF('TEA data'!$D$4:$D$66='BSM Input'!$F628,IF('TEA data'!$E$4:$E$66='BSM Input'!$G628,'TEA data'!P$4:P$66,""),""),""),""))</f>
        <v>1695689.78195</v>
      </c>
      <c r="D628" t="s">
        <v>753</v>
      </c>
      <c r="E628" t="s">
        <v>758</v>
      </c>
      <c r="F628" t="s">
        <v>4</v>
      </c>
      <c r="G628" t="s">
        <v>51</v>
      </c>
    </row>
    <row r="629" spans="1:7">
      <c r="A629" t="s">
        <v>723</v>
      </c>
      <c r="B629">
        <f t="array" ref="B629">SUM(IF('TEA data'!$A$4:$A$66='BSM Input'!$D629,IF('TEA data'!$B$4:$B$66='BSM Input'!$E629,IF('TEA data'!$D$4:$D$66='BSM Input'!$F629,IF('TEA data'!$E$4:$E$66='BSM Input'!$G629,'TEA data'!P$4:P$66,""),""),""),""))</f>
        <v>2595689.7819499997</v>
      </c>
      <c r="D629" t="s">
        <v>753</v>
      </c>
      <c r="E629" t="s">
        <v>758</v>
      </c>
      <c r="F629" t="s">
        <v>4</v>
      </c>
      <c r="G629" t="s">
        <v>52</v>
      </c>
    </row>
    <row r="630" spans="1:7">
      <c r="A630" t="s">
        <v>724</v>
      </c>
      <c r="B630" s="17">
        <v>9999999</v>
      </c>
    </row>
    <row r="631" spans="1:7">
      <c r="A631" t="s">
        <v>725</v>
      </c>
      <c r="B631">
        <f t="array" ref="B631">SUM(IF('TEA data'!$A$4:$A$66='BSM Input'!$D631,IF('TEA data'!$B$4:$B$66='BSM Input'!$E631,IF('TEA data'!$D$4:$D$66='BSM Input'!$F631,IF('TEA data'!$E$4:$E$66='BSM Input'!$G631,'TEA data'!P$4:P$66,""),""),""),""))</f>
        <v>2195280.2819999997</v>
      </c>
      <c r="D631" t="s">
        <v>755</v>
      </c>
      <c r="E631" t="s">
        <v>758</v>
      </c>
      <c r="F631" t="s">
        <v>2</v>
      </c>
      <c r="G631" t="s">
        <v>50</v>
      </c>
    </row>
    <row r="632" spans="1:7">
      <c r="A632" t="s">
        <v>726</v>
      </c>
      <c r="B632">
        <f t="array" ref="B632">SUM(IF('TEA data'!$A$4:$A$66='BSM Input'!$D632,IF('TEA data'!$B$4:$B$66='BSM Input'!$E632,IF('TEA data'!$D$4:$D$66='BSM Input'!$F632,IF('TEA data'!$E$4:$E$66='BSM Input'!$G632,'TEA data'!P$4:P$66,""),""),""),""))</f>
        <v>2395280.2819999997</v>
      </c>
      <c r="D632" t="s">
        <v>755</v>
      </c>
      <c r="E632" t="s">
        <v>758</v>
      </c>
      <c r="F632" t="s">
        <v>2</v>
      </c>
      <c r="G632" t="s">
        <v>51</v>
      </c>
    </row>
    <row r="633" spans="1:7">
      <c r="A633" t="s">
        <v>727</v>
      </c>
      <c r="B633">
        <f t="array" ref="B633">SUM(IF('TEA data'!$A$4:$A$66='BSM Input'!$D633,IF('TEA data'!$B$4:$B$66='BSM Input'!$E633,IF('TEA data'!$D$4:$D$66='BSM Input'!$F633,IF('TEA data'!$E$4:$E$66='BSM Input'!$G633,'TEA data'!P$4:P$66,""),""),""),""))</f>
        <v>3295280.2819999997</v>
      </c>
      <c r="D633" t="s">
        <v>755</v>
      </c>
      <c r="E633" t="s">
        <v>758</v>
      </c>
      <c r="F633" t="s">
        <v>2</v>
      </c>
      <c r="G633" t="s">
        <v>52</v>
      </c>
    </row>
    <row r="634" spans="1:7">
      <c r="A634" t="s">
        <v>728</v>
      </c>
      <c r="B634" s="17">
        <v>9999999</v>
      </c>
    </row>
    <row r="635" spans="1:7">
      <c r="A635" t="s">
        <v>729</v>
      </c>
      <c r="B635">
        <f t="array" ref="B635">SUM(IF('TEA data'!$A$4:$A$66='BSM Input'!$D635,IF('TEA data'!$B$4:$B$66='BSM Input'!$E635,IF('TEA data'!$D$4:$D$66='BSM Input'!$F635,IF('TEA data'!$E$4:$E$66='BSM Input'!$G635,'TEA data'!P$4:P$66,""),""),""),""))</f>
        <v>2552710.173</v>
      </c>
      <c r="D635" t="s">
        <v>755</v>
      </c>
      <c r="E635" t="s">
        <v>758</v>
      </c>
      <c r="F635" t="s">
        <v>3</v>
      </c>
      <c r="G635" t="s">
        <v>50</v>
      </c>
    </row>
    <row r="636" spans="1:7">
      <c r="A636" t="s">
        <v>730</v>
      </c>
      <c r="B636">
        <f t="array" ref="B636">SUM(IF('TEA data'!$A$4:$A$66='BSM Input'!$D636,IF('TEA data'!$B$4:$B$66='BSM Input'!$E636,IF('TEA data'!$D$4:$D$66='BSM Input'!$F636,IF('TEA data'!$E$4:$E$66='BSM Input'!$G636,'TEA data'!P$4:P$66,""),""),""),""))</f>
        <v>2752710.173</v>
      </c>
      <c r="D636" t="s">
        <v>755</v>
      </c>
      <c r="E636" t="s">
        <v>758</v>
      </c>
      <c r="F636" t="s">
        <v>3</v>
      </c>
      <c r="G636" t="s">
        <v>51</v>
      </c>
    </row>
    <row r="637" spans="1:7">
      <c r="A637" t="s">
        <v>731</v>
      </c>
      <c r="B637">
        <f t="array" ref="B637">SUM(IF('TEA data'!$A$4:$A$66='BSM Input'!$D637,IF('TEA data'!$B$4:$B$66='BSM Input'!$E637,IF('TEA data'!$D$4:$D$66='BSM Input'!$F637,IF('TEA data'!$E$4:$E$66='BSM Input'!$G637,'TEA data'!P$4:P$66,""),""),""),""))</f>
        <v>3652710.173</v>
      </c>
      <c r="D637" t="s">
        <v>755</v>
      </c>
      <c r="E637" t="s">
        <v>758</v>
      </c>
      <c r="F637" t="s">
        <v>3</v>
      </c>
      <c r="G637" t="s">
        <v>52</v>
      </c>
    </row>
    <row r="638" spans="1:7">
      <c r="A638" t="s">
        <v>732</v>
      </c>
      <c r="B638" s="17">
        <v>9999999</v>
      </c>
    </row>
    <row r="639" spans="1:7">
      <c r="A639" t="s">
        <v>733</v>
      </c>
      <c r="B639">
        <f t="array" ref="B639">SUM(IF('TEA data'!$A$4:$A$66='BSM Input'!$D639,IF('TEA data'!$B$4:$B$66='BSM Input'!$E639,IF('TEA data'!$D$4:$D$66='BSM Input'!$F639,IF('TEA data'!$E$4:$E$66='BSM Input'!$G639,'TEA data'!P$4:P$66,""),""),""),""))</f>
        <v>3017707.0169999995</v>
      </c>
      <c r="D639" t="s">
        <v>755</v>
      </c>
      <c r="E639" t="s">
        <v>758</v>
      </c>
      <c r="F639" t="s">
        <v>4</v>
      </c>
      <c r="G639" t="s">
        <v>50</v>
      </c>
    </row>
    <row r="640" spans="1:7">
      <c r="A640" t="s">
        <v>734</v>
      </c>
      <c r="B640">
        <f t="array" ref="B640">SUM(IF('TEA data'!$A$4:$A$66='BSM Input'!$D640,IF('TEA data'!$B$4:$B$66='BSM Input'!$E640,IF('TEA data'!$D$4:$D$66='BSM Input'!$F640,IF('TEA data'!$E$4:$E$66='BSM Input'!$G640,'TEA data'!P$4:P$66,""),""),""),""))</f>
        <v>3217707.0169999995</v>
      </c>
      <c r="D640" t="s">
        <v>755</v>
      </c>
      <c r="E640" t="s">
        <v>758</v>
      </c>
      <c r="F640" t="s">
        <v>4</v>
      </c>
      <c r="G640" t="s">
        <v>51</v>
      </c>
    </row>
    <row r="641" spans="1:7">
      <c r="A641" t="s">
        <v>735</v>
      </c>
      <c r="B641">
        <f t="array" ref="B641">SUM(IF('TEA data'!$A$4:$A$66='BSM Input'!$D641,IF('TEA data'!$B$4:$B$66='BSM Input'!$E641,IF('TEA data'!$D$4:$D$66='BSM Input'!$F641,IF('TEA data'!$E$4:$E$66='BSM Input'!$G641,'TEA data'!P$4:P$66,""),""),""),""))</f>
        <v>5017707.0169999991</v>
      </c>
      <c r="D641" t="s">
        <v>755</v>
      </c>
      <c r="E641" t="s">
        <v>758</v>
      </c>
      <c r="F641" t="s">
        <v>4</v>
      </c>
      <c r="G641" t="s">
        <v>52</v>
      </c>
    </row>
    <row r="642" spans="1:7">
      <c r="A642" t="s">
        <v>736</v>
      </c>
      <c r="B642" s="17">
        <v>9999999</v>
      </c>
    </row>
    <row r="643" spans="1:7">
      <c r="A643" t="s">
        <v>737</v>
      </c>
      <c r="B643">
        <f t="array" ref="B643">SUM(IF('TEA data'!$A$4:$A$66='BSM Input'!$D643,IF('TEA data'!$B$4:$B$66='BSM Input'!$E643,IF('TEA data'!$D$4:$D$66='BSM Input'!$F643,IF('TEA data'!$E$4:$E$66='BSM Input'!$G643,'TEA data'!P$4:P$66,""),""),""),""))</f>
        <v>1590603.2219999998</v>
      </c>
      <c r="D643" t="s">
        <v>756</v>
      </c>
      <c r="E643" t="s">
        <v>758</v>
      </c>
      <c r="F643" t="s">
        <v>2</v>
      </c>
      <c r="G643" t="s">
        <v>50</v>
      </c>
    </row>
    <row r="644" spans="1:7">
      <c r="A644" t="s">
        <v>738</v>
      </c>
      <c r="B644">
        <f t="array" ref="B644">SUM(IF('TEA data'!$A$4:$A$66='BSM Input'!$D644,IF('TEA data'!$B$4:$B$66='BSM Input'!$E644,IF('TEA data'!$D$4:$D$66='BSM Input'!$F644,IF('TEA data'!$E$4:$E$66='BSM Input'!$G644,'TEA data'!P$4:P$66,""),""),""),""))</f>
        <v>1790603.2219999998</v>
      </c>
      <c r="D644" t="s">
        <v>756</v>
      </c>
      <c r="E644" t="s">
        <v>758</v>
      </c>
      <c r="F644" t="s">
        <v>2</v>
      </c>
      <c r="G644" t="s">
        <v>51</v>
      </c>
    </row>
    <row r="645" spans="1:7">
      <c r="A645" t="s">
        <v>739</v>
      </c>
      <c r="B645">
        <f t="array" ref="B645">SUM(IF('TEA data'!$A$4:$A$66='BSM Input'!$D645,IF('TEA data'!$B$4:$B$66='BSM Input'!$E645,IF('TEA data'!$D$4:$D$66='BSM Input'!$F645,IF('TEA data'!$E$4:$E$66='BSM Input'!$G645,'TEA data'!P$4:P$66,""),""),""),""))</f>
        <v>2690603.2220000001</v>
      </c>
      <c r="D645" t="s">
        <v>756</v>
      </c>
      <c r="E645" t="s">
        <v>758</v>
      </c>
      <c r="F645" t="s">
        <v>2</v>
      </c>
      <c r="G645" t="s">
        <v>52</v>
      </c>
    </row>
    <row r="646" spans="1:7">
      <c r="A646" t="s">
        <v>740</v>
      </c>
      <c r="B646" s="17">
        <v>9999999</v>
      </c>
    </row>
    <row r="647" spans="1:7">
      <c r="A647" t="s">
        <v>741</v>
      </c>
      <c r="B647">
        <f t="array" ref="B647">SUM(IF('TEA data'!$A$4:$A$66='BSM Input'!$D647,IF('TEA data'!$B$4:$B$66='BSM Input'!$E647,IF('TEA data'!$D$4:$D$66='BSM Input'!$F647,IF('TEA data'!$E$4:$E$66='BSM Input'!$G647,'TEA data'!P$4:P$66,""),""),""),""))</f>
        <v>1701627.2110499998</v>
      </c>
      <c r="D647" t="s">
        <v>756</v>
      </c>
      <c r="E647" t="s">
        <v>758</v>
      </c>
      <c r="F647" t="s">
        <v>3</v>
      </c>
      <c r="G647" t="s">
        <v>50</v>
      </c>
    </row>
    <row r="648" spans="1:7">
      <c r="A648" t="s">
        <v>742</v>
      </c>
      <c r="B648">
        <f t="array" ref="B648">SUM(IF('TEA data'!$A$4:$A$66='BSM Input'!$D648,IF('TEA data'!$B$4:$B$66='BSM Input'!$E648,IF('TEA data'!$D$4:$D$66='BSM Input'!$F648,IF('TEA data'!$E$4:$E$66='BSM Input'!$G648,'TEA data'!P$4:P$66,""),""),""),""))</f>
        <v>1901627.2110499998</v>
      </c>
      <c r="D648" t="s">
        <v>756</v>
      </c>
      <c r="E648" t="s">
        <v>758</v>
      </c>
      <c r="F648" t="s">
        <v>3</v>
      </c>
      <c r="G648" t="s">
        <v>51</v>
      </c>
    </row>
    <row r="649" spans="1:7">
      <c r="A649" t="s">
        <v>743</v>
      </c>
      <c r="B649">
        <f t="array" ref="B649">SUM(IF('TEA data'!$A$4:$A$66='BSM Input'!$D649,IF('TEA data'!$B$4:$B$66='BSM Input'!$E649,IF('TEA data'!$D$4:$D$66='BSM Input'!$F649,IF('TEA data'!$E$4:$E$66='BSM Input'!$G649,'TEA data'!P$4:P$66,""),""),""),""))</f>
        <v>2801627.21105</v>
      </c>
      <c r="D649" t="s">
        <v>756</v>
      </c>
      <c r="E649" t="s">
        <v>758</v>
      </c>
      <c r="F649" t="s">
        <v>3</v>
      </c>
      <c r="G649" t="s">
        <v>52</v>
      </c>
    </row>
    <row r="650" spans="1:7">
      <c r="A650" t="s">
        <v>744</v>
      </c>
      <c r="B650" s="17">
        <v>9999999</v>
      </c>
    </row>
    <row r="651" spans="1:7">
      <c r="A651" t="s">
        <v>745</v>
      </c>
      <c r="B651">
        <f t="array" ref="B651">SUM(IF('TEA data'!$A$4:$A$66='BSM Input'!$D651,IF('TEA data'!$B$4:$B$66='BSM Input'!$E651,IF('TEA data'!$D$4:$D$66='BSM Input'!$F651,IF('TEA data'!$E$4:$E$66='BSM Input'!$G651,'TEA data'!P$4:P$66,""),""),""),""))</f>
        <v>2084992.6519499999</v>
      </c>
      <c r="D651" t="s">
        <v>756</v>
      </c>
      <c r="E651" t="s">
        <v>758</v>
      </c>
      <c r="F651" t="s">
        <v>4</v>
      </c>
      <c r="G651" t="s">
        <v>50</v>
      </c>
    </row>
    <row r="652" spans="1:7">
      <c r="A652" t="s">
        <v>746</v>
      </c>
      <c r="B652">
        <f t="array" ref="B652">SUM(IF('TEA data'!$A$4:$A$66='BSM Input'!$D652,IF('TEA data'!$B$4:$B$66='BSM Input'!$E652,IF('TEA data'!$D$4:$D$66='BSM Input'!$F652,IF('TEA data'!$E$4:$E$66='BSM Input'!$G652,'TEA data'!P$4:P$66,""),""),""),""))</f>
        <v>2284992.6519499999</v>
      </c>
      <c r="D652" t="s">
        <v>756</v>
      </c>
      <c r="E652" t="s">
        <v>758</v>
      </c>
      <c r="F652" t="s">
        <v>4</v>
      </c>
      <c r="G652" t="s">
        <v>51</v>
      </c>
    </row>
    <row r="653" spans="1:7">
      <c r="A653" t="s">
        <v>747</v>
      </c>
      <c r="B653">
        <f t="array" ref="B653">SUM(IF('TEA data'!$A$4:$A$66='BSM Input'!$D653,IF('TEA data'!$B$4:$B$66='BSM Input'!$E653,IF('TEA data'!$D$4:$D$66='BSM Input'!$F653,IF('TEA data'!$E$4:$E$66='BSM Input'!$G653,'TEA data'!P$4:P$66,""),""),""),""))</f>
        <v>3184992.6519499999</v>
      </c>
      <c r="D653" t="s">
        <v>756</v>
      </c>
      <c r="E653" t="s">
        <v>758</v>
      </c>
      <c r="F653" t="s">
        <v>4</v>
      </c>
      <c r="G653" t="s">
        <v>52</v>
      </c>
    </row>
    <row r="654" spans="1:7">
      <c r="A654" t="s">
        <v>748</v>
      </c>
      <c r="B654" s="17">
        <v>9999999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 enableFormatConditionsCalculation="0">
    <pageSetUpPr fitToPage="1"/>
  </sheetPr>
  <dimension ref="A1:BG124"/>
  <sheetViews>
    <sheetView showGridLines="0" zoomScale="50" zoomScaleNormal="50" zoomScalePageLayoutView="50" workbookViewId="0">
      <selection activeCell="H3" sqref="H3"/>
    </sheetView>
  </sheetViews>
  <sheetFormatPr baseColWidth="10" defaultColWidth="8.83203125" defaultRowHeight="13" x14ac:dyDescent="0"/>
  <cols>
    <col min="1" max="1" width="42.33203125" style="94" customWidth="1"/>
    <col min="2" max="3" width="17.83203125" style="94" customWidth="1"/>
    <col min="4" max="4" width="17.6640625" style="94" customWidth="1"/>
    <col min="5" max="6" width="15.6640625" style="94" customWidth="1"/>
    <col min="7" max="7" width="31.6640625" style="94" customWidth="1"/>
    <col min="8" max="8" width="15.6640625" style="94" customWidth="1"/>
    <col min="9" max="10" width="14" style="94" bestFit="1" customWidth="1"/>
    <col min="11" max="11" width="16.83203125" style="94" customWidth="1"/>
    <col min="12" max="12" width="17.1640625" style="94" customWidth="1"/>
    <col min="13" max="13" width="15.6640625" style="94" customWidth="1"/>
    <col min="14" max="14" width="17.83203125" style="94" customWidth="1"/>
    <col min="15" max="15" width="18.5" style="94" bestFit="1" customWidth="1"/>
    <col min="16" max="19" width="15.6640625" style="94" customWidth="1"/>
    <col min="20" max="20" width="16.83203125" style="94" customWidth="1"/>
    <col min="21" max="21" width="17.6640625" style="94" customWidth="1"/>
    <col min="22" max="66" width="15.6640625" style="94" customWidth="1"/>
    <col min="67" max="16384" width="8.83203125" style="94"/>
  </cols>
  <sheetData>
    <row r="1" spans="1:57" s="96" customFormat="1" ht="18">
      <c r="A1" s="89" t="s">
        <v>844</v>
      </c>
      <c r="B1" s="90"/>
      <c r="C1" s="91"/>
      <c r="D1" s="92">
        <v>1</v>
      </c>
      <c r="E1" s="93"/>
      <c r="F1" s="94"/>
      <c r="G1" s="151"/>
      <c r="H1" s="149"/>
      <c r="I1" s="147"/>
      <c r="J1" s="149"/>
      <c r="K1" s="171" t="s">
        <v>847</v>
      </c>
      <c r="L1" s="172"/>
      <c r="M1" s="95"/>
      <c r="N1" s="172"/>
      <c r="O1" s="172"/>
      <c r="P1" s="147"/>
      <c r="Q1" s="151"/>
      <c r="R1" s="149"/>
      <c r="S1" s="147"/>
      <c r="T1" s="149"/>
      <c r="U1" s="149"/>
      <c r="V1" s="147"/>
      <c r="W1" s="147"/>
      <c r="X1" s="147"/>
      <c r="Y1" s="147"/>
      <c r="Z1" s="147"/>
      <c r="AA1" s="147"/>
      <c r="AB1" s="147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  <c r="AQ1" s="95"/>
      <c r="AR1" s="95"/>
      <c r="AS1" s="95"/>
      <c r="AT1" s="95"/>
      <c r="AU1" s="95"/>
      <c r="AV1" s="95"/>
      <c r="AW1" s="95"/>
      <c r="AX1" s="95"/>
      <c r="AY1" s="95"/>
      <c r="AZ1" s="95"/>
      <c r="BA1" s="95"/>
      <c r="BB1" s="95"/>
      <c r="BC1" s="95"/>
      <c r="BD1" s="95"/>
      <c r="BE1" s="95"/>
    </row>
    <row r="2" spans="1:57" s="96" customFormat="1" ht="15" thickBot="1">
      <c r="A2" s="91"/>
      <c r="B2" s="91"/>
      <c r="C2" s="91"/>
      <c r="D2" s="92"/>
      <c r="E2" s="93"/>
      <c r="F2" s="94"/>
      <c r="G2" s="349" t="s">
        <v>1115</v>
      </c>
      <c r="H2" s="348">
        <f>'TEA Op Matrix'!I17</f>
        <v>670501.61684210529</v>
      </c>
      <c r="I2" s="153"/>
      <c r="J2" s="153"/>
      <c r="K2" s="207" t="s">
        <v>848</v>
      </c>
      <c r="L2" s="208"/>
      <c r="M2" s="208"/>
      <c r="N2" s="209" t="s">
        <v>849</v>
      </c>
      <c r="O2" s="209" t="s">
        <v>850</v>
      </c>
      <c r="P2" s="147"/>
      <c r="Q2" s="152"/>
      <c r="R2" s="153"/>
      <c r="S2" s="153"/>
      <c r="T2" s="153"/>
      <c r="U2" s="153"/>
      <c r="V2" s="147"/>
      <c r="W2" s="147"/>
      <c r="X2" s="147"/>
      <c r="Y2" s="147"/>
      <c r="Z2" s="147"/>
      <c r="AA2" s="147"/>
      <c r="AB2" s="147"/>
      <c r="AC2" s="95"/>
      <c r="AD2" s="95"/>
      <c r="AE2" s="95"/>
      <c r="AF2" s="95"/>
      <c r="AG2" s="95"/>
      <c r="AH2" s="95"/>
      <c r="AI2" s="95"/>
      <c r="AJ2" s="95"/>
      <c r="AK2" s="95"/>
      <c r="AL2" s="95"/>
      <c r="AM2" s="95"/>
      <c r="AN2" s="95"/>
      <c r="AO2" s="95"/>
      <c r="AP2" s="95"/>
      <c r="AQ2" s="95"/>
      <c r="AR2" s="95"/>
      <c r="AS2" s="95"/>
      <c r="AT2" s="95"/>
      <c r="AU2" s="95"/>
      <c r="AV2" s="95"/>
      <c r="AW2" s="95"/>
      <c r="AX2" s="95"/>
      <c r="AY2" s="95"/>
      <c r="AZ2" s="95"/>
      <c r="BA2" s="95"/>
      <c r="BB2" s="95"/>
      <c r="BC2" s="95"/>
      <c r="BD2" s="95"/>
      <c r="BE2" s="95"/>
    </row>
    <row r="3" spans="1:57" s="96" customFormat="1" ht="14">
      <c r="A3" s="97" t="s">
        <v>769</v>
      </c>
      <c r="B3" s="97" t="s">
        <v>76</v>
      </c>
      <c r="C3" s="97"/>
      <c r="D3" s="90"/>
      <c r="E3" s="93"/>
      <c r="F3" s="94"/>
      <c r="G3" s="349" t="s">
        <v>1116</v>
      </c>
      <c r="H3" s="348">
        <f>H2*'TEA Op Matrix'!E289</f>
        <v>21607.436252994747</v>
      </c>
      <c r="I3" s="147"/>
      <c r="J3" s="154"/>
      <c r="K3" s="173" t="s">
        <v>851</v>
      </c>
      <c r="L3" s="174"/>
      <c r="M3" s="174"/>
      <c r="N3" s="175">
        <f>'CAPEX CALC'!F15</f>
        <v>4282.3233896523961</v>
      </c>
      <c r="O3" s="210">
        <f>N3*1.05</f>
        <v>4496.4395591350158</v>
      </c>
      <c r="P3" s="147"/>
      <c r="Q3" s="149"/>
      <c r="R3" s="147"/>
      <c r="S3" s="147"/>
      <c r="T3" s="154"/>
      <c r="U3" s="154"/>
      <c r="V3" s="147"/>
      <c r="W3" s="147"/>
      <c r="X3" s="147"/>
      <c r="Y3" s="147"/>
      <c r="Z3" s="147"/>
      <c r="AA3" s="147"/>
      <c r="AB3" s="147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5"/>
      <c r="AN3" s="95"/>
      <c r="AO3" s="95"/>
      <c r="AP3" s="95"/>
      <c r="AQ3" s="95"/>
      <c r="AR3" s="95"/>
      <c r="AS3" s="95"/>
      <c r="AT3" s="95"/>
      <c r="AU3" s="95"/>
      <c r="AV3" s="95"/>
      <c r="AW3" s="95"/>
      <c r="AX3" s="95"/>
      <c r="AY3" s="95"/>
      <c r="AZ3" s="95"/>
      <c r="BA3" s="95"/>
      <c r="BB3" s="95"/>
      <c r="BC3" s="95"/>
      <c r="BD3" s="95"/>
      <c r="BE3" s="95"/>
    </row>
    <row r="4" spans="1:57" s="96" customFormat="1" ht="14">
      <c r="A4" s="98" t="s">
        <v>770</v>
      </c>
      <c r="B4" s="266">
        <f>O24</f>
        <v>4314884.1085969731</v>
      </c>
      <c r="C4" s="98"/>
      <c r="D4" s="100"/>
      <c r="E4" s="93"/>
      <c r="F4" s="94"/>
      <c r="G4" s="354" t="s">
        <v>1025</v>
      </c>
      <c r="H4" s="350">
        <f>H3/10^6</f>
        <v>2.1607436252994747E-2</v>
      </c>
      <c r="I4" s="265" t="s">
        <v>1028</v>
      </c>
      <c r="J4" s="154"/>
      <c r="K4" s="176" t="s">
        <v>852</v>
      </c>
      <c r="L4" s="177"/>
      <c r="M4" s="177"/>
      <c r="N4" s="178">
        <f>'CAPEX CALC'!F16</f>
        <v>137906.01192961651</v>
      </c>
      <c r="O4" s="178">
        <f>N4*1</f>
        <v>137906.01192961651</v>
      </c>
      <c r="P4" s="147"/>
      <c r="Q4" s="149"/>
      <c r="R4" s="147"/>
      <c r="S4" s="147"/>
      <c r="T4" s="154"/>
      <c r="U4" s="154"/>
      <c r="V4" s="147"/>
      <c r="W4" s="147"/>
      <c r="X4" s="147"/>
      <c r="Y4" s="147"/>
      <c r="Z4" s="147"/>
      <c r="AA4" s="147"/>
      <c r="AB4" s="147"/>
      <c r="AC4" s="95"/>
      <c r="AD4" s="95"/>
      <c r="AE4" s="95"/>
      <c r="AF4" s="95"/>
      <c r="AG4" s="95"/>
      <c r="AH4" s="95"/>
      <c r="AI4" s="95"/>
      <c r="AJ4" s="95"/>
      <c r="AK4" s="95"/>
      <c r="AL4" s="95"/>
      <c r="AM4" s="95"/>
      <c r="AN4" s="95"/>
      <c r="AO4" s="95"/>
      <c r="AP4" s="95"/>
      <c r="AQ4" s="95"/>
      <c r="AR4" s="95"/>
      <c r="AS4" s="95"/>
      <c r="AT4" s="95"/>
      <c r="AU4" s="95"/>
      <c r="AV4" s="95"/>
      <c r="AW4" s="95"/>
      <c r="AX4" s="95"/>
      <c r="AY4" s="95"/>
      <c r="AZ4" s="95"/>
      <c r="BA4" s="95"/>
      <c r="BB4" s="95"/>
      <c r="BC4" s="95"/>
      <c r="BD4" s="95"/>
      <c r="BE4" s="95"/>
    </row>
    <row r="5" spans="1:57" s="96" customFormat="1" ht="14">
      <c r="A5" s="98" t="s">
        <v>771</v>
      </c>
      <c r="B5" s="99">
        <f>B4-B6</f>
        <v>4314884.1085969731</v>
      </c>
      <c r="C5" s="98"/>
      <c r="D5" s="101"/>
      <c r="E5" s="102"/>
      <c r="F5" s="94"/>
      <c r="G5" s="354" t="s">
        <v>1026</v>
      </c>
      <c r="H5" s="351">
        <f>O24</f>
        <v>4314884.1085969731</v>
      </c>
      <c r="I5" s="168">
        <f>FCI/30/H4/1000000</f>
        <v>6.6564801396385604</v>
      </c>
      <c r="J5" s="155"/>
      <c r="K5" s="176" t="s">
        <v>1119</v>
      </c>
      <c r="L5" s="177"/>
      <c r="M5" s="177"/>
      <c r="N5" s="178">
        <f>'CAPEX CALC'!F17</f>
        <v>98069.508125183362</v>
      </c>
      <c r="O5" s="178">
        <f>N5*2.63</f>
        <v>257922.80636923222</v>
      </c>
      <c r="P5" s="147"/>
      <c r="Q5" s="149"/>
      <c r="R5" s="147"/>
      <c r="S5" s="147"/>
      <c r="T5" s="154"/>
      <c r="U5" s="154"/>
      <c r="V5" s="147"/>
      <c r="W5" s="147"/>
      <c r="X5" s="147"/>
      <c r="Y5" s="147"/>
      <c r="Z5" s="147"/>
      <c r="AA5" s="147"/>
      <c r="AB5" s="147"/>
      <c r="AC5" s="95"/>
      <c r="AD5" s="95"/>
      <c r="AE5" s="95"/>
      <c r="AF5" s="95"/>
      <c r="AG5" s="95"/>
      <c r="AH5" s="95"/>
      <c r="AI5" s="95"/>
      <c r="AJ5" s="95"/>
      <c r="AK5" s="95"/>
      <c r="AL5" s="95"/>
      <c r="AM5" s="95"/>
      <c r="AN5" s="95"/>
      <c r="AO5" s="95"/>
      <c r="AP5" s="95"/>
      <c r="AQ5" s="95"/>
      <c r="AR5" s="95"/>
      <c r="AS5" s="95"/>
      <c r="AT5" s="95"/>
      <c r="AU5" s="95"/>
      <c r="AV5" s="95"/>
      <c r="AW5" s="95"/>
      <c r="AX5" s="95"/>
      <c r="AY5" s="95"/>
      <c r="AZ5" s="95"/>
      <c r="BA5" s="95"/>
      <c r="BB5" s="95"/>
      <c r="BC5" s="95"/>
      <c r="BD5" s="95"/>
      <c r="BE5" s="95"/>
    </row>
    <row r="6" spans="1:57" s="96" customFormat="1" ht="14">
      <c r="A6" s="98" t="s">
        <v>772</v>
      </c>
      <c r="B6" s="99">
        <f>CAPEX800*D1</f>
        <v>0</v>
      </c>
      <c r="C6" s="98"/>
      <c r="D6" s="90"/>
      <c r="E6" s="93"/>
      <c r="F6" s="94"/>
      <c r="G6" s="355" t="s">
        <v>1024</v>
      </c>
      <c r="H6" s="353">
        <f>I6*H4*10^6*5</f>
        <v>129644.61751796849</v>
      </c>
      <c r="I6" s="264">
        <v>1.2</v>
      </c>
      <c r="J6" s="154"/>
      <c r="K6" s="176" t="s">
        <v>1120</v>
      </c>
      <c r="L6" s="177"/>
      <c r="M6" s="177"/>
      <c r="N6" s="178">
        <f>'CAPEX CALC'!F18</f>
        <v>100000</v>
      </c>
      <c r="O6" s="178">
        <f>N6*3</f>
        <v>300000</v>
      </c>
      <c r="P6" s="147"/>
      <c r="Q6" s="149"/>
      <c r="R6" s="147"/>
      <c r="S6" s="147"/>
      <c r="T6" s="154"/>
      <c r="U6" s="154"/>
      <c r="V6" s="147"/>
      <c r="W6" s="147"/>
      <c r="X6" s="147"/>
      <c r="Y6" s="147"/>
      <c r="Z6" s="147"/>
      <c r="AA6" s="147"/>
      <c r="AB6" s="147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5"/>
      <c r="BA6" s="95"/>
      <c r="BB6" s="95"/>
      <c r="BC6" s="95"/>
      <c r="BD6" s="95"/>
      <c r="BE6" s="95"/>
    </row>
    <row r="7" spans="1:57" s="96" customFormat="1" ht="14">
      <c r="A7" s="98"/>
      <c r="B7" s="99"/>
      <c r="C7" s="98"/>
      <c r="D7" s="90"/>
      <c r="E7" s="93"/>
      <c r="F7" s="94"/>
      <c r="G7" s="354" t="s">
        <v>843</v>
      </c>
      <c r="H7" s="351">
        <f>'TEA data'!U12</f>
        <v>190724.7601817773</v>
      </c>
      <c r="I7" s="168">
        <f>H7/H4/10^6</f>
        <v>8.8268111935465381</v>
      </c>
      <c r="J7" s="267">
        <f>SUM(I5:I7)</f>
        <v>16.6832913331851</v>
      </c>
      <c r="K7" s="176" t="s">
        <v>1123</v>
      </c>
      <c r="L7" s="177"/>
      <c r="M7" s="177"/>
      <c r="N7" s="178">
        <f>'CAPEX CALC'!F19</f>
        <v>937353.63340641302</v>
      </c>
      <c r="O7" s="178">
        <f>N7*2</f>
        <v>1874707.266812826</v>
      </c>
      <c r="P7" s="147"/>
      <c r="Q7" s="149"/>
      <c r="R7" s="147"/>
      <c r="S7" s="147"/>
      <c r="T7" s="154"/>
      <c r="U7" s="154"/>
      <c r="V7" s="147"/>
      <c r="W7" s="147"/>
      <c r="X7" s="147"/>
      <c r="Y7" s="147"/>
      <c r="Z7" s="147"/>
      <c r="AA7" s="147"/>
      <c r="AB7" s="147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  <c r="AS7" s="95"/>
      <c r="AT7" s="95"/>
      <c r="AU7" s="95"/>
      <c r="AV7" s="95"/>
      <c r="AW7" s="95"/>
      <c r="AX7" s="95"/>
      <c r="AY7" s="95"/>
      <c r="AZ7" s="95"/>
      <c r="BA7" s="95"/>
      <c r="BB7" s="95"/>
      <c r="BC7" s="95"/>
      <c r="BD7" s="95"/>
      <c r="BE7" s="95"/>
    </row>
    <row r="8" spans="1:57" s="96" customFormat="1" ht="14">
      <c r="A8" s="98" t="s">
        <v>773</v>
      </c>
      <c r="B8" s="103">
        <v>1</v>
      </c>
      <c r="C8" s="98"/>
      <c r="D8" s="90"/>
      <c r="E8" s="93"/>
      <c r="F8" s="94"/>
      <c r="G8" s="355" t="s">
        <v>1029</v>
      </c>
      <c r="H8" s="352"/>
      <c r="I8" s="264">
        <f>I9-SUM(I5:I7)</f>
        <v>20.014490521547824</v>
      </c>
      <c r="J8" s="154"/>
      <c r="K8" s="176" t="s">
        <v>853</v>
      </c>
      <c r="L8" s="177"/>
      <c r="M8" s="177"/>
      <c r="N8" s="178">
        <v>0</v>
      </c>
      <c r="O8" s="178"/>
      <c r="P8" s="147"/>
      <c r="Q8" s="149"/>
      <c r="R8" s="147"/>
      <c r="S8" s="147"/>
      <c r="T8" s="154"/>
      <c r="U8" s="154"/>
      <c r="V8" s="147"/>
      <c r="W8" s="147"/>
      <c r="X8" s="147"/>
      <c r="Y8" s="147"/>
      <c r="Z8" s="147"/>
      <c r="AA8" s="147"/>
      <c r="AB8" s="147"/>
      <c r="AC8" s="95"/>
      <c r="AD8" s="95"/>
      <c r="AE8" s="95"/>
      <c r="AF8" s="95"/>
      <c r="AG8" s="95"/>
      <c r="AH8" s="95"/>
      <c r="AI8" s="95"/>
      <c r="AJ8" s="95"/>
      <c r="AK8" s="95"/>
      <c r="AL8" s="95"/>
      <c r="AM8" s="95"/>
      <c r="AN8" s="95"/>
      <c r="AO8" s="95"/>
      <c r="AP8" s="95"/>
      <c r="AQ8" s="95"/>
      <c r="AR8" s="95"/>
      <c r="AS8" s="95"/>
      <c r="AT8" s="95"/>
      <c r="AU8" s="95"/>
      <c r="AV8" s="95"/>
      <c r="AW8" s="95"/>
      <c r="AX8" s="95"/>
      <c r="AY8" s="95"/>
      <c r="AZ8" s="95"/>
      <c r="BA8" s="95"/>
      <c r="BB8" s="95"/>
      <c r="BC8" s="95"/>
      <c r="BD8" s="95"/>
      <c r="BE8" s="95"/>
    </row>
    <row r="9" spans="1:57" s="96" customFormat="1" ht="14">
      <c r="A9" s="98" t="s">
        <v>774</v>
      </c>
      <c r="B9" s="104">
        <v>0.08</v>
      </c>
      <c r="C9" s="98"/>
      <c r="D9" s="90"/>
      <c r="E9" s="93"/>
      <c r="F9" s="94"/>
      <c r="G9" s="354" t="s">
        <v>1027</v>
      </c>
      <c r="H9" s="356">
        <f>B35</f>
        <v>36.697781854732924</v>
      </c>
      <c r="I9" s="168">
        <f>B35</f>
        <v>36.697781854732924</v>
      </c>
      <c r="J9" s="154"/>
      <c r="K9" s="181" t="s">
        <v>854</v>
      </c>
      <c r="L9" s="182"/>
      <c r="M9" s="182"/>
      <c r="N9" s="183">
        <v>0</v>
      </c>
      <c r="O9" s="216">
        <f>N9*1.75</f>
        <v>0</v>
      </c>
      <c r="P9" s="147"/>
      <c r="Q9" s="149"/>
      <c r="R9" s="147"/>
      <c r="S9" s="147"/>
      <c r="T9" s="154"/>
      <c r="U9" s="154"/>
      <c r="V9" s="147"/>
      <c r="W9" s="147"/>
      <c r="X9" s="147"/>
      <c r="Y9" s="147"/>
      <c r="Z9" s="147"/>
      <c r="AA9" s="147"/>
      <c r="AB9" s="147"/>
      <c r="AC9" s="95"/>
      <c r="AD9" s="95"/>
      <c r="AE9" s="95"/>
      <c r="AF9" s="95"/>
      <c r="AG9" s="95"/>
      <c r="AH9" s="95"/>
      <c r="AI9" s="95"/>
      <c r="AJ9" s="95"/>
      <c r="AK9" s="95"/>
      <c r="AL9" s="95"/>
      <c r="AM9" s="95"/>
      <c r="AN9" s="95"/>
      <c r="AO9" s="95"/>
      <c r="AP9" s="95"/>
      <c r="AQ9" s="95"/>
      <c r="AR9" s="95"/>
      <c r="AS9" s="95"/>
      <c r="AT9" s="95"/>
      <c r="AU9" s="95"/>
      <c r="AV9" s="95"/>
      <c r="AW9" s="95"/>
      <c r="AX9" s="95"/>
      <c r="AY9" s="95"/>
      <c r="AZ9" s="95"/>
      <c r="BA9" s="95"/>
      <c r="BB9" s="95"/>
      <c r="BC9" s="95"/>
      <c r="BD9" s="95"/>
      <c r="BE9" s="95"/>
    </row>
    <row r="10" spans="1:57" s="96" customFormat="1">
      <c r="A10" s="98" t="s">
        <v>775</v>
      </c>
      <c r="B10" s="105">
        <v>10</v>
      </c>
      <c r="C10" s="98"/>
      <c r="D10" s="90"/>
      <c r="E10" s="93"/>
      <c r="F10" s="94"/>
      <c r="J10" s="154"/>
      <c r="K10" s="211" t="s">
        <v>876</v>
      </c>
      <c r="L10" s="212"/>
      <c r="M10" s="212"/>
      <c r="N10" s="212"/>
      <c r="O10" s="337">
        <f>SUM(O4:O6)</f>
        <v>695828.8182988487</v>
      </c>
      <c r="P10" s="147"/>
      <c r="Q10" s="149"/>
      <c r="R10" s="147"/>
      <c r="S10" s="147"/>
      <c r="T10" s="154"/>
      <c r="U10" s="154"/>
      <c r="V10" s="147"/>
      <c r="W10" s="147"/>
      <c r="X10" s="147"/>
      <c r="Y10" s="147"/>
      <c r="Z10" s="147"/>
      <c r="AA10" s="147"/>
      <c r="AB10" s="147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  <c r="AN10" s="95"/>
      <c r="AO10" s="95"/>
      <c r="AP10" s="95"/>
      <c r="AQ10" s="95"/>
      <c r="AR10" s="95"/>
      <c r="AS10" s="95"/>
      <c r="AT10" s="95"/>
      <c r="AU10" s="95"/>
      <c r="AV10" s="95"/>
      <c r="AW10" s="95"/>
      <c r="AX10" s="95"/>
      <c r="AY10" s="95"/>
      <c r="AZ10" s="95"/>
      <c r="BA10" s="95"/>
      <c r="BB10" s="95"/>
      <c r="BC10" s="95"/>
      <c r="BD10" s="95"/>
      <c r="BE10" s="95"/>
    </row>
    <row r="11" spans="1:57" s="96" customFormat="1">
      <c r="A11" s="98" t="s">
        <v>776</v>
      </c>
      <c r="B11" s="106">
        <f>-PMT(B9,B10,FCI*(1-B8))</f>
        <v>0</v>
      </c>
      <c r="C11" s="98"/>
      <c r="D11" s="94"/>
      <c r="E11" s="94"/>
      <c r="F11" s="94"/>
      <c r="G11" s="149"/>
      <c r="H11" s="147"/>
      <c r="I11" s="147"/>
      <c r="J11" s="154"/>
      <c r="K11" s="211"/>
      <c r="L11" s="212"/>
      <c r="M11" s="212"/>
      <c r="N11" s="212"/>
      <c r="O11" s="180"/>
      <c r="P11" s="147"/>
      <c r="Q11" s="149"/>
      <c r="R11" s="147"/>
      <c r="S11" s="147"/>
      <c r="T11" s="154"/>
      <c r="U11" s="154"/>
      <c r="V11" s="147"/>
      <c r="W11" s="147"/>
      <c r="X11" s="147"/>
      <c r="Y11" s="147"/>
      <c r="Z11" s="147"/>
      <c r="AA11" s="147"/>
      <c r="AB11" s="147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  <c r="AT11" s="95"/>
      <c r="AU11" s="95"/>
      <c r="AV11" s="95"/>
      <c r="AW11" s="95"/>
      <c r="AX11" s="95"/>
      <c r="AY11" s="95"/>
      <c r="AZ11" s="95"/>
      <c r="BA11" s="95"/>
      <c r="BB11" s="95"/>
      <c r="BC11" s="95"/>
      <c r="BD11" s="95"/>
      <c r="BE11" s="95"/>
    </row>
    <row r="12" spans="1:57" s="96" customFormat="1">
      <c r="A12" s="95" t="s">
        <v>777</v>
      </c>
      <c r="B12" s="95"/>
      <c r="C12" s="90" t="s">
        <v>778</v>
      </c>
      <c r="D12" s="107">
        <v>4320</v>
      </c>
      <c r="E12" s="94"/>
      <c r="F12" s="94"/>
      <c r="G12" s="149"/>
      <c r="H12" s="147"/>
      <c r="I12" s="147"/>
      <c r="J12" s="154"/>
      <c r="K12" s="213"/>
      <c r="L12" s="214"/>
      <c r="M12" s="214"/>
      <c r="N12" s="214"/>
      <c r="O12" s="215"/>
      <c r="P12" s="147"/>
      <c r="Q12" s="149"/>
      <c r="R12" s="147"/>
      <c r="S12" s="147"/>
      <c r="T12" s="154"/>
      <c r="U12" s="154"/>
      <c r="V12" s="147"/>
      <c r="W12" s="147"/>
      <c r="X12" s="147"/>
      <c r="Y12" s="147"/>
      <c r="Z12" s="147"/>
      <c r="AA12" s="147"/>
      <c r="AB12" s="147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5"/>
      <c r="AR12" s="95"/>
      <c r="AS12" s="95"/>
      <c r="AT12" s="95"/>
      <c r="AU12" s="95"/>
      <c r="AV12" s="95"/>
      <c r="AW12" s="95"/>
      <c r="AX12" s="95"/>
      <c r="AY12" s="95"/>
      <c r="AZ12" s="95"/>
      <c r="BA12" s="95"/>
      <c r="BB12" s="95"/>
      <c r="BC12" s="95"/>
      <c r="BD12" s="95"/>
      <c r="BE12" s="95"/>
    </row>
    <row r="13" spans="1:57" s="96" customFormat="1" ht="14" thickBot="1">
      <c r="A13" s="98" t="s">
        <v>779</v>
      </c>
      <c r="B13" s="106">
        <v>0</v>
      </c>
      <c r="C13" s="90" t="s">
        <v>780</v>
      </c>
      <c r="D13" s="108">
        <v>0</v>
      </c>
      <c r="E13" s="94"/>
      <c r="F13" s="94"/>
      <c r="G13" s="156"/>
      <c r="H13" s="157"/>
      <c r="I13" s="157"/>
      <c r="J13" s="157"/>
      <c r="K13" s="184" t="s">
        <v>855</v>
      </c>
      <c r="L13" s="185"/>
      <c r="M13" s="185"/>
      <c r="N13" s="186">
        <f>SUM(N3:N10)</f>
        <v>1277611.4768508654</v>
      </c>
      <c r="O13" s="206">
        <f>SUM(O3:O9)</f>
        <v>2575032.5246708095</v>
      </c>
      <c r="P13" s="147"/>
      <c r="Q13" s="156"/>
      <c r="R13" s="157"/>
      <c r="S13" s="157"/>
      <c r="T13" s="157"/>
      <c r="U13" s="158"/>
      <c r="V13" s="147"/>
      <c r="W13" s="147"/>
      <c r="X13" s="147"/>
      <c r="Y13" s="147"/>
      <c r="Z13" s="147"/>
      <c r="AA13" s="147"/>
      <c r="AB13" s="147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  <c r="AS13" s="95"/>
      <c r="AT13" s="95"/>
      <c r="AU13" s="95"/>
      <c r="AV13" s="95"/>
      <c r="AW13" s="95"/>
      <c r="AX13" s="95"/>
      <c r="AY13" s="95"/>
      <c r="AZ13" s="95"/>
      <c r="BA13" s="95"/>
      <c r="BB13" s="95"/>
      <c r="BC13" s="95"/>
      <c r="BD13" s="95"/>
      <c r="BE13" s="95"/>
    </row>
    <row r="14" spans="1:57" s="96" customFormat="1">
      <c r="A14" s="95"/>
      <c r="B14" s="95"/>
      <c r="C14" s="90" t="s">
        <v>781</v>
      </c>
      <c r="D14" s="107">
        <v>1998</v>
      </c>
      <c r="E14" s="94"/>
      <c r="F14" s="94"/>
      <c r="G14" s="159"/>
      <c r="H14" s="147"/>
      <c r="I14" s="148"/>
      <c r="J14" s="149"/>
      <c r="K14" s="187" t="s">
        <v>856</v>
      </c>
      <c r="L14" s="177"/>
      <c r="M14" s="188">
        <v>0.04</v>
      </c>
      <c r="N14" s="189" t="s">
        <v>857</v>
      </c>
      <c r="O14" s="179">
        <f>M14*ISBL</f>
        <v>27833.152731953949</v>
      </c>
      <c r="P14" s="147"/>
      <c r="Q14" s="159"/>
      <c r="R14" s="147"/>
      <c r="S14" s="148"/>
      <c r="T14" s="149"/>
      <c r="U14" s="154"/>
      <c r="V14" s="147"/>
      <c r="W14" s="147"/>
      <c r="X14" s="147"/>
      <c r="Y14" s="147"/>
      <c r="Z14" s="147"/>
      <c r="AA14" s="147"/>
      <c r="AB14" s="147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  <c r="AX14" s="95"/>
      <c r="AY14" s="95"/>
      <c r="AZ14" s="95"/>
      <c r="BA14" s="95"/>
      <c r="BB14" s="95"/>
      <c r="BC14" s="95"/>
      <c r="BD14" s="95"/>
      <c r="BE14" s="95"/>
    </row>
    <row r="15" spans="1:57" s="96" customFormat="1">
      <c r="A15" s="95"/>
      <c r="B15" s="95"/>
      <c r="C15" s="95"/>
      <c r="D15" s="93"/>
      <c r="E15" s="93"/>
      <c r="F15" s="94"/>
      <c r="G15" s="149"/>
      <c r="H15" s="147"/>
      <c r="I15" s="148"/>
      <c r="J15" s="149"/>
      <c r="K15" s="190" t="s">
        <v>858</v>
      </c>
      <c r="L15" s="177"/>
      <c r="M15" s="188">
        <v>0.09</v>
      </c>
      <c r="N15" s="189" t="s">
        <v>857</v>
      </c>
      <c r="O15" s="179">
        <f>M15*ISBL</f>
        <v>62624.593646896377</v>
      </c>
      <c r="P15" s="147"/>
      <c r="Q15" s="149"/>
      <c r="R15" s="147"/>
      <c r="S15" s="148"/>
      <c r="T15" s="149"/>
      <c r="U15" s="154"/>
      <c r="V15" s="147"/>
      <c r="W15" s="147"/>
      <c r="X15" s="147"/>
      <c r="Y15" s="147"/>
      <c r="Z15" s="147"/>
      <c r="AA15" s="147"/>
      <c r="AB15" s="147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P15" s="95"/>
      <c r="AQ15" s="95"/>
      <c r="AR15" s="95"/>
      <c r="AS15" s="95"/>
      <c r="AT15" s="95"/>
      <c r="AU15" s="95"/>
      <c r="AV15" s="95"/>
      <c r="AW15" s="95"/>
      <c r="AX15" s="95"/>
      <c r="AY15" s="95"/>
      <c r="AZ15" s="95"/>
      <c r="BA15" s="95"/>
      <c r="BB15" s="95"/>
      <c r="BC15" s="95"/>
      <c r="BD15" s="95"/>
      <c r="BE15" s="95"/>
    </row>
    <row r="16" spans="1:57" s="96" customFormat="1">
      <c r="A16" s="98" t="s">
        <v>782</v>
      </c>
      <c r="B16" s="109">
        <v>0.05</v>
      </c>
      <c r="C16" s="95"/>
      <c r="D16" s="93"/>
      <c r="E16" s="93"/>
      <c r="F16" s="94"/>
      <c r="G16" s="147"/>
      <c r="H16" s="147"/>
      <c r="I16" s="148"/>
      <c r="J16" s="149"/>
      <c r="K16" s="191" t="s">
        <v>859</v>
      </c>
      <c r="L16" s="177"/>
      <c r="M16" s="188">
        <v>4.4999999999999998E-2</v>
      </c>
      <c r="N16" s="189" t="s">
        <v>857</v>
      </c>
      <c r="O16" s="179">
        <f>M16*ISBL</f>
        <v>31312.296823448189</v>
      </c>
      <c r="P16" s="147"/>
      <c r="Q16" s="147"/>
      <c r="R16" s="147"/>
      <c r="S16" s="148"/>
      <c r="T16" s="149"/>
      <c r="U16" s="154"/>
      <c r="V16" s="147"/>
      <c r="W16" s="147"/>
      <c r="X16" s="147"/>
      <c r="Y16" s="147"/>
      <c r="Z16" s="147"/>
      <c r="AA16" s="147"/>
      <c r="AB16" s="147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P16" s="95"/>
      <c r="AQ16" s="95"/>
      <c r="AR16" s="95"/>
      <c r="AS16" s="95"/>
      <c r="AT16" s="95"/>
      <c r="AU16" s="95"/>
      <c r="AV16" s="95"/>
      <c r="AW16" s="95"/>
      <c r="AX16" s="95"/>
      <c r="AY16" s="95"/>
      <c r="AZ16" s="95"/>
      <c r="BA16" s="95"/>
      <c r="BB16" s="95"/>
      <c r="BC16" s="95"/>
      <c r="BD16" s="95"/>
      <c r="BE16" s="95"/>
    </row>
    <row r="17" spans="1:57" s="96" customFormat="1">
      <c r="A17" s="110" t="s">
        <v>783</v>
      </c>
      <c r="B17" s="90"/>
      <c r="C17" s="90"/>
      <c r="D17" s="93"/>
      <c r="E17" s="93"/>
      <c r="F17" s="94"/>
      <c r="G17" s="156"/>
      <c r="H17" s="147"/>
      <c r="I17" s="150"/>
      <c r="J17" s="149"/>
      <c r="K17" s="192" t="s">
        <v>860</v>
      </c>
      <c r="L17" s="177"/>
      <c r="M17" s="193"/>
      <c r="N17" s="189"/>
      <c r="O17" s="194">
        <f>SUM(O13:O16)</f>
        <v>2696802.5678731082</v>
      </c>
      <c r="P17" s="147"/>
      <c r="Q17" s="156"/>
      <c r="R17" s="147"/>
      <c r="S17" s="150"/>
      <c r="T17" s="149"/>
      <c r="U17" s="157"/>
      <c r="V17" s="147"/>
      <c r="W17" s="147"/>
      <c r="X17" s="147"/>
      <c r="Y17" s="147"/>
      <c r="Z17" s="147"/>
      <c r="AA17" s="147"/>
      <c r="AB17" s="147"/>
      <c r="AC17" s="95"/>
      <c r="AD17" s="95"/>
      <c r="AE17" s="95"/>
      <c r="AF17" s="95"/>
      <c r="AG17" s="95"/>
      <c r="AH17" s="9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</row>
    <row r="18" spans="1:57" s="96" customFormat="1">
      <c r="A18" s="90" t="s">
        <v>771</v>
      </c>
      <c r="B18" s="107">
        <v>0</v>
      </c>
      <c r="C18" s="90" t="s">
        <v>784</v>
      </c>
      <c r="D18" s="93"/>
      <c r="E18" s="93"/>
      <c r="F18" s="94"/>
      <c r="G18" s="149"/>
      <c r="H18" s="147"/>
      <c r="I18" s="148"/>
      <c r="J18" s="149"/>
      <c r="K18" s="190" t="s">
        <v>861</v>
      </c>
      <c r="L18" s="177"/>
      <c r="M18" s="188">
        <v>0.1</v>
      </c>
      <c r="N18" s="189" t="s">
        <v>862</v>
      </c>
      <c r="O18" s="179">
        <f>M18*O17</f>
        <v>269680.25678731082</v>
      </c>
      <c r="P18" s="147"/>
      <c r="Q18" s="149"/>
      <c r="R18" s="147"/>
      <c r="S18" s="148"/>
      <c r="T18" s="149"/>
      <c r="U18" s="154"/>
      <c r="V18" s="147"/>
      <c r="W18" s="147"/>
      <c r="X18" s="147"/>
      <c r="Y18" s="147"/>
      <c r="Z18" s="147"/>
      <c r="AA18" s="147"/>
      <c r="AB18" s="147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</row>
    <row r="19" spans="1:57" s="96" customFormat="1">
      <c r="A19" s="90" t="s">
        <v>772</v>
      </c>
      <c r="B19" s="107">
        <v>0</v>
      </c>
      <c r="C19" s="90" t="s">
        <v>784</v>
      </c>
      <c r="D19" s="93"/>
      <c r="E19" s="93"/>
      <c r="F19" s="94"/>
      <c r="G19" s="149"/>
      <c r="H19" s="147"/>
      <c r="I19" s="148"/>
      <c r="J19" s="149"/>
      <c r="K19" s="190" t="s">
        <v>863</v>
      </c>
      <c r="L19" s="177"/>
      <c r="M19" s="188">
        <v>0.1</v>
      </c>
      <c r="N19" s="189" t="s">
        <v>862</v>
      </c>
      <c r="O19" s="179">
        <f>M19*O17</f>
        <v>269680.25678731082</v>
      </c>
      <c r="P19" s="147"/>
      <c r="Q19" s="149"/>
      <c r="R19" s="147"/>
      <c r="S19" s="148"/>
      <c r="T19" s="149"/>
      <c r="U19" s="154"/>
      <c r="V19" s="147"/>
      <c r="W19" s="147"/>
      <c r="X19" s="147"/>
      <c r="Y19" s="147"/>
      <c r="Z19" s="147"/>
      <c r="AA19" s="147"/>
      <c r="AB19" s="147"/>
      <c r="AC19" s="95"/>
      <c r="AD19" s="95"/>
      <c r="AE19" s="95"/>
      <c r="AF19" s="95"/>
      <c r="AG19" s="95"/>
      <c r="AH19" s="95"/>
      <c r="AI19" s="95"/>
      <c r="AJ19" s="95"/>
      <c r="AK19" s="95"/>
      <c r="AL19" s="95"/>
      <c r="AM19" s="95"/>
      <c r="AN19" s="95"/>
      <c r="AO19" s="95"/>
      <c r="AP19" s="95"/>
      <c r="AQ19" s="95"/>
      <c r="AR19" s="95"/>
      <c r="AS19" s="95"/>
      <c r="AT19" s="95"/>
      <c r="AU19" s="95"/>
      <c r="AV19" s="95"/>
      <c r="AW19" s="95"/>
      <c r="AX19" s="95"/>
      <c r="AY19" s="95"/>
      <c r="AZ19" s="95"/>
      <c r="BA19" s="95"/>
      <c r="BB19" s="95"/>
      <c r="BC19" s="95"/>
      <c r="BD19" s="95"/>
      <c r="BE19" s="95"/>
    </row>
    <row r="20" spans="1:57" s="96" customFormat="1">
      <c r="A20" s="110" t="s">
        <v>785</v>
      </c>
      <c r="B20" s="100"/>
      <c r="C20" s="90"/>
      <c r="D20" s="93"/>
      <c r="E20" s="93"/>
      <c r="F20" s="94"/>
      <c r="G20" s="149"/>
      <c r="H20" s="147"/>
      <c r="I20" s="148"/>
      <c r="J20" s="149"/>
      <c r="K20" s="190" t="s">
        <v>864</v>
      </c>
      <c r="L20" s="177"/>
      <c r="M20" s="188">
        <v>0.2</v>
      </c>
      <c r="N20" s="189" t="s">
        <v>862</v>
      </c>
      <c r="O20" s="179">
        <f>M20*O17</f>
        <v>539360.51357462164</v>
      </c>
      <c r="P20" s="147"/>
      <c r="Q20" s="149"/>
      <c r="R20" s="147"/>
      <c r="S20" s="148"/>
      <c r="T20" s="149"/>
      <c r="U20" s="154"/>
      <c r="V20" s="147"/>
      <c r="W20" s="147"/>
      <c r="X20" s="147"/>
      <c r="Y20" s="147"/>
      <c r="Z20" s="147"/>
      <c r="AA20" s="147"/>
      <c r="AB20" s="147"/>
      <c r="AC20" s="95"/>
      <c r="AD20" s="95"/>
      <c r="AE20" s="95"/>
      <c r="AF20" s="95"/>
      <c r="AG20" s="95"/>
      <c r="AH20" s="95"/>
      <c r="AI20" s="95"/>
      <c r="AJ20" s="95"/>
      <c r="AK20" s="95"/>
      <c r="AL20" s="95"/>
      <c r="AM20" s="95"/>
      <c r="AN20" s="95"/>
      <c r="AO20" s="95"/>
      <c r="AP20" s="95"/>
      <c r="AQ20" s="95"/>
      <c r="AR20" s="95"/>
      <c r="AS20" s="95"/>
      <c r="AT20" s="95"/>
      <c r="AU20" s="95"/>
      <c r="AV20" s="95"/>
      <c r="AW20" s="95"/>
      <c r="AX20" s="95"/>
      <c r="AY20" s="95"/>
      <c r="AZ20" s="95"/>
      <c r="BA20" s="95"/>
      <c r="BB20" s="95"/>
      <c r="BC20" s="95"/>
      <c r="BD20" s="95"/>
      <c r="BE20" s="95"/>
    </row>
    <row r="21" spans="1:57" s="96" customFormat="1">
      <c r="A21" s="90" t="s">
        <v>771</v>
      </c>
      <c r="B21" s="107">
        <v>7</v>
      </c>
      <c r="C21" s="90" t="s">
        <v>786</v>
      </c>
      <c r="D21" s="93"/>
      <c r="E21" s="93"/>
      <c r="F21" s="94"/>
      <c r="G21" s="149"/>
      <c r="H21" s="147"/>
      <c r="I21" s="148"/>
      <c r="J21" s="149"/>
      <c r="K21" s="190" t="s">
        <v>865</v>
      </c>
      <c r="L21" s="177"/>
      <c r="M21" s="188">
        <v>0.1</v>
      </c>
      <c r="N21" s="189" t="s">
        <v>862</v>
      </c>
      <c r="O21" s="179">
        <f>M21*O17</f>
        <v>269680.25678731082</v>
      </c>
      <c r="P21" s="147"/>
      <c r="Q21" s="149"/>
      <c r="R21" s="147"/>
      <c r="S21" s="148"/>
      <c r="T21" s="149"/>
      <c r="U21" s="154"/>
      <c r="V21" s="147"/>
      <c r="W21" s="147"/>
      <c r="X21" s="147"/>
      <c r="Y21" s="147"/>
      <c r="Z21" s="147"/>
      <c r="AA21" s="147"/>
      <c r="AB21" s="147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</row>
    <row r="22" spans="1:57" s="96" customFormat="1">
      <c r="A22" s="90" t="s">
        <v>787</v>
      </c>
      <c r="B22" s="107">
        <v>20</v>
      </c>
      <c r="C22" s="90" t="s">
        <v>786</v>
      </c>
      <c r="D22" s="93"/>
      <c r="E22" s="93"/>
      <c r="F22" s="94"/>
      <c r="G22" s="149"/>
      <c r="H22" s="147"/>
      <c r="I22" s="148"/>
      <c r="J22" s="149"/>
      <c r="K22" s="190" t="s">
        <v>866</v>
      </c>
      <c r="L22" s="177"/>
      <c r="M22" s="188">
        <v>0.1</v>
      </c>
      <c r="N22" s="189" t="s">
        <v>862</v>
      </c>
      <c r="O22" s="179">
        <f>M22*O17</f>
        <v>269680.25678731082</v>
      </c>
      <c r="P22" s="147"/>
      <c r="Q22" s="149"/>
      <c r="R22" s="147"/>
      <c r="S22" s="148"/>
      <c r="T22" s="149"/>
      <c r="U22" s="154"/>
      <c r="V22" s="147"/>
      <c r="W22" s="147"/>
      <c r="X22" s="147"/>
      <c r="Y22" s="147"/>
      <c r="Z22" s="147"/>
      <c r="AA22" s="147"/>
      <c r="AB22" s="147"/>
      <c r="AC22" s="95"/>
      <c r="AD22" s="95"/>
      <c r="AE22" s="95"/>
      <c r="AF22" s="95"/>
      <c r="AG22" s="95"/>
      <c r="AH22" s="95"/>
      <c r="AI22" s="95"/>
      <c r="AJ22" s="95"/>
      <c r="AK22" s="95"/>
      <c r="AL22" s="95"/>
      <c r="AM22" s="95"/>
      <c r="AN22" s="95"/>
      <c r="AO22" s="95"/>
      <c r="AP22" s="95"/>
      <c r="AQ22" s="95"/>
      <c r="AR22" s="95"/>
      <c r="AS22" s="95"/>
      <c r="AT22" s="95"/>
      <c r="AU22" s="95"/>
      <c r="AV22" s="95"/>
      <c r="AW22" s="95"/>
      <c r="AX22" s="95"/>
      <c r="AY22" s="95"/>
      <c r="AZ22" s="95"/>
      <c r="BA22" s="95"/>
      <c r="BB22" s="95"/>
      <c r="BC22" s="95"/>
      <c r="BD22" s="95"/>
      <c r="BE22" s="95"/>
    </row>
    <row r="23" spans="1:57" s="96" customFormat="1">
      <c r="A23" s="110" t="s">
        <v>788</v>
      </c>
      <c r="B23" s="107">
        <v>3</v>
      </c>
      <c r="C23" s="90"/>
      <c r="D23" s="93"/>
      <c r="E23" s="93"/>
      <c r="F23" s="94"/>
      <c r="G23" s="160"/>
      <c r="H23" s="147"/>
      <c r="I23" s="147"/>
      <c r="J23" s="147"/>
      <c r="K23" s="195" t="s">
        <v>867</v>
      </c>
      <c r="L23" s="177"/>
      <c r="M23" s="177"/>
      <c r="N23" s="177"/>
      <c r="O23" s="196">
        <f>SUM(O18:O22)</f>
        <v>1618081.5407238649</v>
      </c>
      <c r="P23" s="147"/>
      <c r="Q23" s="160"/>
      <c r="R23" s="147"/>
      <c r="S23" s="147"/>
      <c r="T23" s="147"/>
      <c r="U23" s="161"/>
      <c r="V23" s="147"/>
      <c r="W23" s="147"/>
      <c r="X23" s="147"/>
      <c r="Y23" s="147"/>
      <c r="Z23" s="147"/>
      <c r="AA23" s="147"/>
      <c r="AB23" s="147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5"/>
      <c r="AN23" s="95"/>
      <c r="AO23" s="95"/>
      <c r="AP23" s="95"/>
      <c r="AQ23" s="95"/>
      <c r="AR23" s="95"/>
      <c r="AS23" s="95"/>
      <c r="AT23" s="95"/>
      <c r="AU23" s="95"/>
      <c r="AV23" s="95"/>
      <c r="AW23" s="95"/>
      <c r="AX23" s="95"/>
      <c r="AY23" s="95"/>
      <c r="AZ23" s="95"/>
      <c r="BA23" s="95"/>
      <c r="BB23" s="95"/>
      <c r="BC23" s="95"/>
      <c r="BD23" s="95"/>
      <c r="BE23" s="95"/>
    </row>
    <row r="24" spans="1:57" s="96" customFormat="1">
      <c r="A24" s="110" t="s">
        <v>789</v>
      </c>
      <c r="B24" s="111">
        <v>0.08</v>
      </c>
      <c r="C24" s="90"/>
      <c r="D24" s="93"/>
      <c r="E24" s="93"/>
      <c r="F24" s="94"/>
      <c r="G24" s="152"/>
      <c r="H24" s="147"/>
      <c r="I24" s="147"/>
      <c r="J24" s="147"/>
      <c r="K24" s="197" t="s">
        <v>868</v>
      </c>
      <c r="L24" s="177"/>
      <c r="M24" s="177"/>
      <c r="N24" s="177"/>
      <c r="O24" s="194">
        <f>O17+O23</f>
        <v>4314884.1085969731</v>
      </c>
      <c r="P24" s="147"/>
      <c r="Q24" s="152"/>
      <c r="R24" s="147"/>
      <c r="S24" s="147"/>
      <c r="T24" s="147"/>
      <c r="U24" s="157"/>
      <c r="V24" s="147"/>
      <c r="W24" s="147"/>
      <c r="X24" s="147"/>
      <c r="Y24" s="147"/>
      <c r="Z24" s="147"/>
      <c r="AA24" s="147"/>
      <c r="AB24" s="147"/>
      <c r="AC24" s="95"/>
      <c r="AD24" s="95"/>
      <c r="AE24" s="95"/>
      <c r="AF24" s="95"/>
      <c r="AG24" s="95"/>
      <c r="AH24" s="95"/>
      <c r="AI24" s="95"/>
      <c r="AJ24" s="95"/>
      <c r="AK24" s="95"/>
      <c r="AL24" s="95"/>
      <c r="AM24" s="95"/>
      <c r="AN24" s="95"/>
      <c r="AO24" s="95"/>
      <c r="AP24" s="95"/>
      <c r="AQ24" s="95"/>
      <c r="AR24" s="95"/>
      <c r="AS24" s="95"/>
      <c r="AT24" s="95"/>
      <c r="AU24" s="95"/>
      <c r="AV24" s="95"/>
      <c r="AW24" s="95"/>
      <c r="AX24" s="95"/>
      <c r="AY24" s="95"/>
      <c r="AZ24" s="95"/>
      <c r="BA24" s="95"/>
      <c r="BB24" s="95"/>
      <c r="BC24" s="95"/>
      <c r="BD24" s="95"/>
      <c r="BE24" s="95"/>
    </row>
    <row r="25" spans="1:57" s="96" customFormat="1">
      <c r="A25" s="110" t="s">
        <v>790</v>
      </c>
      <c r="B25" s="111">
        <v>0.6</v>
      </c>
      <c r="C25" s="90"/>
      <c r="D25" s="93"/>
      <c r="E25" s="93"/>
      <c r="F25" s="94"/>
      <c r="G25" s="147"/>
      <c r="H25" s="147"/>
      <c r="I25" s="147"/>
      <c r="J25" s="147"/>
      <c r="K25" s="191" t="s">
        <v>869</v>
      </c>
      <c r="L25" s="177"/>
      <c r="M25" s="177"/>
      <c r="N25" s="177"/>
      <c r="O25" s="179">
        <f>H4*H5</f>
        <v>93233.583315569165</v>
      </c>
      <c r="P25" s="147"/>
      <c r="Q25" s="147"/>
      <c r="R25" s="147"/>
      <c r="S25" s="147"/>
      <c r="T25" s="147"/>
      <c r="U25" s="154"/>
      <c r="V25" s="147"/>
      <c r="W25" s="147"/>
      <c r="X25" s="147"/>
      <c r="Y25" s="147"/>
      <c r="Z25" s="147"/>
      <c r="AA25" s="147"/>
      <c r="AB25" s="147"/>
      <c r="AC25" s="95"/>
      <c r="AD25" s="95"/>
      <c r="AE25" s="95"/>
      <c r="AF25" s="95"/>
      <c r="AG25" s="95"/>
      <c r="AH25" s="95"/>
      <c r="AI25" s="95"/>
      <c r="AJ25" s="95"/>
      <c r="AK25" s="95"/>
      <c r="AL25" s="95"/>
      <c r="AM25" s="95"/>
      <c r="AN25" s="95"/>
      <c r="AO25" s="95"/>
      <c r="AP25" s="95"/>
      <c r="AQ25" s="95"/>
      <c r="AR25" s="95"/>
      <c r="AS25" s="95"/>
      <c r="AT25" s="95"/>
      <c r="AU25" s="95"/>
      <c r="AV25" s="95"/>
      <c r="AW25" s="95"/>
      <c r="AX25" s="95"/>
      <c r="AY25" s="95"/>
      <c r="AZ25" s="95"/>
      <c r="BA25" s="95"/>
      <c r="BB25" s="95"/>
      <c r="BC25" s="95"/>
      <c r="BD25" s="95"/>
      <c r="BE25" s="95"/>
    </row>
    <row r="26" spans="1:57" s="96" customFormat="1">
      <c r="A26" s="110" t="s">
        <v>791</v>
      </c>
      <c r="B26" s="112">
        <f>1-SUM(B24:B25)</f>
        <v>0.32000000000000006</v>
      </c>
      <c r="C26" s="90"/>
      <c r="D26" s="93"/>
      <c r="E26" s="93"/>
      <c r="F26" s="94"/>
      <c r="G26" s="147"/>
      <c r="H26" s="147"/>
      <c r="I26" s="148"/>
      <c r="J26" s="149"/>
      <c r="K26" s="191" t="s">
        <v>870</v>
      </c>
      <c r="L26" s="177"/>
      <c r="M26" s="188">
        <v>0.05</v>
      </c>
      <c r="N26" s="189" t="s">
        <v>871</v>
      </c>
      <c r="O26" s="179">
        <f>M26*O24</f>
        <v>215744.20542984866</v>
      </c>
      <c r="P26" s="147"/>
      <c r="Q26" s="147"/>
      <c r="R26" s="147"/>
      <c r="S26" s="148"/>
      <c r="T26" s="149"/>
      <c r="U26" s="154"/>
      <c r="V26" s="147"/>
      <c r="W26" s="147"/>
      <c r="X26" s="147"/>
      <c r="Y26" s="147"/>
      <c r="Z26" s="147"/>
      <c r="AA26" s="147"/>
      <c r="AB26" s="147"/>
      <c r="AC26" s="95"/>
      <c r="AD26" s="95"/>
      <c r="AE26" s="95"/>
      <c r="AF26" s="95"/>
      <c r="AG26" s="95"/>
      <c r="AH26" s="95"/>
      <c r="AI26" s="95"/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5"/>
      <c r="AX26" s="95"/>
      <c r="AY26" s="95"/>
      <c r="AZ26" s="95"/>
      <c r="BA26" s="95"/>
      <c r="BB26" s="95"/>
      <c r="BC26" s="95"/>
      <c r="BD26" s="95"/>
      <c r="BE26" s="95"/>
    </row>
    <row r="27" spans="1:57" s="96" customFormat="1">
      <c r="A27" s="98" t="s">
        <v>792</v>
      </c>
      <c r="B27" s="114">
        <v>0.5</v>
      </c>
      <c r="C27" s="90"/>
      <c r="D27" s="93"/>
      <c r="E27" s="93"/>
      <c r="F27" s="94"/>
      <c r="G27" s="162"/>
      <c r="H27" s="147"/>
      <c r="I27" s="147"/>
      <c r="J27" s="149"/>
      <c r="K27" s="198" t="s">
        <v>872</v>
      </c>
      <c r="L27" s="177"/>
      <c r="M27" s="177"/>
      <c r="N27" s="189"/>
      <c r="O27" s="194">
        <f>FCI+O26+O25</f>
        <v>4623861.8973423904</v>
      </c>
      <c r="P27" s="147"/>
      <c r="Q27" s="162"/>
      <c r="R27" s="147"/>
      <c r="S27" s="147"/>
      <c r="T27" s="149"/>
      <c r="U27" s="157"/>
      <c r="V27" s="147"/>
      <c r="W27" s="147"/>
      <c r="X27" s="147"/>
      <c r="Y27" s="147"/>
      <c r="Z27" s="147"/>
      <c r="AA27" s="147"/>
      <c r="AB27" s="147"/>
      <c r="AC27" s="95"/>
      <c r="AD27" s="95"/>
      <c r="AE27" s="95"/>
      <c r="AF27" s="95"/>
      <c r="AG27" s="95"/>
      <c r="AH27" s="95"/>
      <c r="AI27" s="95"/>
      <c r="AJ27" s="95"/>
      <c r="AK27" s="95"/>
      <c r="AL27" s="95"/>
      <c r="AM27" s="95"/>
      <c r="AN27" s="95"/>
      <c r="AO27" s="95"/>
      <c r="AP27" s="95"/>
      <c r="AQ27" s="95"/>
      <c r="AR27" s="95"/>
      <c r="AS27" s="95"/>
      <c r="AT27" s="95"/>
      <c r="AU27" s="95"/>
      <c r="AV27" s="95"/>
      <c r="AW27" s="95"/>
      <c r="AX27" s="95"/>
      <c r="AY27" s="95"/>
      <c r="AZ27" s="95"/>
      <c r="BA27" s="95"/>
      <c r="BB27" s="95"/>
      <c r="BC27" s="95"/>
      <c r="BD27" s="95"/>
      <c r="BE27" s="95"/>
    </row>
    <row r="28" spans="1:57" s="96" customFormat="1">
      <c r="A28" s="110" t="s">
        <v>793</v>
      </c>
      <c r="B28" s="111">
        <v>0.5</v>
      </c>
      <c r="C28" s="90"/>
      <c r="D28" s="93"/>
      <c r="E28" s="93"/>
      <c r="F28" s="94"/>
      <c r="G28" s="147"/>
      <c r="H28" s="147"/>
      <c r="I28" s="147"/>
      <c r="J28" s="147"/>
      <c r="K28" s="191"/>
      <c r="L28" s="177"/>
      <c r="M28" s="177"/>
      <c r="N28" s="177"/>
      <c r="O28" s="199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95"/>
      <c r="AD28" s="95"/>
      <c r="AE28" s="95"/>
      <c r="AF28" s="95"/>
      <c r="AG28" s="95"/>
      <c r="AH28" s="95"/>
      <c r="AI28" s="95"/>
      <c r="AJ28" s="95"/>
      <c r="AK28" s="95"/>
      <c r="AL28" s="95"/>
      <c r="AM28" s="95"/>
      <c r="AN28" s="95"/>
      <c r="AO28" s="95"/>
      <c r="AP28" s="95"/>
      <c r="AQ28" s="95"/>
      <c r="AR28" s="95"/>
      <c r="AS28" s="95"/>
      <c r="AT28" s="95"/>
      <c r="AU28" s="95"/>
      <c r="AV28" s="95"/>
      <c r="AW28" s="95"/>
      <c r="AX28" s="95"/>
      <c r="AY28" s="95"/>
      <c r="AZ28" s="95"/>
      <c r="BA28" s="95"/>
      <c r="BB28" s="95"/>
      <c r="BC28" s="95"/>
      <c r="BD28" s="95"/>
      <c r="BE28" s="95"/>
    </row>
    <row r="29" spans="1:57" s="96" customFormat="1">
      <c r="A29" s="110" t="s">
        <v>794</v>
      </c>
      <c r="B29" s="111">
        <v>0.75</v>
      </c>
      <c r="C29" s="90"/>
      <c r="D29" s="93"/>
      <c r="E29" s="93"/>
      <c r="F29" s="94"/>
      <c r="G29" s="149"/>
      <c r="H29" s="147"/>
      <c r="I29" s="147"/>
      <c r="J29" s="149"/>
      <c r="K29" s="190" t="s">
        <v>873</v>
      </c>
      <c r="L29" s="177"/>
      <c r="M29" s="177"/>
      <c r="N29" s="189"/>
      <c r="O29" s="200">
        <f>O24/CAPEX</f>
        <v>3.3773053755219564</v>
      </c>
      <c r="P29" s="147"/>
      <c r="Q29" s="149"/>
      <c r="R29" s="147"/>
      <c r="S29" s="147"/>
      <c r="T29" s="149"/>
      <c r="U29" s="164"/>
      <c r="V29" s="147"/>
      <c r="W29" s="147"/>
      <c r="X29" s="147"/>
      <c r="Y29" s="147"/>
      <c r="Z29" s="147"/>
      <c r="AA29" s="147"/>
      <c r="AB29" s="147"/>
      <c r="AC29" s="95"/>
      <c r="AD29" s="95"/>
      <c r="AE29" s="95"/>
      <c r="AF29" s="95"/>
      <c r="AG29" s="95"/>
      <c r="AH29" s="95"/>
      <c r="AI29" s="95"/>
      <c r="AJ29" s="95"/>
      <c r="AK29" s="95"/>
      <c r="AL29" s="95"/>
      <c r="AM29" s="95"/>
      <c r="AN29" s="95"/>
      <c r="AO29" s="95"/>
      <c r="AP29" s="95"/>
      <c r="AQ29" s="95"/>
      <c r="AR29" s="95"/>
      <c r="AS29" s="95"/>
      <c r="AT29" s="95"/>
      <c r="AU29" s="95"/>
      <c r="AV29" s="95"/>
      <c r="AW29" s="95"/>
      <c r="AX29" s="95"/>
      <c r="AY29" s="95"/>
      <c r="AZ29" s="95"/>
      <c r="BA29" s="95"/>
      <c r="BB29" s="95"/>
      <c r="BC29" s="95"/>
      <c r="BD29" s="95"/>
      <c r="BE29" s="95"/>
    </row>
    <row r="30" spans="1:57" s="96" customFormat="1">
      <c r="A30" s="110" t="s">
        <v>795</v>
      </c>
      <c r="B30" s="111">
        <v>1</v>
      </c>
      <c r="C30" s="90"/>
      <c r="D30" s="93"/>
      <c r="E30" s="93"/>
      <c r="F30" s="94"/>
      <c r="G30" s="147"/>
      <c r="H30" s="147"/>
      <c r="I30" s="147"/>
      <c r="J30" s="147"/>
      <c r="K30" s="191" t="s">
        <v>874</v>
      </c>
      <c r="L30" s="177"/>
      <c r="M30" s="177"/>
      <c r="N30" s="177"/>
      <c r="O30" s="201" t="str">
        <f>TEXT(H5/H4/10^6,"$#.##") &amp; "/MMBTU"</f>
        <v>$199.69/MMBTU</v>
      </c>
      <c r="P30" s="147"/>
      <c r="Q30" s="147"/>
      <c r="R30" s="147"/>
      <c r="S30" s="147"/>
      <c r="T30" s="147"/>
      <c r="U30" s="165"/>
      <c r="V30" s="147"/>
      <c r="W30" s="147"/>
      <c r="X30" s="147"/>
      <c r="Y30" s="147"/>
      <c r="Z30" s="147"/>
      <c r="AA30" s="147"/>
      <c r="AB30" s="147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</row>
    <row r="31" spans="1:57" s="96" customFormat="1">
      <c r="A31" s="90" t="s">
        <v>796</v>
      </c>
      <c r="B31" s="115">
        <v>0.05</v>
      </c>
      <c r="C31" s="90" t="s">
        <v>797</v>
      </c>
      <c r="D31" s="93"/>
      <c r="E31" s="93"/>
      <c r="F31" s="94"/>
      <c r="G31" s="147"/>
      <c r="H31" s="147"/>
      <c r="I31" s="147"/>
      <c r="J31" s="147"/>
      <c r="K31" s="191"/>
      <c r="L31" s="177"/>
      <c r="M31" s="177"/>
      <c r="N31" s="177"/>
      <c r="O31" s="199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95"/>
      <c r="AD31" s="95"/>
      <c r="AE31" s="95"/>
      <c r="AF31" s="95"/>
      <c r="AG31" s="95"/>
      <c r="AH31" s="95"/>
      <c r="AI31" s="95"/>
      <c r="AJ31" s="95"/>
      <c r="AK31" s="95"/>
      <c r="AL31" s="95"/>
      <c r="AM31" s="95"/>
      <c r="AN31" s="95"/>
      <c r="AO31" s="95"/>
      <c r="AP31" s="95"/>
      <c r="AQ31" s="95"/>
      <c r="AR31" s="95"/>
      <c r="AS31" s="95"/>
      <c r="AT31" s="95"/>
      <c r="AU31" s="95"/>
      <c r="AV31" s="95"/>
      <c r="AW31" s="95"/>
      <c r="AX31" s="95"/>
      <c r="AY31" s="95"/>
      <c r="AZ31" s="95"/>
      <c r="BA31" s="95"/>
      <c r="BB31" s="95"/>
      <c r="BC31" s="95"/>
      <c r="BD31" s="95"/>
      <c r="BE31" s="95"/>
    </row>
    <row r="32" spans="1:57" s="96" customFormat="1">
      <c r="A32" s="90" t="s">
        <v>798</v>
      </c>
      <c r="B32" s="116">
        <v>0</v>
      </c>
      <c r="C32" s="90"/>
      <c r="D32" s="93"/>
      <c r="E32" s="93"/>
      <c r="F32" s="94"/>
      <c r="G32" s="166"/>
      <c r="H32" s="147"/>
      <c r="I32" s="147"/>
      <c r="J32" s="147"/>
      <c r="K32" s="202" t="str">
        <f>DCFROR!$B$34&amp;" Dollars"</f>
        <v>2011 Dollars</v>
      </c>
      <c r="L32" s="177"/>
      <c r="M32" s="177"/>
      <c r="N32" s="177"/>
      <c r="O32" s="199"/>
      <c r="P32" s="147"/>
      <c r="Q32" s="166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</row>
    <row r="33" spans="1:57" s="96" customFormat="1" ht="14" thickBot="1">
      <c r="A33" s="90" t="s">
        <v>842</v>
      </c>
      <c r="B33" s="117">
        <f>H4</f>
        <v>2.1607436252994747E-2</v>
      </c>
      <c r="C33" s="90" t="s">
        <v>799</v>
      </c>
      <c r="D33" s="93"/>
      <c r="E33" s="93"/>
      <c r="F33" s="94"/>
      <c r="G33" s="147"/>
      <c r="H33" s="147"/>
      <c r="I33" s="147"/>
      <c r="J33" s="147"/>
      <c r="K33" s="203" t="s">
        <v>875</v>
      </c>
      <c r="L33" s="204"/>
      <c r="M33" s="204"/>
      <c r="N33" s="204"/>
      <c r="O33" s="205"/>
      <c r="P33" s="147"/>
      <c r="Q33" s="147"/>
      <c r="R33" s="147"/>
      <c r="S33" s="147"/>
      <c r="T33" s="147"/>
      <c r="U33" s="167"/>
      <c r="V33" s="147"/>
      <c r="W33" s="147"/>
      <c r="X33" s="147"/>
      <c r="Y33" s="147"/>
      <c r="Z33" s="147"/>
      <c r="AA33" s="147"/>
      <c r="AB33" s="147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</row>
    <row r="34" spans="1:57" s="96" customFormat="1">
      <c r="A34" s="90" t="s">
        <v>800</v>
      </c>
      <c r="B34" s="107">
        <v>2011</v>
      </c>
      <c r="C34" s="90"/>
      <c r="D34" s="118"/>
      <c r="E34" s="118"/>
      <c r="F34" s="94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</row>
    <row r="35" spans="1:57" s="96" customFormat="1">
      <c r="A35" s="119" t="s">
        <v>801</v>
      </c>
      <c r="B35" s="120">
        <v>36.697781854732924</v>
      </c>
      <c r="C35" s="121" t="s">
        <v>802</v>
      </c>
      <c r="D35" s="122"/>
      <c r="E35" s="123"/>
      <c r="F35" s="94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M35" s="95"/>
      <c r="AN35" s="95"/>
      <c r="AO35" s="95"/>
      <c r="AP35" s="95"/>
      <c r="AQ35" s="95"/>
      <c r="AR35" s="95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</row>
    <row r="36" spans="1:57" s="96" customFormat="1">
      <c r="A36" s="119"/>
      <c r="B36" s="124"/>
      <c r="C36" s="121"/>
      <c r="D36" s="125"/>
      <c r="E36" s="126"/>
      <c r="F36" s="94"/>
      <c r="G36" s="147"/>
      <c r="H36" s="147"/>
      <c r="I36" s="147"/>
      <c r="J36" s="147"/>
      <c r="K36" s="163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95"/>
      <c r="AD36" s="95"/>
      <c r="AE36" s="95"/>
      <c r="AF36" s="95"/>
      <c r="AG36" s="95"/>
      <c r="AH36" s="95"/>
      <c r="AI36" s="95"/>
      <c r="AJ36" s="95"/>
      <c r="AK36" s="95"/>
      <c r="AL36" s="95"/>
      <c r="AM36" s="95"/>
      <c r="AN36" s="95"/>
      <c r="AO36" s="95"/>
      <c r="AP36" s="95"/>
      <c r="AQ36" s="95"/>
      <c r="AR36" s="95"/>
      <c r="AS36" s="95"/>
      <c r="AT36" s="95"/>
      <c r="AU36" s="95"/>
      <c r="AV36" s="95"/>
      <c r="AW36" s="95"/>
      <c r="AX36" s="95"/>
      <c r="AY36" s="95"/>
      <c r="AZ36" s="95"/>
      <c r="BA36" s="95"/>
      <c r="BB36" s="95"/>
      <c r="BC36" s="95"/>
      <c r="BD36" s="95"/>
      <c r="BE36" s="95"/>
    </row>
    <row r="37" spans="1:57" s="96" customFormat="1">
      <c r="A37" s="121" t="s">
        <v>803</v>
      </c>
      <c r="B37" s="127">
        <f>E71</f>
        <v>2546794.0576313948</v>
      </c>
      <c r="C37" s="121" t="s">
        <v>804</v>
      </c>
      <c r="D37" s="110"/>
      <c r="E37" s="90"/>
      <c r="F37" s="94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</row>
    <row r="38" spans="1:57" s="96" customFormat="1">
      <c r="A38" s="95"/>
      <c r="B38" s="95"/>
      <c r="C38" s="95"/>
      <c r="D38" s="95"/>
      <c r="E38" s="95"/>
      <c r="F38" s="94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</row>
    <row r="39" spans="1:57" s="96" customFormat="1">
      <c r="A39" s="128" t="s">
        <v>805</v>
      </c>
      <c r="B39" s="129"/>
      <c r="C39" s="129"/>
      <c r="D39" s="129"/>
      <c r="E39" s="129"/>
      <c r="F39" s="94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</row>
    <row r="40" spans="1:57" s="132" customFormat="1" ht="14" thickBot="1">
      <c r="A40" s="130" t="s">
        <v>806</v>
      </c>
      <c r="B40" s="131"/>
      <c r="C40" s="131">
        <v>-2</v>
      </c>
      <c r="D40" s="131">
        <v>-1</v>
      </c>
      <c r="E40" s="131">
        <v>0</v>
      </c>
      <c r="F40" s="131">
        <v>1</v>
      </c>
      <c r="G40" s="131">
        <v>2</v>
      </c>
      <c r="H40" s="131">
        <v>3</v>
      </c>
      <c r="I40" s="131">
        <v>4</v>
      </c>
      <c r="J40" s="131">
        <v>5</v>
      </c>
      <c r="K40" s="131">
        <v>6</v>
      </c>
      <c r="L40" s="131">
        <v>7</v>
      </c>
      <c r="M40" s="131">
        <v>8</v>
      </c>
      <c r="N40" s="131">
        <v>9</v>
      </c>
      <c r="O40" s="131">
        <v>10</v>
      </c>
      <c r="P40" s="131">
        <v>11</v>
      </c>
      <c r="Q40" s="131">
        <v>12</v>
      </c>
      <c r="R40" s="131">
        <v>13</v>
      </c>
      <c r="S40" s="131">
        <v>14</v>
      </c>
      <c r="T40" s="131">
        <v>15</v>
      </c>
      <c r="U40" s="131">
        <v>16</v>
      </c>
      <c r="V40" s="131">
        <v>17</v>
      </c>
      <c r="W40" s="131">
        <v>18</v>
      </c>
      <c r="X40" s="131">
        <v>19</v>
      </c>
      <c r="Y40" s="131">
        <v>20</v>
      </c>
      <c r="Z40" s="131">
        <v>21</v>
      </c>
      <c r="AA40" s="131">
        <v>22</v>
      </c>
      <c r="AB40" s="131">
        <v>23</v>
      </c>
      <c r="AC40" s="131">
        <v>24</v>
      </c>
      <c r="AD40" s="131">
        <v>25</v>
      </c>
      <c r="AE40" s="131">
        <v>26</v>
      </c>
      <c r="AF40" s="131">
        <v>27</v>
      </c>
      <c r="AG40" s="131">
        <v>28</v>
      </c>
      <c r="AH40" s="131">
        <v>29</v>
      </c>
      <c r="AI40" s="131">
        <v>30</v>
      </c>
    </row>
    <row r="41" spans="1:57" s="134" customFormat="1">
      <c r="A41" s="90" t="s">
        <v>770</v>
      </c>
      <c r="B41" s="90"/>
      <c r="C41" s="133">
        <f>FCI*B24*B8</f>
        <v>345190.72868775786</v>
      </c>
      <c r="D41" s="133">
        <f>FCI*B25*B8</f>
        <v>2588930.4651581836</v>
      </c>
      <c r="E41" s="133">
        <f>FCI*B26*B8</f>
        <v>1380762.9147510317</v>
      </c>
      <c r="F41" s="90"/>
      <c r="G41" s="90"/>
      <c r="H41" s="90"/>
      <c r="I41" s="90"/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90"/>
      <c r="AG41" s="90"/>
      <c r="AH41" s="90"/>
      <c r="AI41" s="90"/>
      <c r="AJ41" s="125"/>
      <c r="AK41" s="125"/>
      <c r="AL41" s="125"/>
      <c r="AM41" s="125"/>
      <c r="AN41" s="125"/>
      <c r="AO41" s="125"/>
      <c r="AP41" s="125"/>
      <c r="AQ41" s="125"/>
      <c r="AR41" s="125"/>
      <c r="AS41" s="125"/>
      <c r="AT41" s="125"/>
      <c r="AU41" s="125"/>
      <c r="AV41" s="125"/>
      <c r="AW41" s="125"/>
      <c r="AX41" s="125"/>
      <c r="AY41" s="125"/>
      <c r="AZ41" s="125"/>
      <c r="BA41" s="125"/>
      <c r="BB41" s="125"/>
      <c r="BC41" s="125"/>
      <c r="BD41" s="125"/>
      <c r="BE41" s="125"/>
    </row>
    <row r="42" spans="1:57" s="134" customFormat="1">
      <c r="A42" s="90" t="s">
        <v>807</v>
      </c>
      <c r="B42" s="90"/>
      <c r="C42" s="133">
        <v>0</v>
      </c>
      <c r="D42" s="135"/>
      <c r="E42" s="135"/>
      <c r="F42" s="90"/>
      <c r="G42" s="90"/>
      <c r="H42" s="90"/>
      <c r="I42" s="90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  <c r="Y42" s="90"/>
      <c r="Z42" s="90"/>
      <c r="AA42" s="90"/>
      <c r="AB42" s="90"/>
      <c r="AC42" s="90"/>
      <c r="AD42" s="90"/>
      <c r="AE42" s="90"/>
      <c r="AF42" s="90"/>
      <c r="AG42" s="90"/>
      <c r="AH42" s="90"/>
      <c r="AI42" s="136">
        <f>-C42</f>
        <v>0</v>
      </c>
      <c r="AJ42" s="125"/>
      <c r="AK42" s="125"/>
      <c r="AL42" s="125"/>
      <c r="AM42" s="125"/>
      <c r="AN42" s="125"/>
      <c r="AO42" s="125"/>
      <c r="AP42" s="125"/>
      <c r="AQ42" s="125"/>
      <c r="AR42" s="125"/>
      <c r="AS42" s="125"/>
      <c r="AT42" s="125"/>
      <c r="AU42" s="125"/>
      <c r="AV42" s="125"/>
      <c r="AW42" s="125"/>
      <c r="AX42" s="125"/>
      <c r="AY42" s="125"/>
      <c r="AZ42" s="125"/>
      <c r="BA42" s="125"/>
      <c r="BB42" s="125"/>
      <c r="BC42" s="125"/>
      <c r="BD42" s="125"/>
      <c r="BE42" s="125"/>
    </row>
    <row r="43" spans="1:57" s="134" customFormat="1" ht="14" thickBot="1">
      <c r="A43" s="137" t="s">
        <v>808</v>
      </c>
      <c r="B43" s="138" t="s">
        <v>809</v>
      </c>
      <c r="C43" s="137"/>
      <c r="D43" s="137"/>
      <c r="E43" s="139">
        <f>B16*B4</f>
        <v>215744.20542984866</v>
      </c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8">
        <f>-E43</f>
        <v>-215744.20542984866</v>
      </c>
      <c r="AJ43" s="125"/>
      <c r="AK43" s="125"/>
      <c r="AL43" s="125"/>
      <c r="AM43" s="125"/>
      <c r="AN43" s="125"/>
      <c r="AO43" s="125"/>
      <c r="AP43" s="125"/>
      <c r="AQ43" s="125"/>
      <c r="AR43" s="125"/>
      <c r="AS43" s="125"/>
      <c r="AT43" s="125"/>
      <c r="AU43" s="125"/>
      <c r="AV43" s="125"/>
      <c r="AW43" s="125"/>
      <c r="AX43" s="125"/>
      <c r="AY43" s="125"/>
      <c r="AZ43" s="125"/>
      <c r="BA43" s="125"/>
      <c r="BB43" s="125"/>
      <c r="BC43" s="125"/>
      <c r="BD43" s="125"/>
      <c r="BE43" s="125"/>
    </row>
    <row r="44" spans="1:57" s="134" customFormat="1">
      <c r="A44" s="125" t="s">
        <v>810</v>
      </c>
      <c r="B44" s="136"/>
      <c r="C44" s="125"/>
      <c r="D44" s="125"/>
      <c r="E44" s="136"/>
      <c r="F44" s="133">
        <f>B11</f>
        <v>0</v>
      </c>
      <c r="G44" s="133">
        <f>IF($B$10&gt;1,$B$11,0)</f>
        <v>0</v>
      </c>
      <c r="H44" s="133">
        <f>IF($B$10&gt;2,$B$11,0)</f>
        <v>0</v>
      </c>
      <c r="I44" s="133">
        <f>IF($B$10&gt;3,$B$11,0)</f>
        <v>0</v>
      </c>
      <c r="J44" s="133">
        <f>IF($B$10&gt;4,$B$11,0)</f>
        <v>0</v>
      </c>
      <c r="K44" s="133">
        <f>IF($B$10&gt;5,$B$11,0)</f>
        <v>0</v>
      </c>
      <c r="L44" s="133">
        <f>IF($B$10&gt;6,$B$11,0)</f>
        <v>0</v>
      </c>
      <c r="M44" s="133">
        <f>IF($B$10&gt;7,$B$11,0)</f>
        <v>0</v>
      </c>
      <c r="N44" s="133">
        <f>IF($B$10&gt;8,$B$11,0)</f>
        <v>0</v>
      </c>
      <c r="O44" s="133">
        <f>IF($B$10&gt;9,$B$11,0)</f>
        <v>0</v>
      </c>
      <c r="P44" s="133">
        <f>IF($B$10&gt;10,$B$11,0)</f>
        <v>0</v>
      </c>
      <c r="Q44" s="133">
        <f>IF($B$10&gt;11,$B$11,0)</f>
        <v>0</v>
      </c>
      <c r="R44" s="133">
        <f>IF($B$10&gt;12,$B$11,0)</f>
        <v>0</v>
      </c>
      <c r="S44" s="133">
        <f>IF($B$10&gt;13,$B$11,0)</f>
        <v>0</v>
      </c>
      <c r="T44" s="133">
        <f>IF($B$10&gt;14,$B$11,0)</f>
        <v>0</v>
      </c>
      <c r="U44" s="133">
        <f>IF($B$10&gt;15,$B$11,0)</f>
        <v>0</v>
      </c>
      <c r="V44" s="133">
        <f>IF($B$10&gt;16,$B$11,0)</f>
        <v>0</v>
      </c>
      <c r="W44" s="133">
        <f>IF($B$10&gt;17,$B$11,0)</f>
        <v>0</v>
      </c>
      <c r="X44" s="133">
        <f t="shared" ref="X44:AH44" si="0">IF($B$10&gt;18,$B$11,0)</f>
        <v>0</v>
      </c>
      <c r="Y44" s="133">
        <f t="shared" si="0"/>
        <v>0</v>
      </c>
      <c r="Z44" s="133">
        <f t="shared" si="0"/>
        <v>0</v>
      </c>
      <c r="AA44" s="133">
        <f t="shared" si="0"/>
        <v>0</v>
      </c>
      <c r="AB44" s="133">
        <f t="shared" si="0"/>
        <v>0</v>
      </c>
      <c r="AC44" s="133">
        <f t="shared" si="0"/>
        <v>0</v>
      </c>
      <c r="AD44" s="133">
        <f t="shared" si="0"/>
        <v>0</v>
      </c>
      <c r="AE44" s="133">
        <f t="shared" si="0"/>
        <v>0</v>
      </c>
      <c r="AF44" s="133">
        <f t="shared" si="0"/>
        <v>0</v>
      </c>
      <c r="AG44" s="133">
        <f t="shared" si="0"/>
        <v>0</v>
      </c>
      <c r="AH44" s="133">
        <f t="shared" si="0"/>
        <v>0</v>
      </c>
      <c r="AI44" s="133">
        <f>IF($B$10&gt;19,$B$11,0)</f>
        <v>0</v>
      </c>
      <c r="AJ44" s="125"/>
      <c r="AK44" s="125"/>
      <c r="AL44" s="125"/>
      <c r="AM44" s="125"/>
      <c r="AN44" s="125"/>
      <c r="AO44" s="125"/>
      <c r="AP44" s="125"/>
      <c r="AQ44" s="125"/>
      <c r="AR44" s="125"/>
      <c r="AS44" s="125"/>
      <c r="AT44" s="125"/>
      <c r="AU44" s="125"/>
      <c r="AV44" s="125"/>
      <c r="AW44" s="125"/>
      <c r="AX44" s="125"/>
      <c r="AY44" s="125"/>
      <c r="AZ44" s="125"/>
      <c r="BA44" s="125"/>
      <c r="BB44" s="125"/>
      <c r="BC44" s="125"/>
      <c r="BD44" s="125"/>
      <c r="BE44" s="125"/>
    </row>
    <row r="45" spans="1:57" s="134" customFormat="1">
      <c r="A45" s="125" t="s">
        <v>811</v>
      </c>
      <c r="B45" s="136"/>
      <c r="C45" s="133">
        <f>$B$9*C46</f>
        <v>0</v>
      </c>
      <c r="D45" s="133">
        <f>$B$9*D46</f>
        <v>0</v>
      </c>
      <c r="E45" s="133">
        <f>$B$9*E46</f>
        <v>0</v>
      </c>
      <c r="F45" s="133">
        <f>B4*(1-B8)*B9</f>
        <v>0</v>
      </c>
      <c r="G45" s="133">
        <f>$B$9*F46</f>
        <v>0</v>
      </c>
      <c r="H45" s="133">
        <f t="shared" ref="H45:AH45" si="1">$B$9*G46</f>
        <v>0</v>
      </c>
      <c r="I45" s="133">
        <f>$B$9*H46</f>
        <v>0</v>
      </c>
      <c r="J45" s="133">
        <f t="shared" si="1"/>
        <v>0</v>
      </c>
      <c r="K45" s="133">
        <f t="shared" si="1"/>
        <v>0</v>
      </c>
      <c r="L45" s="133">
        <f>$B$9*K46</f>
        <v>0</v>
      </c>
      <c r="M45" s="133">
        <f t="shared" si="1"/>
        <v>0</v>
      </c>
      <c r="N45" s="133">
        <f t="shared" si="1"/>
        <v>0</v>
      </c>
      <c r="O45" s="133">
        <f t="shared" si="1"/>
        <v>0</v>
      </c>
      <c r="P45" s="133">
        <f t="shared" si="1"/>
        <v>0</v>
      </c>
      <c r="Q45" s="133">
        <f t="shared" si="1"/>
        <v>0</v>
      </c>
      <c r="R45" s="133">
        <f t="shared" si="1"/>
        <v>0</v>
      </c>
      <c r="S45" s="133">
        <f t="shared" si="1"/>
        <v>0</v>
      </c>
      <c r="T45" s="133">
        <f t="shared" si="1"/>
        <v>0</v>
      </c>
      <c r="U45" s="133">
        <f t="shared" si="1"/>
        <v>0</v>
      </c>
      <c r="V45" s="133">
        <f t="shared" si="1"/>
        <v>0</v>
      </c>
      <c r="W45" s="133">
        <f t="shared" si="1"/>
        <v>0</v>
      </c>
      <c r="X45" s="133">
        <f t="shared" si="1"/>
        <v>0</v>
      </c>
      <c r="Y45" s="133">
        <f t="shared" si="1"/>
        <v>0</v>
      </c>
      <c r="Z45" s="133">
        <f t="shared" si="1"/>
        <v>0</v>
      </c>
      <c r="AA45" s="133">
        <f t="shared" si="1"/>
        <v>0</v>
      </c>
      <c r="AB45" s="133">
        <f t="shared" si="1"/>
        <v>0</v>
      </c>
      <c r="AC45" s="133">
        <f t="shared" si="1"/>
        <v>0</v>
      </c>
      <c r="AD45" s="133">
        <f t="shared" si="1"/>
        <v>0</v>
      </c>
      <c r="AE45" s="133">
        <f t="shared" si="1"/>
        <v>0</v>
      </c>
      <c r="AF45" s="133">
        <f t="shared" si="1"/>
        <v>0</v>
      </c>
      <c r="AG45" s="133">
        <f t="shared" si="1"/>
        <v>0</v>
      </c>
      <c r="AH45" s="133">
        <f t="shared" si="1"/>
        <v>0</v>
      </c>
      <c r="AI45" s="133">
        <f>$B$9*X46</f>
        <v>0</v>
      </c>
      <c r="AJ45" s="125"/>
      <c r="AK45" s="125"/>
      <c r="AL45" s="125"/>
      <c r="AM45" s="125"/>
      <c r="AN45" s="125"/>
      <c r="AO45" s="125"/>
      <c r="AP45" s="125"/>
      <c r="AQ45" s="125"/>
      <c r="AR45" s="125"/>
      <c r="AS45" s="125"/>
      <c r="AT45" s="125"/>
      <c r="AU45" s="125"/>
      <c r="AV45" s="125"/>
      <c r="AW45" s="125"/>
      <c r="AX45" s="125"/>
      <c r="AY45" s="125"/>
      <c r="AZ45" s="125"/>
      <c r="BA45" s="125"/>
      <c r="BB45" s="125"/>
      <c r="BC45" s="125"/>
      <c r="BD45" s="125"/>
      <c r="BE45" s="125"/>
    </row>
    <row r="46" spans="1:57" s="134" customFormat="1" ht="14" thickBot="1">
      <c r="A46" s="137" t="s">
        <v>812</v>
      </c>
      <c r="B46" s="138"/>
      <c r="C46" s="139">
        <f>FCI*(1-B8)*B24</f>
        <v>0</v>
      </c>
      <c r="D46" s="139">
        <f>FCI*(1-B8)*B25+C46</f>
        <v>0</v>
      </c>
      <c r="E46" s="139">
        <f>FCI*(1-B8)*B26+D46</f>
        <v>0</v>
      </c>
      <c r="F46" s="139">
        <f>FCI*(1-B8)-F44+F45</f>
        <v>0</v>
      </c>
      <c r="G46" s="139">
        <f>F46-G44+G45</f>
        <v>0</v>
      </c>
      <c r="H46" s="139">
        <f t="shared" ref="H46:AH46" si="2">G46-H44+H45</f>
        <v>0</v>
      </c>
      <c r="I46" s="139">
        <f>H46-I44+I45</f>
        <v>0</v>
      </c>
      <c r="J46" s="139">
        <f t="shared" si="2"/>
        <v>0</v>
      </c>
      <c r="K46" s="139">
        <f t="shared" si="2"/>
        <v>0</v>
      </c>
      <c r="L46" s="139">
        <f>K46-L44+L45</f>
        <v>0</v>
      </c>
      <c r="M46" s="139">
        <f t="shared" si="2"/>
        <v>0</v>
      </c>
      <c r="N46" s="139">
        <f t="shared" si="2"/>
        <v>0</v>
      </c>
      <c r="O46" s="139">
        <f t="shared" si="2"/>
        <v>0</v>
      </c>
      <c r="P46" s="139">
        <f t="shared" si="2"/>
        <v>0</v>
      </c>
      <c r="Q46" s="139">
        <f t="shared" si="2"/>
        <v>0</v>
      </c>
      <c r="R46" s="139">
        <f t="shared" si="2"/>
        <v>0</v>
      </c>
      <c r="S46" s="139">
        <f t="shared" si="2"/>
        <v>0</v>
      </c>
      <c r="T46" s="139">
        <f t="shared" si="2"/>
        <v>0</v>
      </c>
      <c r="U46" s="139">
        <f t="shared" si="2"/>
        <v>0</v>
      </c>
      <c r="V46" s="139">
        <f t="shared" si="2"/>
        <v>0</v>
      </c>
      <c r="W46" s="139">
        <f t="shared" si="2"/>
        <v>0</v>
      </c>
      <c r="X46" s="139">
        <f t="shared" si="2"/>
        <v>0</v>
      </c>
      <c r="Y46" s="139">
        <f t="shared" si="2"/>
        <v>0</v>
      </c>
      <c r="Z46" s="139">
        <f t="shared" si="2"/>
        <v>0</v>
      </c>
      <c r="AA46" s="139">
        <f t="shared" si="2"/>
        <v>0</v>
      </c>
      <c r="AB46" s="139">
        <f t="shared" si="2"/>
        <v>0</v>
      </c>
      <c r="AC46" s="139">
        <f t="shared" si="2"/>
        <v>0</v>
      </c>
      <c r="AD46" s="139">
        <f t="shared" si="2"/>
        <v>0</v>
      </c>
      <c r="AE46" s="139">
        <f t="shared" si="2"/>
        <v>0</v>
      </c>
      <c r="AF46" s="139">
        <f t="shared" si="2"/>
        <v>0</v>
      </c>
      <c r="AG46" s="139">
        <f t="shared" si="2"/>
        <v>0</v>
      </c>
      <c r="AH46" s="139">
        <f t="shared" si="2"/>
        <v>0</v>
      </c>
      <c r="AI46" s="139">
        <f>X46-AI44+AI45</f>
        <v>0</v>
      </c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</row>
    <row r="47" spans="1:57" s="134" customFormat="1">
      <c r="A47" s="90" t="s">
        <v>813</v>
      </c>
      <c r="B47" s="135" t="s">
        <v>809</v>
      </c>
      <c r="C47" s="135" t="s">
        <v>809</v>
      </c>
      <c r="D47" s="135" t="s">
        <v>809</v>
      </c>
      <c r="E47" s="135" t="s">
        <v>809</v>
      </c>
      <c r="F47" s="133">
        <f>($B$33*$B$35*1000000)*(1-B27)+($B$33*$B$35*1000000)*B27*B28</f>
        <v>594708.73653933674</v>
      </c>
      <c r="G47" s="133">
        <f t="shared" ref="G47:AH47" si="3">$B$33*$B$35*1000000</f>
        <v>792944.98205244902</v>
      </c>
      <c r="H47" s="133">
        <f t="shared" si="3"/>
        <v>792944.98205244902</v>
      </c>
      <c r="I47" s="133">
        <f t="shared" si="3"/>
        <v>792944.98205244902</v>
      </c>
      <c r="J47" s="133">
        <f t="shared" si="3"/>
        <v>792944.98205244902</v>
      </c>
      <c r="K47" s="133">
        <f t="shared" si="3"/>
        <v>792944.98205244902</v>
      </c>
      <c r="L47" s="133">
        <f t="shared" si="3"/>
        <v>792944.98205244902</v>
      </c>
      <c r="M47" s="133">
        <f t="shared" si="3"/>
        <v>792944.98205244902</v>
      </c>
      <c r="N47" s="133">
        <f t="shared" si="3"/>
        <v>792944.98205244902</v>
      </c>
      <c r="O47" s="133">
        <f t="shared" si="3"/>
        <v>792944.98205244902</v>
      </c>
      <c r="P47" s="133">
        <f t="shared" si="3"/>
        <v>792944.98205244902</v>
      </c>
      <c r="Q47" s="133">
        <f t="shared" si="3"/>
        <v>792944.98205244902</v>
      </c>
      <c r="R47" s="133">
        <f t="shared" si="3"/>
        <v>792944.98205244902</v>
      </c>
      <c r="S47" s="133">
        <f t="shared" si="3"/>
        <v>792944.98205244902</v>
      </c>
      <c r="T47" s="133">
        <f t="shared" si="3"/>
        <v>792944.98205244902</v>
      </c>
      <c r="U47" s="133">
        <f t="shared" si="3"/>
        <v>792944.98205244902</v>
      </c>
      <c r="V47" s="133">
        <f t="shared" si="3"/>
        <v>792944.98205244902</v>
      </c>
      <c r="W47" s="133">
        <f t="shared" si="3"/>
        <v>792944.98205244902</v>
      </c>
      <c r="X47" s="133">
        <f t="shared" si="3"/>
        <v>792944.98205244902</v>
      </c>
      <c r="Y47" s="133">
        <f t="shared" si="3"/>
        <v>792944.98205244902</v>
      </c>
      <c r="Z47" s="133">
        <f t="shared" si="3"/>
        <v>792944.98205244902</v>
      </c>
      <c r="AA47" s="133">
        <f t="shared" si="3"/>
        <v>792944.98205244902</v>
      </c>
      <c r="AB47" s="133">
        <f t="shared" si="3"/>
        <v>792944.98205244902</v>
      </c>
      <c r="AC47" s="133">
        <f t="shared" si="3"/>
        <v>792944.98205244902</v>
      </c>
      <c r="AD47" s="133">
        <f t="shared" si="3"/>
        <v>792944.98205244902</v>
      </c>
      <c r="AE47" s="133">
        <f t="shared" si="3"/>
        <v>792944.98205244902</v>
      </c>
      <c r="AF47" s="133">
        <f t="shared" si="3"/>
        <v>792944.98205244902</v>
      </c>
      <c r="AG47" s="133">
        <f t="shared" si="3"/>
        <v>792944.98205244902</v>
      </c>
      <c r="AH47" s="133">
        <f t="shared" si="3"/>
        <v>792944.98205244902</v>
      </c>
      <c r="AI47" s="133">
        <f>$B$33*$B$35*1000000</f>
        <v>792944.98205244902</v>
      </c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</row>
    <row r="48" spans="1:57" s="134" customFormat="1" ht="12" customHeight="1">
      <c r="A48" s="90" t="s">
        <v>814</v>
      </c>
      <c r="B48" s="135" t="s">
        <v>809</v>
      </c>
      <c r="C48" s="135" t="s">
        <v>809</v>
      </c>
      <c r="D48" s="135" t="s">
        <v>809</v>
      </c>
      <c r="E48" s="135" t="s">
        <v>809</v>
      </c>
      <c r="F48" s="133">
        <v>0</v>
      </c>
      <c r="G48" s="133">
        <v>0</v>
      </c>
      <c r="H48" s="133">
        <v>0</v>
      </c>
      <c r="I48" s="133">
        <v>0</v>
      </c>
      <c r="J48" s="133">
        <v>0</v>
      </c>
      <c r="K48" s="133">
        <v>0</v>
      </c>
      <c r="L48" s="133">
        <v>0</v>
      </c>
      <c r="M48" s="133">
        <v>0</v>
      </c>
      <c r="N48" s="133">
        <v>0</v>
      </c>
      <c r="O48" s="133">
        <v>0</v>
      </c>
      <c r="P48" s="133">
        <v>0</v>
      </c>
      <c r="Q48" s="133">
        <v>0</v>
      </c>
      <c r="R48" s="133">
        <v>0</v>
      </c>
      <c r="S48" s="133">
        <v>0</v>
      </c>
      <c r="T48" s="133">
        <v>0</v>
      </c>
      <c r="U48" s="133">
        <v>0</v>
      </c>
      <c r="V48" s="133">
        <v>0</v>
      </c>
      <c r="W48" s="133">
        <v>0</v>
      </c>
      <c r="X48" s="133">
        <v>0</v>
      </c>
      <c r="Y48" s="133">
        <v>0</v>
      </c>
      <c r="Z48" s="133">
        <v>0</v>
      </c>
      <c r="AA48" s="133">
        <v>0</v>
      </c>
      <c r="AB48" s="133">
        <v>0</v>
      </c>
      <c r="AC48" s="133">
        <v>0</v>
      </c>
      <c r="AD48" s="133">
        <v>0</v>
      </c>
      <c r="AE48" s="133">
        <v>0</v>
      </c>
      <c r="AF48" s="133">
        <v>0</v>
      </c>
      <c r="AG48" s="133">
        <v>0</v>
      </c>
      <c r="AH48" s="133">
        <v>0</v>
      </c>
      <c r="AI48" s="133">
        <v>0</v>
      </c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</row>
    <row r="49" spans="1:59" s="134" customFormat="1" ht="14" thickBot="1">
      <c r="A49" s="137" t="s">
        <v>815</v>
      </c>
      <c r="B49" s="138"/>
      <c r="C49" s="138"/>
      <c r="D49" s="138"/>
      <c r="E49" s="138"/>
      <c r="F49" s="139">
        <f t="shared" ref="F49:AH49" si="4">F47+F48</f>
        <v>594708.73653933674</v>
      </c>
      <c r="G49" s="139">
        <f t="shared" si="4"/>
        <v>792944.98205244902</v>
      </c>
      <c r="H49" s="139">
        <f t="shared" si="4"/>
        <v>792944.98205244902</v>
      </c>
      <c r="I49" s="139">
        <f t="shared" si="4"/>
        <v>792944.98205244902</v>
      </c>
      <c r="J49" s="139">
        <f t="shared" si="4"/>
        <v>792944.98205244902</v>
      </c>
      <c r="K49" s="139">
        <f t="shared" si="4"/>
        <v>792944.98205244902</v>
      </c>
      <c r="L49" s="139">
        <f t="shared" si="4"/>
        <v>792944.98205244902</v>
      </c>
      <c r="M49" s="139">
        <f t="shared" si="4"/>
        <v>792944.98205244902</v>
      </c>
      <c r="N49" s="139">
        <f t="shared" si="4"/>
        <v>792944.98205244902</v>
      </c>
      <c r="O49" s="139">
        <f t="shared" si="4"/>
        <v>792944.98205244902</v>
      </c>
      <c r="P49" s="139">
        <f t="shared" si="4"/>
        <v>792944.98205244902</v>
      </c>
      <c r="Q49" s="139">
        <f t="shared" si="4"/>
        <v>792944.98205244902</v>
      </c>
      <c r="R49" s="139">
        <f t="shared" si="4"/>
        <v>792944.98205244902</v>
      </c>
      <c r="S49" s="139">
        <f t="shared" si="4"/>
        <v>792944.98205244902</v>
      </c>
      <c r="T49" s="139">
        <f t="shared" si="4"/>
        <v>792944.98205244902</v>
      </c>
      <c r="U49" s="139">
        <f t="shared" si="4"/>
        <v>792944.98205244902</v>
      </c>
      <c r="V49" s="139">
        <f t="shared" si="4"/>
        <v>792944.98205244902</v>
      </c>
      <c r="W49" s="139">
        <f t="shared" si="4"/>
        <v>792944.98205244902</v>
      </c>
      <c r="X49" s="139">
        <f t="shared" si="4"/>
        <v>792944.98205244902</v>
      </c>
      <c r="Y49" s="139">
        <f t="shared" si="4"/>
        <v>792944.98205244902</v>
      </c>
      <c r="Z49" s="139">
        <f t="shared" si="4"/>
        <v>792944.98205244902</v>
      </c>
      <c r="AA49" s="139">
        <f t="shared" si="4"/>
        <v>792944.98205244902</v>
      </c>
      <c r="AB49" s="139">
        <f t="shared" si="4"/>
        <v>792944.98205244902</v>
      </c>
      <c r="AC49" s="139">
        <f t="shared" si="4"/>
        <v>792944.98205244902</v>
      </c>
      <c r="AD49" s="139">
        <f t="shared" si="4"/>
        <v>792944.98205244902</v>
      </c>
      <c r="AE49" s="139">
        <f t="shared" si="4"/>
        <v>792944.98205244902</v>
      </c>
      <c r="AF49" s="139">
        <f t="shared" si="4"/>
        <v>792944.98205244902</v>
      </c>
      <c r="AG49" s="139">
        <f t="shared" si="4"/>
        <v>792944.98205244902</v>
      </c>
      <c r="AH49" s="139">
        <f t="shared" si="4"/>
        <v>792944.98205244902</v>
      </c>
      <c r="AI49" s="139">
        <f>AI47+AI48</f>
        <v>792944.98205244902</v>
      </c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</row>
    <row r="50" spans="1:59" s="134" customFormat="1">
      <c r="A50" s="90" t="s">
        <v>816</v>
      </c>
      <c r="B50" s="90"/>
      <c r="C50" s="90"/>
      <c r="D50" s="90"/>
      <c r="E50" s="90"/>
      <c r="F50" s="90"/>
      <c r="G50" s="90"/>
      <c r="H50" s="90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Z50" s="90"/>
      <c r="AA50" s="90"/>
      <c r="AB50" s="90"/>
      <c r="AC50" s="90"/>
      <c r="AD50" s="90"/>
      <c r="AE50" s="90"/>
      <c r="AF50" s="90"/>
      <c r="AG50" s="90"/>
      <c r="AH50" s="90"/>
      <c r="AI50" s="90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</row>
    <row r="51" spans="1:59" s="134" customFormat="1">
      <c r="A51" s="110" t="s">
        <v>817</v>
      </c>
      <c r="B51" s="90"/>
      <c r="C51" s="90"/>
      <c r="D51" s="90"/>
      <c r="E51" s="90"/>
      <c r="F51" s="133">
        <v>0</v>
      </c>
      <c r="G51" s="133">
        <v>0</v>
      </c>
      <c r="H51" s="133">
        <v>0</v>
      </c>
      <c r="I51" s="133">
        <v>0</v>
      </c>
      <c r="J51" s="133">
        <v>0</v>
      </c>
      <c r="K51" s="133">
        <v>0</v>
      </c>
      <c r="L51" s="133">
        <v>0</v>
      </c>
      <c r="M51" s="133">
        <v>0</v>
      </c>
      <c r="N51" s="133">
        <v>0</v>
      </c>
      <c r="O51" s="133">
        <v>0</v>
      </c>
      <c r="P51" s="133">
        <v>0</v>
      </c>
      <c r="Q51" s="133">
        <v>0</v>
      </c>
      <c r="R51" s="133">
        <v>0</v>
      </c>
      <c r="S51" s="133">
        <v>0</v>
      </c>
      <c r="T51" s="133">
        <v>0</v>
      </c>
      <c r="U51" s="133">
        <v>0</v>
      </c>
      <c r="V51" s="133">
        <v>0</v>
      </c>
      <c r="W51" s="133">
        <v>0</v>
      </c>
      <c r="X51" s="133">
        <v>0</v>
      </c>
      <c r="Y51" s="133">
        <v>0</v>
      </c>
      <c r="Z51" s="133">
        <v>0</v>
      </c>
      <c r="AA51" s="133">
        <v>0</v>
      </c>
      <c r="AB51" s="133">
        <v>0</v>
      </c>
      <c r="AC51" s="133">
        <v>0</v>
      </c>
      <c r="AD51" s="133">
        <v>0</v>
      </c>
      <c r="AE51" s="133">
        <v>0</v>
      </c>
      <c r="AF51" s="133">
        <v>0</v>
      </c>
      <c r="AG51" s="133">
        <v>0</v>
      </c>
      <c r="AH51" s="133">
        <v>0</v>
      </c>
      <c r="AI51" s="133">
        <v>0</v>
      </c>
      <c r="AJ51" s="136" t="s">
        <v>809</v>
      </c>
      <c r="AK51" s="136" t="s">
        <v>809</v>
      </c>
      <c r="AL51" s="136" t="s">
        <v>809</v>
      </c>
      <c r="AM51" s="136" t="s">
        <v>809</v>
      </c>
      <c r="AN51" s="136" t="s">
        <v>809</v>
      </c>
      <c r="AO51" s="136" t="s">
        <v>809</v>
      </c>
      <c r="AP51" s="136" t="s">
        <v>809</v>
      </c>
      <c r="AQ51" s="136" t="s">
        <v>809</v>
      </c>
      <c r="AR51" s="136" t="s">
        <v>809</v>
      </c>
      <c r="AS51" s="136" t="s">
        <v>809</v>
      </c>
      <c r="AT51" s="136" t="s">
        <v>809</v>
      </c>
      <c r="AU51" s="136" t="s">
        <v>809</v>
      </c>
      <c r="AV51" s="136" t="s">
        <v>809</v>
      </c>
      <c r="AW51" s="136" t="s">
        <v>809</v>
      </c>
      <c r="AX51" s="136" t="s">
        <v>809</v>
      </c>
      <c r="AY51" s="136" t="s">
        <v>809</v>
      </c>
      <c r="AZ51" s="136" t="s">
        <v>809</v>
      </c>
      <c r="BA51" s="136" t="s">
        <v>809</v>
      </c>
      <c r="BB51" s="136" t="s">
        <v>809</v>
      </c>
      <c r="BC51" s="136" t="s">
        <v>809</v>
      </c>
      <c r="BD51" s="136" t="s">
        <v>809</v>
      </c>
      <c r="BE51" s="136" t="s">
        <v>809</v>
      </c>
      <c r="BF51" s="136" t="s">
        <v>809</v>
      </c>
      <c r="BG51" s="136" t="s">
        <v>809</v>
      </c>
    </row>
    <row r="52" spans="1:59" s="134" customFormat="1">
      <c r="A52" s="98" t="s">
        <v>818</v>
      </c>
      <c r="B52" s="90"/>
      <c r="C52" s="90"/>
      <c r="D52" s="90"/>
      <c r="E52" s="90"/>
      <c r="F52" s="133">
        <v>0</v>
      </c>
      <c r="G52" s="133"/>
      <c r="H52" s="133"/>
      <c r="I52" s="133"/>
      <c r="J52" s="133"/>
      <c r="K52" s="133">
        <v>0</v>
      </c>
      <c r="L52" s="133"/>
      <c r="M52" s="133"/>
      <c r="N52" s="133"/>
      <c r="O52" s="133"/>
      <c r="P52" s="133">
        <v>0</v>
      </c>
      <c r="Q52" s="133"/>
      <c r="R52" s="133"/>
      <c r="S52" s="133"/>
      <c r="T52" s="133"/>
      <c r="U52" s="133">
        <v>0</v>
      </c>
      <c r="V52" s="133"/>
      <c r="W52" s="133"/>
      <c r="X52" s="133"/>
      <c r="Y52" s="133"/>
      <c r="Z52" s="133">
        <f>U52</f>
        <v>0</v>
      </c>
      <c r="AA52" s="133"/>
      <c r="AB52" s="133"/>
      <c r="AC52" s="133"/>
      <c r="AD52" s="133"/>
      <c r="AE52" s="133">
        <f>Z52</f>
        <v>0</v>
      </c>
      <c r="AF52" s="133"/>
      <c r="AG52" s="133"/>
      <c r="AH52" s="133"/>
      <c r="AI52" s="133"/>
      <c r="AJ52" s="136"/>
      <c r="AK52" s="136"/>
      <c r="AL52" s="136"/>
      <c r="AM52" s="136"/>
      <c r="AN52" s="136"/>
      <c r="AO52" s="136"/>
      <c r="AP52" s="136"/>
      <c r="AQ52" s="136"/>
      <c r="AR52" s="136"/>
      <c r="AS52" s="136"/>
      <c r="AT52" s="136"/>
      <c r="AU52" s="136"/>
      <c r="AV52" s="136"/>
      <c r="AW52" s="136"/>
      <c r="AX52" s="136"/>
      <c r="AY52" s="136"/>
      <c r="AZ52" s="136"/>
      <c r="BA52" s="136"/>
      <c r="BB52" s="136"/>
      <c r="BC52" s="136"/>
      <c r="BD52" s="136"/>
      <c r="BE52" s="136"/>
      <c r="BF52" s="136"/>
      <c r="BG52" s="136"/>
    </row>
    <row r="53" spans="1:59" s="134" customFormat="1">
      <c r="A53" s="90" t="s">
        <v>819</v>
      </c>
      <c r="B53" s="90"/>
      <c r="C53" s="90"/>
      <c r="D53" s="90"/>
      <c r="E53" s="90"/>
      <c r="F53" s="133">
        <f>(H7+H6)*(1-B27)+(H7+H7)*B27*B29</f>
        <v>303228.25898620591</v>
      </c>
      <c r="G53" s="133">
        <f>$H$7+$H$6</f>
        <v>320369.37769974582</v>
      </c>
      <c r="H53" s="133">
        <f t="shared" ref="H53:AI53" si="5">$H$7+$H$6</f>
        <v>320369.37769974582</v>
      </c>
      <c r="I53" s="133">
        <f t="shared" si="5"/>
        <v>320369.37769974582</v>
      </c>
      <c r="J53" s="133">
        <f t="shared" si="5"/>
        <v>320369.37769974582</v>
      </c>
      <c r="K53" s="133">
        <f t="shared" si="5"/>
        <v>320369.37769974582</v>
      </c>
      <c r="L53" s="133">
        <f t="shared" si="5"/>
        <v>320369.37769974582</v>
      </c>
      <c r="M53" s="133">
        <f t="shared" si="5"/>
        <v>320369.37769974582</v>
      </c>
      <c r="N53" s="133">
        <f t="shared" si="5"/>
        <v>320369.37769974582</v>
      </c>
      <c r="O53" s="133">
        <f t="shared" si="5"/>
        <v>320369.37769974582</v>
      </c>
      <c r="P53" s="133">
        <f t="shared" si="5"/>
        <v>320369.37769974582</v>
      </c>
      <c r="Q53" s="133">
        <f t="shared" si="5"/>
        <v>320369.37769974582</v>
      </c>
      <c r="R53" s="133">
        <f t="shared" si="5"/>
        <v>320369.37769974582</v>
      </c>
      <c r="S53" s="133">
        <f t="shared" si="5"/>
        <v>320369.37769974582</v>
      </c>
      <c r="T53" s="133">
        <f t="shared" si="5"/>
        <v>320369.37769974582</v>
      </c>
      <c r="U53" s="133">
        <f t="shared" si="5"/>
        <v>320369.37769974582</v>
      </c>
      <c r="V53" s="133">
        <f t="shared" si="5"/>
        <v>320369.37769974582</v>
      </c>
      <c r="W53" s="133">
        <f t="shared" si="5"/>
        <v>320369.37769974582</v>
      </c>
      <c r="X53" s="133">
        <f t="shared" si="5"/>
        <v>320369.37769974582</v>
      </c>
      <c r="Y53" s="133">
        <f t="shared" si="5"/>
        <v>320369.37769974582</v>
      </c>
      <c r="Z53" s="133">
        <f t="shared" si="5"/>
        <v>320369.37769974582</v>
      </c>
      <c r="AA53" s="133">
        <f t="shared" si="5"/>
        <v>320369.37769974582</v>
      </c>
      <c r="AB53" s="133">
        <f t="shared" si="5"/>
        <v>320369.37769974582</v>
      </c>
      <c r="AC53" s="133">
        <f t="shared" si="5"/>
        <v>320369.37769974582</v>
      </c>
      <c r="AD53" s="133">
        <f t="shared" si="5"/>
        <v>320369.37769974582</v>
      </c>
      <c r="AE53" s="133">
        <f t="shared" si="5"/>
        <v>320369.37769974582</v>
      </c>
      <c r="AF53" s="133">
        <f t="shared" si="5"/>
        <v>320369.37769974582</v>
      </c>
      <c r="AG53" s="133">
        <f t="shared" si="5"/>
        <v>320369.37769974582</v>
      </c>
      <c r="AH53" s="133">
        <f t="shared" si="5"/>
        <v>320369.37769974582</v>
      </c>
      <c r="AI53" s="133">
        <f t="shared" si="5"/>
        <v>320369.37769974582</v>
      </c>
      <c r="AJ53" s="125"/>
      <c r="AK53" s="125"/>
      <c r="AL53" s="125"/>
      <c r="AM53" s="125"/>
      <c r="AN53" s="125"/>
      <c r="AO53" s="125"/>
      <c r="AP53" s="125"/>
      <c r="AQ53" s="125"/>
      <c r="AR53" s="125"/>
      <c r="AS53" s="125"/>
      <c r="AT53" s="125"/>
      <c r="AU53" s="125"/>
      <c r="AV53" s="125"/>
      <c r="AW53" s="125"/>
      <c r="AX53" s="125"/>
      <c r="AY53" s="125"/>
      <c r="AZ53" s="125"/>
      <c r="BA53" s="125"/>
      <c r="BB53" s="125"/>
      <c r="BC53" s="125"/>
      <c r="BD53" s="125"/>
      <c r="BE53" s="125"/>
    </row>
    <row r="54" spans="1:59" s="134" customFormat="1">
      <c r="A54" s="90" t="s">
        <v>820</v>
      </c>
      <c r="B54" s="90"/>
      <c r="C54" s="90"/>
      <c r="D54" s="90"/>
      <c r="E54" s="90"/>
      <c r="F54" s="133">
        <v>0</v>
      </c>
      <c r="G54" s="133">
        <v>0</v>
      </c>
      <c r="H54" s="133">
        <v>0</v>
      </c>
      <c r="I54" s="133">
        <v>0</v>
      </c>
      <c r="J54" s="133">
        <v>0</v>
      </c>
      <c r="K54" s="133">
        <v>0</v>
      </c>
      <c r="L54" s="133">
        <v>0</v>
      </c>
      <c r="M54" s="133">
        <v>0</v>
      </c>
      <c r="N54" s="133">
        <v>0</v>
      </c>
      <c r="O54" s="133">
        <v>0</v>
      </c>
      <c r="P54" s="133">
        <v>0</v>
      </c>
      <c r="Q54" s="133">
        <v>0</v>
      </c>
      <c r="R54" s="133">
        <v>0</v>
      </c>
      <c r="S54" s="133">
        <v>0</v>
      </c>
      <c r="T54" s="133">
        <v>0</v>
      </c>
      <c r="U54" s="133">
        <v>0</v>
      </c>
      <c r="V54" s="133">
        <v>0</v>
      </c>
      <c r="W54" s="133">
        <v>0</v>
      </c>
      <c r="X54" s="133">
        <v>0</v>
      </c>
      <c r="Y54" s="133">
        <v>0</v>
      </c>
      <c r="Z54" s="133">
        <v>0</v>
      </c>
      <c r="AA54" s="133">
        <v>0</v>
      </c>
      <c r="AB54" s="133">
        <v>0</v>
      </c>
      <c r="AC54" s="133">
        <v>0</v>
      </c>
      <c r="AD54" s="133">
        <v>0</v>
      </c>
      <c r="AE54" s="133">
        <v>0</v>
      </c>
      <c r="AF54" s="133">
        <v>0</v>
      </c>
      <c r="AG54" s="133">
        <v>0</v>
      </c>
      <c r="AH54" s="133">
        <v>0</v>
      </c>
      <c r="AI54" s="133">
        <v>0</v>
      </c>
      <c r="AJ54" s="125"/>
      <c r="AK54" s="125"/>
      <c r="AL54" s="125"/>
      <c r="AM54" s="125"/>
      <c r="AN54" s="125"/>
      <c r="AO54" s="125"/>
      <c r="AP54" s="125"/>
      <c r="AQ54" s="125"/>
      <c r="AR54" s="125"/>
      <c r="AS54" s="125"/>
      <c r="AT54" s="125"/>
      <c r="AU54" s="125"/>
      <c r="AV54" s="125"/>
      <c r="AW54" s="125"/>
      <c r="AX54" s="125"/>
      <c r="AY54" s="125"/>
      <c r="AZ54" s="125"/>
      <c r="BA54" s="125"/>
      <c r="BB54" s="125"/>
      <c r="BC54" s="125"/>
      <c r="BD54" s="125"/>
      <c r="BE54" s="125"/>
    </row>
    <row r="55" spans="1:59" s="134" customFormat="1" ht="14" thickBot="1">
      <c r="A55" s="137" t="s">
        <v>821</v>
      </c>
      <c r="B55" s="137"/>
      <c r="C55" s="137"/>
      <c r="D55" s="137"/>
      <c r="E55" s="137"/>
      <c r="F55" s="139">
        <f t="shared" ref="F55:X55" si="6">SUM(F51:F54)</f>
        <v>303228.25898620591</v>
      </c>
      <c r="G55" s="139">
        <f t="shared" si="6"/>
        <v>320369.37769974582</v>
      </c>
      <c r="H55" s="139">
        <f t="shared" si="6"/>
        <v>320369.37769974582</v>
      </c>
      <c r="I55" s="139">
        <f t="shared" si="6"/>
        <v>320369.37769974582</v>
      </c>
      <c r="J55" s="139">
        <f t="shared" si="6"/>
        <v>320369.37769974582</v>
      </c>
      <c r="K55" s="139">
        <f t="shared" si="6"/>
        <v>320369.37769974582</v>
      </c>
      <c r="L55" s="139">
        <f t="shared" si="6"/>
        <v>320369.37769974582</v>
      </c>
      <c r="M55" s="139">
        <f t="shared" si="6"/>
        <v>320369.37769974582</v>
      </c>
      <c r="N55" s="139">
        <f t="shared" si="6"/>
        <v>320369.37769974582</v>
      </c>
      <c r="O55" s="139">
        <f t="shared" si="6"/>
        <v>320369.37769974582</v>
      </c>
      <c r="P55" s="139">
        <f t="shared" si="6"/>
        <v>320369.37769974582</v>
      </c>
      <c r="Q55" s="139">
        <f t="shared" si="6"/>
        <v>320369.37769974582</v>
      </c>
      <c r="R55" s="139">
        <f t="shared" si="6"/>
        <v>320369.37769974582</v>
      </c>
      <c r="S55" s="139">
        <f t="shared" si="6"/>
        <v>320369.37769974582</v>
      </c>
      <c r="T55" s="139">
        <f t="shared" si="6"/>
        <v>320369.37769974582</v>
      </c>
      <c r="U55" s="139">
        <f t="shared" si="6"/>
        <v>320369.37769974582</v>
      </c>
      <c r="V55" s="139">
        <f t="shared" si="6"/>
        <v>320369.37769974582</v>
      </c>
      <c r="W55" s="139">
        <f t="shared" si="6"/>
        <v>320369.37769974582</v>
      </c>
      <c r="X55" s="139">
        <f t="shared" si="6"/>
        <v>320369.37769974582</v>
      </c>
      <c r="Y55" s="139">
        <f t="shared" ref="Y55:AH55" si="7">SUM(Y51:Y54)</f>
        <v>320369.37769974582</v>
      </c>
      <c r="Z55" s="139">
        <f t="shared" si="7"/>
        <v>320369.37769974582</v>
      </c>
      <c r="AA55" s="139">
        <f t="shared" si="7"/>
        <v>320369.37769974582</v>
      </c>
      <c r="AB55" s="139">
        <f t="shared" si="7"/>
        <v>320369.37769974582</v>
      </c>
      <c r="AC55" s="139">
        <f t="shared" si="7"/>
        <v>320369.37769974582</v>
      </c>
      <c r="AD55" s="139">
        <f t="shared" si="7"/>
        <v>320369.37769974582</v>
      </c>
      <c r="AE55" s="139">
        <f t="shared" si="7"/>
        <v>320369.37769974582</v>
      </c>
      <c r="AF55" s="139">
        <f t="shared" si="7"/>
        <v>320369.37769974582</v>
      </c>
      <c r="AG55" s="139">
        <f t="shared" si="7"/>
        <v>320369.37769974582</v>
      </c>
      <c r="AH55" s="139">
        <f t="shared" si="7"/>
        <v>320369.37769974582</v>
      </c>
      <c r="AI55" s="139">
        <f>SUM(AI51:AI54)</f>
        <v>320369.37769974582</v>
      </c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</row>
    <row r="56" spans="1:59" s="134" customFormat="1">
      <c r="A56" s="125" t="s">
        <v>822</v>
      </c>
      <c r="B56" s="125"/>
      <c r="C56" s="125"/>
      <c r="D56" s="125"/>
      <c r="E56" s="125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25"/>
      <c r="AK56" s="125"/>
      <c r="AL56" s="125"/>
      <c r="AM56" s="125"/>
      <c r="AN56" s="125"/>
      <c r="AO56" s="125"/>
      <c r="AP56" s="125"/>
      <c r="AQ56" s="125"/>
      <c r="AR56" s="125"/>
      <c r="AS56" s="125"/>
      <c r="AT56" s="125"/>
      <c r="AU56" s="125"/>
      <c r="AV56" s="125"/>
      <c r="AW56" s="125"/>
      <c r="AX56" s="125"/>
      <c r="AY56" s="125"/>
      <c r="AZ56" s="125"/>
      <c r="BA56" s="125"/>
      <c r="BB56" s="125"/>
      <c r="BC56" s="125"/>
      <c r="BD56" s="125"/>
      <c r="BE56" s="125"/>
    </row>
    <row r="57" spans="1:59" s="134" customFormat="1">
      <c r="A57" s="90" t="s">
        <v>823</v>
      </c>
      <c r="B57" s="90"/>
      <c r="C57" s="90"/>
      <c r="D57" s="90"/>
      <c r="E57" s="90"/>
      <c r="F57" s="140">
        <v>0.1429</v>
      </c>
      <c r="G57" s="113">
        <v>0.24490000000000001</v>
      </c>
      <c r="H57" s="113">
        <v>0.1749</v>
      </c>
      <c r="I57" s="113">
        <v>0.1249</v>
      </c>
      <c r="J57" s="113">
        <v>8.9300000000000004E-2</v>
      </c>
      <c r="K57" s="113">
        <v>8.9200000000000002E-2</v>
      </c>
      <c r="L57" s="113">
        <v>8.9300000000000004E-2</v>
      </c>
      <c r="M57" s="113">
        <v>4.4600000000000001E-2</v>
      </c>
      <c r="N57" s="90"/>
      <c r="O57" s="90"/>
      <c r="P57" s="90"/>
      <c r="Q57" s="90"/>
      <c r="R57" s="90"/>
      <c r="S57" s="90"/>
      <c r="T57" s="90"/>
      <c r="U57" s="90"/>
      <c r="V57" s="90"/>
      <c r="W57" s="90"/>
      <c r="X57" s="90"/>
      <c r="Y57" s="90"/>
      <c r="Z57" s="90"/>
      <c r="AA57" s="90"/>
      <c r="AB57" s="90"/>
      <c r="AC57" s="90"/>
      <c r="AD57" s="90"/>
      <c r="AE57" s="90"/>
      <c r="AF57" s="90"/>
      <c r="AG57" s="90"/>
      <c r="AH57" s="90"/>
      <c r="AI57" s="90"/>
      <c r="AJ57" s="125"/>
      <c r="AK57" s="125"/>
      <c r="AL57" s="125"/>
      <c r="AM57" s="125"/>
      <c r="AN57" s="125"/>
      <c r="AO57" s="125"/>
      <c r="AP57" s="125"/>
      <c r="AQ57" s="125"/>
      <c r="AR57" s="125"/>
      <c r="AS57" s="125"/>
      <c r="AT57" s="125"/>
      <c r="AU57" s="125"/>
      <c r="AV57" s="125"/>
      <c r="AW57" s="125"/>
      <c r="AX57" s="125"/>
      <c r="AY57" s="125"/>
      <c r="AZ57" s="125"/>
      <c r="BA57" s="125"/>
      <c r="BB57" s="125"/>
      <c r="BC57" s="125"/>
      <c r="BD57" s="125"/>
      <c r="BE57" s="125"/>
    </row>
    <row r="58" spans="1:59" s="134" customFormat="1">
      <c r="A58" s="90" t="s">
        <v>824</v>
      </c>
      <c r="B58" s="90"/>
      <c r="C58" s="90"/>
      <c r="D58" s="90"/>
      <c r="E58" s="90"/>
      <c r="F58" s="133">
        <f>$B$5*F57</f>
        <v>616596.93911850743</v>
      </c>
      <c r="G58" s="133">
        <f t="shared" ref="G58:M58" si="8">$B$5*G57</f>
        <v>1056715.1181953987</v>
      </c>
      <c r="H58" s="133">
        <f t="shared" si="8"/>
        <v>754673.23059361055</v>
      </c>
      <c r="I58" s="133">
        <f t="shared" si="8"/>
        <v>538929.02516376192</v>
      </c>
      <c r="J58" s="133">
        <f t="shared" si="8"/>
        <v>385319.15089770971</v>
      </c>
      <c r="K58" s="133">
        <f t="shared" si="8"/>
        <v>384887.66248684999</v>
      </c>
      <c r="L58" s="133">
        <f t="shared" si="8"/>
        <v>385319.15089770971</v>
      </c>
      <c r="M58" s="133">
        <f t="shared" si="8"/>
        <v>192443.831243425</v>
      </c>
      <c r="N58" s="135"/>
      <c r="O58" s="135"/>
      <c r="P58" s="135"/>
      <c r="Q58" s="135"/>
      <c r="R58" s="135"/>
      <c r="S58" s="135"/>
      <c r="T58" s="135"/>
      <c r="U58" s="135"/>
      <c r="V58" s="135"/>
      <c r="W58" s="135"/>
      <c r="X58" s="135"/>
      <c r="Y58" s="135"/>
      <c r="Z58" s="135"/>
      <c r="AA58" s="135"/>
      <c r="AB58" s="135"/>
      <c r="AC58" s="135"/>
      <c r="AD58" s="135"/>
      <c r="AE58" s="135"/>
      <c r="AF58" s="135"/>
      <c r="AG58" s="135"/>
      <c r="AH58" s="135"/>
      <c r="AI58" s="135"/>
      <c r="AJ58" s="125"/>
      <c r="AK58" s="125"/>
      <c r="AL58" s="125"/>
      <c r="AM58" s="125"/>
      <c r="AN58" s="125"/>
      <c r="AO58" s="125"/>
      <c r="AP58" s="125"/>
      <c r="AQ58" s="125"/>
      <c r="AR58" s="125"/>
      <c r="AS58" s="125"/>
      <c r="AT58" s="125"/>
      <c r="AU58" s="125"/>
      <c r="AV58" s="125"/>
      <c r="AW58" s="125"/>
      <c r="AX58" s="125"/>
      <c r="AY58" s="125"/>
      <c r="AZ58" s="125"/>
      <c r="BA58" s="125"/>
      <c r="BB58" s="125"/>
      <c r="BC58" s="125"/>
      <c r="BD58" s="125"/>
      <c r="BE58" s="125"/>
    </row>
    <row r="59" spans="1:59" s="134" customFormat="1">
      <c r="A59" s="90" t="s">
        <v>825</v>
      </c>
      <c r="B59" s="90"/>
      <c r="C59" s="90"/>
      <c r="D59" s="90"/>
      <c r="E59" s="90"/>
      <c r="F59" s="133">
        <f>$B$5-$B$18-F58</f>
        <v>3698287.1694784658</v>
      </c>
      <c r="G59" s="133">
        <f>F59-G58</f>
        <v>2641572.0512830671</v>
      </c>
      <c r="H59" s="133">
        <f t="shared" ref="H59:M59" si="9">G59-H58</f>
        <v>1886898.8206894565</v>
      </c>
      <c r="I59" s="133">
        <f>H59-I58</f>
        <v>1347969.7955256947</v>
      </c>
      <c r="J59" s="133">
        <f t="shared" si="9"/>
        <v>962650.64462798508</v>
      </c>
      <c r="K59" s="133">
        <f t="shared" si="9"/>
        <v>577762.98214113503</v>
      </c>
      <c r="L59" s="133">
        <f>K59-L58</f>
        <v>192443.83124342532</v>
      </c>
      <c r="M59" s="133">
        <f t="shared" si="9"/>
        <v>3.2014213502407074E-10</v>
      </c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25"/>
      <c r="AK59" s="125"/>
      <c r="AL59" s="125"/>
      <c r="AM59" s="125"/>
      <c r="AN59" s="125"/>
      <c r="AO59" s="125"/>
      <c r="AP59" s="125"/>
      <c r="AQ59" s="125"/>
      <c r="AR59" s="125"/>
      <c r="AS59" s="125"/>
      <c r="AT59" s="125"/>
      <c r="AU59" s="125"/>
      <c r="AV59" s="125"/>
      <c r="AW59" s="125"/>
      <c r="AX59" s="125"/>
      <c r="AY59" s="125"/>
      <c r="AZ59" s="125"/>
      <c r="BA59" s="125"/>
      <c r="BB59" s="125"/>
      <c r="BC59" s="125"/>
      <c r="BD59" s="125"/>
      <c r="BE59" s="125"/>
    </row>
    <row r="60" spans="1:59" s="134" customFormat="1">
      <c r="A60" s="90" t="s">
        <v>826</v>
      </c>
      <c r="B60" s="90"/>
      <c r="C60" s="90"/>
      <c r="D60" s="90"/>
      <c r="E60" s="90"/>
      <c r="F60" s="113">
        <v>3.7499999999999999E-2</v>
      </c>
      <c r="G60" s="113">
        <v>7.2190000000000004E-2</v>
      </c>
      <c r="H60" s="113">
        <v>6.6769999999999996E-2</v>
      </c>
      <c r="I60" s="113">
        <v>6.1769999999999999E-2</v>
      </c>
      <c r="J60" s="113">
        <v>5.713E-2</v>
      </c>
      <c r="K60" s="113">
        <v>5.2850000000000001E-2</v>
      </c>
      <c r="L60" s="113">
        <v>4.888E-2</v>
      </c>
      <c r="M60" s="113">
        <v>4.5220000000000003E-2</v>
      </c>
      <c r="N60" s="113">
        <v>4.462E-2</v>
      </c>
      <c r="O60" s="113">
        <v>4.4609999999999997E-2</v>
      </c>
      <c r="P60" s="113">
        <v>4.462E-2</v>
      </c>
      <c r="Q60" s="113">
        <v>4.4609999999999997E-2</v>
      </c>
      <c r="R60" s="113">
        <v>4.462E-2</v>
      </c>
      <c r="S60" s="113">
        <v>4.4609999999999997E-2</v>
      </c>
      <c r="T60" s="113">
        <v>4.462E-2</v>
      </c>
      <c r="U60" s="113">
        <v>4.4609999999999997E-2</v>
      </c>
      <c r="V60" s="113">
        <v>4.462E-2</v>
      </c>
      <c r="W60" s="113">
        <v>4.4609999999999997E-2</v>
      </c>
      <c r="X60" s="113">
        <v>4.462E-2</v>
      </c>
      <c r="Y60" s="113">
        <v>4.4609999999999997E-2</v>
      </c>
      <c r="Z60" s="113">
        <v>2.231E-2</v>
      </c>
      <c r="AA60" s="141"/>
      <c r="AB60" s="141"/>
      <c r="AC60" s="141"/>
      <c r="AD60" s="141"/>
      <c r="AE60" s="141"/>
      <c r="AF60" s="141"/>
      <c r="AG60" s="141"/>
      <c r="AH60" s="141"/>
      <c r="AI60" s="141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</row>
    <row r="61" spans="1:59" s="134" customFormat="1">
      <c r="A61" s="90" t="s">
        <v>824</v>
      </c>
      <c r="B61" s="90"/>
      <c r="C61" s="90"/>
      <c r="D61" s="90"/>
      <c r="E61" s="90"/>
      <c r="F61" s="133">
        <f t="shared" ref="F61:Z61" si="10">$B$6*F60</f>
        <v>0</v>
      </c>
      <c r="G61" s="133">
        <f t="shared" si="10"/>
        <v>0</v>
      </c>
      <c r="H61" s="133">
        <f t="shared" si="10"/>
        <v>0</v>
      </c>
      <c r="I61" s="133">
        <f t="shared" si="10"/>
        <v>0</v>
      </c>
      <c r="J61" s="133">
        <f t="shared" si="10"/>
        <v>0</v>
      </c>
      <c r="K61" s="133">
        <f t="shared" si="10"/>
        <v>0</v>
      </c>
      <c r="L61" s="133">
        <f t="shared" si="10"/>
        <v>0</v>
      </c>
      <c r="M61" s="133">
        <f t="shared" si="10"/>
        <v>0</v>
      </c>
      <c r="N61" s="133">
        <f t="shared" si="10"/>
        <v>0</v>
      </c>
      <c r="O61" s="133">
        <f t="shared" si="10"/>
        <v>0</v>
      </c>
      <c r="P61" s="133">
        <f t="shared" si="10"/>
        <v>0</v>
      </c>
      <c r="Q61" s="133">
        <f t="shared" si="10"/>
        <v>0</v>
      </c>
      <c r="R61" s="133">
        <f t="shared" si="10"/>
        <v>0</v>
      </c>
      <c r="S61" s="133">
        <f t="shared" si="10"/>
        <v>0</v>
      </c>
      <c r="T61" s="133">
        <f t="shared" si="10"/>
        <v>0</v>
      </c>
      <c r="U61" s="133">
        <f t="shared" si="10"/>
        <v>0</v>
      </c>
      <c r="V61" s="133">
        <f t="shared" si="10"/>
        <v>0</v>
      </c>
      <c r="W61" s="133">
        <f t="shared" si="10"/>
        <v>0</v>
      </c>
      <c r="X61" s="133">
        <f t="shared" si="10"/>
        <v>0</v>
      </c>
      <c r="Y61" s="133">
        <f t="shared" si="10"/>
        <v>0</v>
      </c>
      <c r="Z61" s="133">
        <f t="shared" si="10"/>
        <v>0</v>
      </c>
      <c r="AA61" s="141"/>
      <c r="AB61" s="141"/>
      <c r="AC61" s="141"/>
      <c r="AD61" s="141"/>
      <c r="AE61" s="141"/>
      <c r="AF61" s="141"/>
      <c r="AG61" s="141"/>
      <c r="AH61" s="141"/>
      <c r="AI61" s="141"/>
      <c r="AJ61" s="125"/>
      <c r="AK61" s="125"/>
      <c r="AL61" s="125"/>
      <c r="AM61" s="125"/>
      <c r="AN61" s="125"/>
      <c r="AO61" s="125"/>
      <c r="AP61" s="125"/>
      <c r="AQ61" s="125"/>
      <c r="AR61" s="125"/>
      <c r="AS61" s="125"/>
      <c r="AT61" s="125"/>
      <c r="AU61" s="125"/>
      <c r="AV61" s="125"/>
      <c r="AW61" s="125"/>
      <c r="AX61" s="125"/>
      <c r="AY61" s="125"/>
      <c r="AZ61" s="125"/>
      <c r="BA61" s="125"/>
      <c r="BB61" s="125"/>
      <c r="BC61" s="125"/>
      <c r="BD61" s="125"/>
      <c r="BE61" s="125"/>
    </row>
    <row r="62" spans="1:59" s="134" customFormat="1" ht="14" thickBot="1">
      <c r="A62" s="137" t="s">
        <v>825</v>
      </c>
      <c r="B62" s="137"/>
      <c r="C62" s="137"/>
      <c r="D62" s="137"/>
      <c r="E62" s="137"/>
      <c r="F62" s="139">
        <f>B6-B19-F61</f>
        <v>0</v>
      </c>
      <c r="G62" s="139">
        <f>F62-G61</f>
        <v>0</v>
      </c>
      <c r="H62" s="139">
        <f t="shared" ref="H62:U62" si="11">G62-H61</f>
        <v>0</v>
      </c>
      <c r="I62" s="139">
        <f>H62-I61</f>
        <v>0</v>
      </c>
      <c r="J62" s="139">
        <f t="shared" si="11"/>
        <v>0</v>
      </c>
      <c r="K62" s="139">
        <f t="shared" si="11"/>
        <v>0</v>
      </c>
      <c r="L62" s="139">
        <f>K62-L61</f>
        <v>0</v>
      </c>
      <c r="M62" s="139">
        <f t="shared" si="11"/>
        <v>0</v>
      </c>
      <c r="N62" s="139">
        <f t="shared" si="11"/>
        <v>0</v>
      </c>
      <c r="O62" s="139">
        <f t="shared" si="11"/>
        <v>0</v>
      </c>
      <c r="P62" s="139">
        <f t="shared" si="11"/>
        <v>0</v>
      </c>
      <c r="Q62" s="139">
        <f t="shared" si="11"/>
        <v>0</v>
      </c>
      <c r="R62" s="139">
        <f t="shared" si="11"/>
        <v>0</v>
      </c>
      <c r="S62" s="139">
        <f t="shared" si="11"/>
        <v>0</v>
      </c>
      <c r="T62" s="139">
        <f t="shared" si="11"/>
        <v>0</v>
      </c>
      <c r="U62" s="139">
        <f t="shared" si="11"/>
        <v>0</v>
      </c>
      <c r="V62" s="139">
        <f>U62-V61</f>
        <v>0</v>
      </c>
      <c r="W62" s="139">
        <f>V62-W61</f>
        <v>0</v>
      </c>
      <c r="X62" s="139">
        <f>W62-X61</f>
        <v>0</v>
      </c>
      <c r="Y62" s="139">
        <f>X62-Y61</f>
        <v>0</v>
      </c>
      <c r="Z62" s="139">
        <f>Y62-Z61</f>
        <v>0</v>
      </c>
      <c r="AA62" s="142"/>
      <c r="AB62" s="142"/>
      <c r="AC62" s="142"/>
      <c r="AD62" s="142"/>
      <c r="AE62" s="142"/>
      <c r="AF62" s="142"/>
      <c r="AG62" s="142"/>
      <c r="AH62" s="142"/>
      <c r="AI62" s="142"/>
      <c r="AJ62" s="125"/>
      <c r="AK62" s="125"/>
      <c r="AL62" s="125"/>
      <c r="AM62" s="125"/>
      <c r="AN62" s="125"/>
      <c r="AO62" s="125"/>
      <c r="AP62" s="125"/>
      <c r="AQ62" s="125"/>
      <c r="AR62" s="125"/>
      <c r="AS62" s="125"/>
      <c r="AT62" s="125"/>
      <c r="AU62" s="125"/>
      <c r="AV62" s="125"/>
      <c r="AW62" s="125"/>
      <c r="AX62" s="125"/>
      <c r="AY62" s="125"/>
      <c r="AZ62" s="125"/>
      <c r="BA62" s="125"/>
      <c r="BB62" s="125"/>
      <c r="BC62" s="125"/>
      <c r="BD62" s="125"/>
      <c r="BE62" s="125"/>
    </row>
    <row r="63" spans="1:59" s="134" customFormat="1">
      <c r="A63" s="125" t="s">
        <v>827</v>
      </c>
      <c r="B63" s="125"/>
      <c r="C63" s="125"/>
      <c r="D63" s="125"/>
      <c r="E63" s="125"/>
      <c r="F63" s="136">
        <f>F49-F55-F58-F61-F45</f>
        <v>-325116.46156537661</v>
      </c>
      <c r="G63" s="136">
        <f t="shared" ref="G63:AI63" si="12">G49-G55-G58-G61-G45</f>
        <v>-584139.51384269551</v>
      </c>
      <c r="H63" s="136">
        <f t="shared" si="12"/>
        <v>-282097.62624090735</v>
      </c>
      <c r="I63" s="136">
        <f t="shared" si="12"/>
        <v>-66353.420811058721</v>
      </c>
      <c r="J63" s="136">
        <f t="shared" si="12"/>
        <v>87256.453454993491</v>
      </c>
      <c r="K63" s="133">
        <f t="shared" si="12"/>
        <v>87687.941865853209</v>
      </c>
      <c r="L63" s="133">
        <f t="shared" si="12"/>
        <v>87256.453454993491</v>
      </c>
      <c r="M63" s="133">
        <f t="shared" si="12"/>
        <v>280131.77310927818</v>
      </c>
      <c r="N63" s="133">
        <f t="shared" si="12"/>
        <v>472575.6043527032</v>
      </c>
      <c r="O63" s="133">
        <f t="shared" si="12"/>
        <v>472575.6043527032</v>
      </c>
      <c r="P63" s="133">
        <f t="shared" si="12"/>
        <v>472575.6043527032</v>
      </c>
      <c r="Q63" s="133">
        <f t="shared" si="12"/>
        <v>472575.6043527032</v>
      </c>
      <c r="R63" s="133">
        <f t="shared" si="12"/>
        <v>472575.6043527032</v>
      </c>
      <c r="S63" s="133">
        <f t="shared" si="12"/>
        <v>472575.6043527032</v>
      </c>
      <c r="T63" s="133">
        <f t="shared" si="12"/>
        <v>472575.6043527032</v>
      </c>
      <c r="U63" s="133">
        <f t="shared" si="12"/>
        <v>472575.6043527032</v>
      </c>
      <c r="V63" s="133">
        <f t="shared" si="12"/>
        <v>472575.6043527032</v>
      </c>
      <c r="W63" s="133">
        <f t="shared" si="12"/>
        <v>472575.6043527032</v>
      </c>
      <c r="X63" s="133">
        <f t="shared" si="12"/>
        <v>472575.6043527032</v>
      </c>
      <c r="Y63" s="133">
        <f t="shared" si="12"/>
        <v>472575.6043527032</v>
      </c>
      <c r="Z63" s="133">
        <f t="shared" si="12"/>
        <v>472575.6043527032</v>
      </c>
      <c r="AA63" s="133">
        <f t="shared" si="12"/>
        <v>472575.6043527032</v>
      </c>
      <c r="AB63" s="133">
        <f t="shared" si="12"/>
        <v>472575.6043527032</v>
      </c>
      <c r="AC63" s="133">
        <f t="shared" si="12"/>
        <v>472575.6043527032</v>
      </c>
      <c r="AD63" s="133">
        <f t="shared" si="12"/>
        <v>472575.6043527032</v>
      </c>
      <c r="AE63" s="133">
        <f t="shared" si="12"/>
        <v>472575.6043527032</v>
      </c>
      <c r="AF63" s="133">
        <f t="shared" si="12"/>
        <v>472575.6043527032</v>
      </c>
      <c r="AG63" s="133">
        <f t="shared" si="12"/>
        <v>472575.6043527032</v>
      </c>
      <c r="AH63" s="133">
        <f t="shared" si="12"/>
        <v>472575.6043527032</v>
      </c>
      <c r="AI63" s="133">
        <f t="shared" si="12"/>
        <v>472575.6043527032</v>
      </c>
      <c r="AJ63" s="125"/>
      <c r="AK63" s="125"/>
      <c r="AL63" s="125"/>
      <c r="AM63" s="125"/>
      <c r="AN63" s="125"/>
      <c r="AO63" s="125"/>
      <c r="AP63" s="125"/>
      <c r="AQ63" s="125"/>
      <c r="AR63" s="125"/>
      <c r="AS63" s="125"/>
      <c r="AT63" s="125"/>
      <c r="AU63" s="125"/>
      <c r="AV63" s="125"/>
      <c r="AW63" s="125"/>
      <c r="AX63" s="125"/>
      <c r="AY63" s="125"/>
      <c r="AZ63" s="125"/>
      <c r="BA63" s="125"/>
      <c r="BB63" s="125"/>
      <c r="BC63" s="125"/>
      <c r="BD63" s="125"/>
      <c r="BE63" s="125"/>
    </row>
    <row r="64" spans="1:59" s="134" customFormat="1">
      <c r="A64" s="90" t="s">
        <v>828</v>
      </c>
      <c r="B64" s="90"/>
      <c r="C64" s="90"/>
      <c r="D64" s="90"/>
      <c r="E64" s="90"/>
      <c r="F64" s="133"/>
      <c r="G64" s="136">
        <f>IF(F65&lt;0,F65,0)</f>
        <v>-325116.46156537661</v>
      </c>
      <c r="H64" s="136">
        <f t="shared" ref="H64:AH64" si="13">IF(G65&lt;0,G65,0)</f>
        <v>-909255.97540807212</v>
      </c>
      <c r="I64" s="136">
        <f>IF(H65&lt;0,H65,0)</f>
        <v>-1191353.6016489794</v>
      </c>
      <c r="J64" s="136">
        <f t="shared" si="13"/>
        <v>-1257707.0224600381</v>
      </c>
      <c r="K64" s="136">
        <f t="shared" si="13"/>
        <v>-1170450.5690050446</v>
      </c>
      <c r="L64" s="136">
        <f>IF(K65&lt;0,K65,0)</f>
        <v>-1082762.6271391914</v>
      </c>
      <c r="M64" s="136">
        <f t="shared" si="13"/>
        <v>-995506.17368419794</v>
      </c>
      <c r="N64" s="136">
        <f t="shared" si="13"/>
        <v>-715374.40057491977</v>
      </c>
      <c r="O64" s="133">
        <f t="shared" si="13"/>
        <v>-242798.79622221657</v>
      </c>
      <c r="P64" s="133">
        <f t="shared" si="13"/>
        <v>0</v>
      </c>
      <c r="Q64" s="133">
        <f t="shared" si="13"/>
        <v>0</v>
      </c>
      <c r="R64" s="133">
        <f t="shared" si="13"/>
        <v>0</v>
      </c>
      <c r="S64" s="133">
        <f t="shared" si="13"/>
        <v>0</v>
      </c>
      <c r="T64" s="133">
        <f t="shared" si="13"/>
        <v>0</v>
      </c>
      <c r="U64" s="133">
        <f t="shared" si="13"/>
        <v>0</v>
      </c>
      <c r="V64" s="133">
        <f t="shared" si="13"/>
        <v>0</v>
      </c>
      <c r="W64" s="133">
        <f t="shared" si="13"/>
        <v>0</v>
      </c>
      <c r="X64" s="133">
        <f t="shared" si="13"/>
        <v>0</v>
      </c>
      <c r="Y64" s="133">
        <f t="shared" si="13"/>
        <v>0</v>
      </c>
      <c r="Z64" s="133">
        <f t="shared" si="13"/>
        <v>0</v>
      </c>
      <c r="AA64" s="133">
        <f t="shared" si="13"/>
        <v>0</v>
      </c>
      <c r="AB64" s="133">
        <f t="shared" si="13"/>
        <v>0</v>
      </c>
      <c r="AC64" s="133">
        <f t="shared" si="13"/>
        <v>0</v>
      </c>
      <c r="AD64" s="133">
        <f t="shared" si="13"/>
        <v>0</v>
      </c>
      <c r="AE64" s="133">
        <f t="shared" si="13"/>
        <v>0</v>
      </c>
      <c r="AF64" s="133">
        <f t="shared" si="13"/>
        <v>0</v>
      </c>
      <c r="AG64" s="133">
        <f t="shared" si="13"/>
        <v>0</v>
      </c>
      <c r="AH64" s="133">
        <f t="shared" si="13"/>
        <v>0</v>
      </c>
      <c r="AI64" s="133">
        <f>IF(X65&lt;0,X65,0)</f>
        <v>0</v>
      </c>
      <c r="AJ64" s="125"/>
      <c r="AK64" s="125"/>
      <c r="AL64" s="125"/>
      <c r="AM64" s="125"/>
      <c r="AN64" s="125"/>
      <c r="AO64" s="125"/>
      <c r="AP64" s="125"/>
      <c r="AQ64" s="125"/>
      <c r="AR64" s="125"/>
      <c r="AS64" s="125"/>
      <c r="AT64" s="125"/>
      <c r="AU64" s="125"/>
      <c r="AV64" s="125"/>
      <c r="AW64" s="125"/>
      <c r="AX64" s="125"/>
      <c r="AY64" s="125"/>
      <c r="AZ64" s="125"/>
      <c r="BA64" s="125"/>
      <c r="BB64" s="125"/>
      <c r="BC64" s="125"/>
      <c r="BD64" s="125"/>
      <c r="BE64" s="125"/>
    </row>
    <row r="65" spans="1:57" s="134" customFormat="1">
      <c r="A65" s="90" t="s">
        <v>829</v>
      </c>
      <c r="B65" s="90"/>
      <c r="C65" s="90"/>
      <c r="D65" s="90"/>
      <c r="E65" s="90"/>
      <c r="F65" s="136">
        <f>F63+F64</f>
        <v>-325116.46156537661</v>
      </c>
      <c r="G65" s="136">
        <f t="shared" ref="G65:AH65" si="14">G63+G64</f>
        <v>-909255.97540807212</v>
      </c>
      <c r="H65" s="136">
        <f t="shared" si="14"/>
        <v>-1191353.6016489794</v>
      </c>
      <c r="I65" s="136">
        <f t="shared" si="14"/>
        <v>-1257707.0224600381</v>
      </c>
      <c r="J65" s="136">
        <f t="shared" si="14"/>
        <v>-1170450.5690050446</v>
      </c>
      <c r="K65" s="136">
        <f t="shared" si="14"/>
        <v>-1082762.6271391914</v>
      </c>
      <c r="L65" s="136">
        <f t="shared" si="14"/>
        <v>-995506.17368419794</v>
      </c>
      <c r="M65" s="136">
        <f t="shared" si="14"/>
        <v>-715374.40057491977</v>
      </c>
      <c r="N65" s="133">
        <f>N63+N64</f>
        <v>-242798.79622221657</v>
      </c>
      <c r="O65" s="133">
        <f t="shared" si="14"/>
        <v>229776.80813048664</v>
      </c>
      <c r="P65" s="133">
        <f t="shared" si="14"/>
        <v>472575.6043527032</v>
      </c>
      <c r="Q65" s="133">
        <f t="shared" si="14"/>
        <v>472575.6043527032</v>
      </c>
      <c r="R65" s="133">
        <f t="shared" si="14"/>
        <v>472575.6043527032</v>
      </c>
      <c r="S65" s="133">
        <f t="shared" si="14"/>
        <v>472575.6043527032</v>
      </c>
      <c r="T65" s="133">
        <f t="shared" si="14"/>
        <v>472575.6043527032</v>
      </c>
      <c r="U65" s="133">
        <f t="shared" si="14"/>
        <v>472575.6043527032</v>
      </c>
      <c r="V65" s="133">
        <f t="shared" si="14"/>
        <v>472575.6043527032</v>
      </c>
      <c r="W65" s="133">
        <f t="shared" si="14"/>
        <v>472575.6043527032</v>
      </c>
      <c r="X65" s="133">
        <f t="shared" si="14"/>
        <v>472575.6043527032</v>
      </c>
      <c r="Y65" s="133">
        <f t="shared" si="14"/>
        <v>472575.6043527032</v>
      </c>
      <c r="Z65" s="133">
        <f t="shared" si="14"/>
        <v>472575.6043527032</v>
      </c>
      <c r="AA65" s="133">
        <f t="shared" si="14"/>
        <v>472575.6043527032</v>
      </c>
      <c r="AB65" s="133">
        <f t="shared" si="14"/>
        <v>472575.6043527032</v>
      </c>
      <c r="AC65" s="133">
        <f t="shared" si="14"/>
        <v>472575.6043527032</v>
      </c>
      <c r="AD65" s="133">
        <f t="shared" si="14"/>
        <v>472575.6043527032</v>
      </c>
      <c r="AE65" s="133">
        <f t="shared" si="14"/>
        <v>472575.6043527032</v>
      </c>
      <c r="AF65" s="133">
        <f t="shared" si="14"/>
        <v>472575.6043527032</v>
      </c>
      <c r="AG65" s="133">
        <f t="shared" si="14"/>
        <v>472575.6043527032</v>
      </c>
      <c r="AH65" s="133">
        <f t="shared" si="14"/>
        <v>472575.6043527032</v>
      </c>
      <c r="AI65" s="133">
        <f>AI63+AI64</f>
        <v>472575.6043527032</v>
      </c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  <c r="AZ65" s="125"/>
      <c r="BA65" s="125"/>
      <c r="BB65" s="125"/>
      <c r="BC65" s="125"/>
      <c r="BD65" s="125"/>
      <c r="BE65" s="125"/>
    </row>
    <row r="66" spans="1:57" s="134" customFormat="1" ht="14" thickBot="1">
      <c r="A66" s="137" t="s">
        <v>830</v>
      </c>
      <c r="B66" s="137"/>
      <c r="C66" s="137"/>
      <c r="D66" s="137"/>
      <c r="E66" s="137"/>
      <c r="F66" s="139">
        <f>IF(F65*($B$32)&lt;0,0,F65*$B$32)</f>
        <v>0</v>
      </c>
      <c r="G66" s="139">
        <f t="shared" ref="G66:AH66" si="15">IF(G65*($B$32)&lt;0,0,G65*$B$32)</f>
        <v>0</v>
      </c>
      <c r="H66" s="139">
        <f t="shared" si="15"/>
        <v>0</v>
      </c>
      <c r="I66" s="139">
        <f t="shared" si="15"/>
        <v>0</v>
      </c>
      <c r="J66" s="139">
        <f t="shared" si="15"/>
        <v>0</v>
      </c>
      <c r="K66" s="139">
        <f t="shared" si="15"/>
        <v>0</v>
      </c>
      <c r="L66" s="139">
        <f t="shared" si="15"/>
        <v>0</v>
      </c>
      <c r="M66" s="139">
        <f t="shared" si="15"/>
        <v>0</v>
      </c>
      <c r="N66" s="139">
        <f t="shared" si="15"/>
        <v>0</v>
      </c>
      <c r="O66" s="139">
        <f t="shared" si="15"/>
        <v>0</v>
      </c>
      <c r="P66" s="139">
        <f t="shared" si="15"/>
        <v>0</v>
      </c>
      <c r="Q66" s="139">
        <f t="shared" si="15"/>
        <v>0</v>
      </c>
      <c r="R66" s="139">
        <f t="shared" si="15"/>
        <v>0</v>
      </c>
      <c r="S66" s="139">
        <f t="shared" si="15"/>
        <v>0</v>
      </c>
      <c r="T66" s="139">
        <f t="shared" si="15"/>
        <v>0</v>
      </c>
      <c r="U66" s="139">
        <f t="shared" si="15"/>
        <v>0</v>
      </c>
      <c r="V66" s="139">
        <f t="shared" si="15"/>
        <v>0</v>
      </c>
      <c r="W66" s="139">
        <f t="shared" si="15"/>
        <v>0</v>
      </c>
      <c r="X66" s="139">
        <f t="shared" si="15"/>
        <v>0</v>
      </c>
      <c r="Y66" s="139">
        <f t="shared" si="15"/>
        <v>0</v>
      </c>
      <c r="Z66" s="139">
        <f t="shared" si="15"/>
        <v>0</v>
      </c>
      <c r="AA66" s="139">
        <f t="shared" si="15"/>
        <v>0</v>
      </c>
      <c r="AB66" s="139">
        <f t="shared" si="15"/>
        <v>0</v>
      </c>
      <c r="AC66" s="139">
        <f t="shared" si="15"/>
        <v>0</v>
      </c>
      <c r="AD66" s="139">
        <f t="shared" si="15"/>
        <v>0</v>
      </c>
      <c r="AE66" s="139">
        <f t="shared" si="15"/>
        <v>0</v>
      </c>
      <c r="AF66" s="139">
        <f t="shared" si="15"/>
        <v>0</v>
      </c>
      <c r="AG66" s="139">
        <f t="shared" si="15"/>
        <v>0</v>
      </c>
      <c r="AH66" s="139">
        <f t="shared" si="15"/>
        <v>0</v>
      </c>
      <c r="AI66" s="139">
        <f>IF(AI65*($B$32)&lt;0,0,AI65*$B$32)</f>
        <v>0</v>
      </c>
      <c r="AJ66" s="125"/>
      <c r="AK66" s="125"/>
      <c r="AL66" s="125"/>
      <c r="AM66" s="125"/>
      <c r="AN66" s="125"/>
      <c r="AO66" s="125"/>
      <c r="AP66" s="125"/>
      <c r="AQ66" s="125"/>
      <c r="AR66" s="125"/>
      <c r="AS66" s="125"/>
      <c r="AT66" s="125"/>
      <c r="AU66" s="125"/>
      <c r="AV66" s="125"/>
      <c r="AW66" s="125"/>
      <c r="AX66" s="125"/>
      <c r="AY66" s="125"/>
      <c r="AZ66" s="125"/>
      <c r="BA66" s="125"/>
      <c r="BB66" s="125"/>
      <c r="BC66" s="125"/>
      <c r="BD66" s="125"/>
      <c r="BE66" s="125"/>
    </row>
    <row r="67" spans="1:57" s="134" customFormat="1">
      <c r="A67" s="90" t="s">
        <v>831</v>
      </c>
      <c r="B67" s="90"/>
      <c r="C67" s="90"/>
      <c r="D67" s="90"/>
      <c r="E67" s="90"/>
      <c r="F67" s="133">
        <f t="shared" ref="F67:AI67" si="16">F49-F55-F66-F44</f>
        <v>291480.47755313083</v>
      </c>
      <c r="G67" s="133">
        <f t="shared" si="16"/>
        <v>472575.6043527032</v>
      </c>
      <c r="H67" s="133">
        <f t="shared" si="16"/>
        <v>472575.6043527032</v>
      </c>
      <c r="I67" s="133">
        <f t="shared" si="16"/>
        <v>472575.6043527032</v>
      </c>
      <c r="J67" s="133">
        <f t="shared" si="16"/>
        <v>472575.6043527032</v>
      </c>
      <c r="K67" s="133">
        <f t="shared" si="16"/>
        <v>472575.6043527032</v>
      </c>
      <c r="L67" s="133">
        <f t="shared" si="16"/>
        <v>472575.6043527032</v>
      </c>
      <c r="M67" s="133">
        <f t="shared" si="16"/>
        <v>472575.6043527032</v>
      </c>
      <c r="N67" s="133">
        <f t="shared" si="16"/>
        <v>472575.6043527032</v>
      </c>
      <c r="O67" s="133">
        <f t="shared" si="16"/>
        <v>472575.6043527032</v>
      </c>
      <c r="P67" s="133">
        <f t="shared" si="16"/>
        <v>472575.6043527032</v>
      </c>
      <c r="Q67" s="133">
        <f t="shared" si="16"/>
        <v>472575.6043527032</v>
      </c>
      <c r="R67" s="133">
        <f t="shared" si="16"/>
        <v>472575.6043527032</v>
      </c>
      <c r="S67" s="133">
        <f t="shared" si="16"/>
        <v>472575.6043527032</v>
      </c>
      <c r="T67" s="133">
        <f t="shared" si="16"/>
        <v>472575.6043527032</v>
      </c>
      <c r="U67" s="133">
        <f t="shared" si="16"/>
        <v>472575.6043527032</v>
      </c>
      <c r="V67" s="133">
        <f t="shared" si="16"/>
        <v>472575.6043527032</v>
      </c>
      <c r="W67" s="133">
        <f t="shared" si="16"/>
        <v>472575.6043527032</v>
      </c>
      <c r="X67" s="133">
        <f t="shared" si="16"/>
        <v>472575.6043527032</v>
      </c>
      <c r="Y67" s="133">
        <f t="shared" si="16"/>
        <v>472575.6043527032</v>
      </c>
      <c r="Z67" s="133">
        <f t="shared" si="16"/>
        <v>472575.6043527032</v>
      </c>
      <c r="AA67" s="133">
        <f t="shared" si="16"/>
        <v>472575.6043527032</v>
      </c>
      <c r="AB67" s="133">
        <f t="shared" si="16"/>
        <v>472575.6043527032</v>
      </c>
      <c r="AC67" s="133">
        <f t="shared" si="16"/>
        <v>472575.6043527032</v>
      </c>
      <c r="AD67" s="133">
        <f t="shared" si="16"/>
        <v>472575.6043527032</v>
      </c>
      <c r="AE67" s="133">
        <f t="shared" si="16"/>
        <v>472575.6043527032</v>
      </c>
      <c r="AF67" s="133">
        <f t="shared" si="16"/>
        <v>472575.6043527032</v>
      </c>
      <c r="AG67" s="133">
        <f t="shared" si="16"/>
        <v>472575.6043527032</v>
      </c>
      <c r="AH67" s="133">
        <f t="shared" si="16"/>
        <v>472575.6043527032</v>
      </c>
      <c r="AI67" s="133">
        <f t="shared" si="16"/>
        <v>472575.6043527032</v>
      </c>
      <c r="AJ67" s="125"/>
      <c r="AK67" s="125"/>
      <c r="AL67" s="125"/>
      <c r="AM67" s="125"/>
      <c r="AN67" s="125"/>
      <c r="AO67" s="125"/>
      <c r="AP67" s="125"/>
      <c r="AQ67" s="125"/>
      <c r="AR67" s="125"/>
      <c r="AS67" s="125"/>
      <c r="AT67" s="125"/>
      <c r="AU67" s="125"/>
      <c r="AV67" s="125"/>
      <c r="AW67" s="125"/>
      <c r="AX67" s="125"/>
      <c r="AY67" s="125"/>
      <c r="AZ67" s="125"/>
      <c r="BA67" s="125"/>
      <c r="BB67" s="125"/>
      <c r="BC67" s="125"/>
      <c r="BD67" s="125"/>
      <c r="BE67" s="125"/>
    </row>
    <row r="68" spans="1:57" s="144" customFormat="1">
      <c r="A68" s="143" t="s">
        <v>832</v>
      </c>
      <c r="B68" s="143"/>
      <c r="C68" s="143">
        <f t="shared" ref="C68:AH68" si="17">1/(1+$B$31)^C40</f>
        <v>1.1025</v>
      </c>
      <c r="D68" s="143">
        <f t="shared" si="17"/>
        <v>1.05</v>
      </c>
      <c r="E68" s="143">
        <f t="shared" si="17"/>
        <v>1</v>
      </c>
      <c r="F68" s="143">
        <f>1/(1+$B$31)^F40</f>
        <v>0.95238095238095233</v>
      </c>
      <c r="G68" s="143">
        <f t="shared" si="17"/>
        <v>0.90702947845804982</v>
      </c>
      <c r="H68" s="143">
        <f t="shared" si="17"/>
        <v>0.86383759853147601</v>
      </c>
      <c r="I68" s="143">
        <f t="shared" si="17"/>
        <v>0.82270247479188197</v>
      </c>
      <c r="J68" s="143">
        <f t="shared" si="17"/>
        <v>0.78352616646845896</v>
      </c>
      <c r="K68" s="143">
        <f t="shared" si="17"/>
        <v>0.74621539663662761</v>
      </c>
      <c r="L68" s="143">
        <f t="shared" si="17"/>
        <v>0.71068133013012147</v>
      </c>
      <c r="M68" s="143">
        <f t="shared" si="17"/>
        <v>0.67683936202868722</v>
      </c>
      <c r="N68" s="143">
        <f t="shared" si="17"/>
        <v>0.64460891621779726</v>
      </c>
      <c r="O68" s="143">
        <f t="shared" si="17"/>
        <v>0.61391325354075932</v>
      </c>
      <c r="P68" s="143">
        <f t="shared" si="17"/>
        <v>0.5846792890864374</v>
      </c>
      <c r="Q68" s="143">
        <f t="shared" si="17"/>
        <v>0.5568374181775595</v>
      </c>
      <c r="R68" s="143">
        <f t="shared" si="17"/>
        <v>0.53032135064529462</v>
      </c>
      <c r="S68" s="143">
        <f t="shared" si="17"/>
        <v>0.50506795299551888</v>
      </c>
      <c r="T68" s="143">
        <f t="shared" si="17"/>
        <v>0.48101709809097021</v>
      </c>
      <c r="U68" s="143">
        <f t="shared" si="17"/>
        <v>0.45811152199140021</v>
      </c>
      <c r="V68" s="143">
        <f t="shared" si="17"/>
        <v>0.43629668761085727</v>
      </c>
      <c r="W68" s="143">
        <f t="shared" si="17"/>
        <v>0.41552065486748313</v>
      </c>
      <c r="X68" s="143">
        <f t="shared" si="17"/>
        <v>0.39573395701665059</v>
      </c>
      <c r="Y68" s="143">
        <f t="shared" si="17"/>
        <v>0.37688948287300061</v>
      </c>
      <c r="Z68" s="143">
        <f t="shared" si="17"/>
        <v>0.35894236464095297</v>
      </c>
      <c r="AA68" s="143">
        <f t="shared" si="17"/>
        <v>0.3418498710866219</v>
      </c>
      <c r="AB68" s="143">
        <f t="shared" si="17"/>
        <v>0.32557130579678267</v>
      </c>
      <c r="AC68" s="143">
        <f t="shared" si="17"/>
        <v>0.31006791028265024</v>
      </c>
      <c r="AD68" s="143">
        <f t="shared" si="17"/>
        <v>0.29530277169776209</v>
      </c>
      <c r="AE68" s="143">
        <f t="shared" si="17"/>
        <v>0.28124073495024959</v>
      </c>
      <c r="AF68" s="143">
        <f t="shared" si="17"/>
        <v>0.2678483190002377</v>
      </c>
      <c r="AG68" s="143">
        <f t="shared" si="17"/>
        <v>0.25509363714308358</v>
      </c>
      <c r="AH68" s="143">
        <f t="shared" si="17"/>
        <v>0.24294632108865097</v>
      </c>
      <c r="AI68" s="143">
        <f>1/(1+$B$31)^Y40</f>
        <v>0.37688948287300061</v>
      </c>
    </row>
    <row r="69" spans="1:57" s="134" customFormat="1">
      <c r="A69" s="90" t="s">
        <v>833</v>
      </c>
      <c r="B69" s="133">
        <f>SUM(F69:AI69)</f>
        <v>7160939.2225893186</v>
      </c>
      <c r="C69" s="90"/>
      <c r="D69" s="90"/>
      <c r="E69" s="90"/>
      <c r="F69" s="133">
        <f>F68*F67</f>
        <v>277600.45481250552</v>
      </c>
      <c r="G69" s="133">
        <f t="shared" ref="G69:AH69" si="18">G68*G67</f>
        <v>428640.00394803006</v>
      </c>
      <c r="H69" s="133">
        <f t="shared" si="18"/>
        <v>408228.57518860005</v>
      </c>
      <c r="I69" s="133">
        <f t="shared" si="18"/>
        <v>388789.11922723817</v>
      </c>
      <c r="J69" s="133">
        <f t="shared" si="18"/>
        <v>370275.35164498875</v>
      </c>
      <c r="K69" s="133">
        <f t="shared" si="18"/>
        <v>352643.19204284641</v>
      </c>
      <c r="L69" s="133">
        <f t="shared" si="18"/>
        <v>335850.65908842511</v>
      </c>
      <c r="M69" s="133">
        <f t="shared" si="18"/>
        <v>319857.77056040493</v>
      </c>
      <c r="N69" s="133">
        <f t="shared" si="18"/>
        <v>304626.44815276656</v>
      </c>
      <c r="O69" s="133">
        <f t="shared" si="18"/>
        <v>290120.42681215866</v>
      </c>
      <c r="P69" s="133">
        <f t="shared" si="18"/>
        <v>276305.16839253204</v>
      </c>
      <c r="Q69" s="133">
        <f t="shared" si="18"/>
        <v>263147.77942145913</v>
      </c>
      <c r="R69" s="133">
        <f t="shared" si="18"/>
        <v>250616.93278234193</v>
      </c>
      <c r="S69" s="133">
        <f t="shared" si="18"/>
        <v>238682.79312604002</v>
      </c>
      <c r="T69" s="133">
        <f t="shared" si="18"/>
        <v>227316.94583432376</v>
      </c>
      <c r="U69" s="133">
        <f t="shared" si="18"/>
        <v>216492.32936602263</v>
      </c>
      <c r="V69" s="133">
        <f t="shared" si="18"/>
        <v>206183.17082478342</v>
      </c>
      <c r="W69" s="133">
        <f t="shared" si="18"/>
        <v>196364.92459503186</v>
      </c>
      <c r="X69" s="133">
        <f t="shared" si="18"/>
        <v>187014.21390003033</v>
      </c>
      <c r="Y69" s="133">
        <f t="shared" si="18"/>
        <v>178108.77514288604</v>
      </c>
      <c r="Z69" s="133">
        <f t="shared" si="18"/>
        <v>169627.40489798671</v>
      </c>
      <c r="AA69" s="133">
        <f t="shared" si="18"/>
        <v>161549.90942665402</v>
      </c>
      <c r="AB69" s="133">
        <f t="shared" si="18"/>
        <v>153857.05659681332</v>
      </c>
      <c r="AC69" s="133">
        <f t="shared" si="18"/>
        <v>146530.5300922032</v>
      </c>
      <c r="AD69" s="133">
        <f t="shared" si="18"/>
        <v>139552.88580209826</v>
      </c>
      <c r="AE69" s="133">
        <f t="shared" si="18"/>
        <v>132907.51028771262</v>
      </c>
      <c r="AF69" s="133">
        <f t="shared" si="18"/>
        <v>126578.58122639297</v>
      </c>
      <c r="AG69" s="133">
        <f t="shared" si="18"/>
        <v>120551.02973942191</v>
      </c>
      <c r="AH69" s="133">
        <f t="shared" si="18"/>
        <v>114810.50451373511</v>
      </c>
      <c r="AI69" s="133">
        <f>AI68*AI67</f>
        <v>178108.77514288604</v>
      </c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</row>
    <row r="70" spans="1:57" s="136" customFormat="1">
      <c r="A70" s="135" t="s">
        <v>834</v>
      </c>
      <c r="B70" s="135"/>
      <c r="C70" s="133">
        <f>(C41+C42+C45)*C68</f>
        <v>380572.77837825305</v>
      </c>
      <c r="D70" s="133">
        <f>(D41+D45)*D68</f>
        <v>2718376.9884160929</v>
      </c>
      <c r="E70" s="133">
        <f>(E41+E45+E43)*E68</f>
        <v>1596507.1201808804</v>
      </c>
      <c r="F70" s="135"/>
      <c r="G70" s="135" t="s">
        <v>809</v>
      </c>
      <c r="H70" s="135"/>
      <c r="I70" s="135"/>
      <c r="J70" s="135"/>
      <c r="K70" s="135"/>
      <c r="L70" s="135"/>
      <c r="M70" s="135"/>
      <c r="N70" s="135"/>
      <c r="O70" s="135"/>
      <c r="P70" s="135"/>
      <c r="Q70" s="135"/>
      <c r="R70" s="135"/>
      <c r="S70" s="135"/>
      <c r="T70" s="135"/>
      <c r="U70" s="135"/>
      <c r="V70" s="135"/>
      <c r="W70" s="135"/>
      <c r="X70" s="135"/>
      <c r="Y70" s="135"/>
      <c r="Z70" s="135"/>
      <c r="AA70" s="135"/>
      <c r="AB70" s="135"/>
      <c r="AC70" s="135"/>
      <c r="AD70" s="135"/>
      <c r="AE70" s="135"/>
      <c r="AF70" s="135"/>
      <c r="AG70" s="135"/>
      <c r="AH70" s="135"/>
      <c r="AI70" s="135">
        <f>(AI41+AI45+AI43+AI42)*AI68</f>
        <v>-81311.722017302076</v>
      </c>
    </row>
    <row r="71" spans="1:57" s="141" customFormat="1">
      <c r="A71" s="90" t="s">
        <v>835</v>
      </c>
      <c r="B71" s="90"/>
      <c r="C71" s="133"/>
      <c r="D71" s="133"/>
      <c r="E71" s="133">
        <f>B69-SUM(B70:AI70)</f>
        <v>2546794.0576313948</v>
      </c>
      <c r="F71" s="90"/>
      <c r="G71" s="135"/>
      <c r="H71" s="90"/>
      <c r="I71" s="90"/>
      <c r="J71" s="90"/>
      <c r="K71" s="90"/>
      <c r="L71" s="90"/>
      <c r="M71" s="90"/>
      <c r="N71" s="90"/>
      <c r="O71" s="90"/>
      <c r="P71" s="90"/>
      <c r="Q71" s="90"/>
      <c r="R71" s="90"/>
      <c r="S71" s="90"/>
      <c r="T71" s="90"/>
      <c r="U71" s="90"/>
      <c r="V71" s="90"/>
      <c r="W71" s="90"/>
      <c r="X71" s="90"/>
      <c r="Y71" s="90"/>
      <c r="Z71" s="90"/>
      <c r="AA71" s="90"/>
      <c r="AB71" s="90"/>
      <c r="AC71" s="90"/>
      <c r="AD71" s="90"/>
      <c r="AE71" s="90"/>
      <c r="AF71" s="90"/>
      <c r="AG71" s="90"/>
      <c r="AH71" s="90"/>
      <c r="AI71" s="90"/>
      <c r="AJ71" s="90"/>
      <c r="AK71" s="90"/>
      <c r="AL71" s="90"/>
      <c r="AM71" s="90"/>
      <c r="AN71" s="90"/>
      <c r="AO71" s="90"/>
      <c r="AP71" s="90"/>
      <c r="AQ71" s="90"/>
      <c r="AR71" s="90"/>
      <c r="AS71" s="90"/>
      <c r="AT71" s="90"/>
      <c r="AU71" s="90"/>
      <c r="AV71" s="90"/>
      <c r="AW71" s="90"/>
      <c r="AX71" s="90"/>
      <c r="AY71" s="90"/>
      <c r="AZ71" s="90"/>
      <c r="BA71" s="90"/>
      <c r="BB71" s="90"/>
      <c r="BC71" s="90"/>
      <c r="BD71" s="90"/>
      <c r="BE71" s="90"/>
    </row>
    <row r="72" spans="1:57" s="141" customFormat="1">
      <c r="A72" s="90"/>
      <c r="B72" s="90"/>
      <c r="C72" s="90"/>
      <c r="D72" s="90"/>
      <c r="E72" s="90"/>
      <c r="F72" s="90"/>
      <c r="G72" s="135"/>
      <c r="H72" s="90"/>
      <c r="I72" s="90"/>
      <c r="J72" s="90"/>
      <c r="K72" s="90"/>
      <c r="L72" s="90"/>
      <c r="M72" s="90"/>
      <c r="N72" s="90"/>
      <c r="O72" s="90"/>
      <c r="P72" s="90"/>
      <c r="Q72" s="90"/>
      <c r="R72" s="90"/>
      <c r="S72" s="90"/>
      <c r="T72" s="90"/>
      <c r="U72" s="90"/>
      <c r="V72" s="90"/>
      <c r="W72" s="90"/>
      <c r="X72" s="90"/>
      <c r="Y72" s="90"/>
      <c r="Z72" s="90"/>
      <c r="AA72" s="90"/>
      <c r="AB72" s="90"/>
      <c r="AC72" s="90"/>
      <c r="AD72" s="90"/>
      <c r="AE72" s="90"/>
      <c r="AF72" s="90"/>
      <c r="AG72" s="90"/>
      <c r="AH72" s="90"/>
      <c r="AI72" s="90"/>
      <c r="AJ72" s="90"/>
      <c r="AK72" s="90"/>
      <c r="AL72" s="90"/>
      <c r="AM72" s="90"/>
      <c r="AN72" s="90"/>
      <c r="AO72" s="90"/>
      <c r="AP72" s="90"/>
      <c r="AQ72" s="90"/>
      <c r="AR72" s="90"/>
      <c r="AS72" s="90"/>
      <c r="AT72" s="90"/>
      <c r="AU72" s="90"/>
      <c r="AV72" s="90"/>
      <c r="AW72" s="90"/>
      <c r="AX72" s="90"/>
      <c r="AY72" s="90"/>
      <c r="AZ72" s="90"/>
      <c r="BA72" s="90"/>
      <c r="BB72" s="90"/>
      <c r="BC72" s="90"/>
      <c r="BD72" s="90"/>
      <c r="BE72" s="90"/>
    </row>
    <row r="73" spans="1:57" s="141" customFormat="1">
      <c r="A73" s="90"/>
      <c r="B73" s="90"/>
      <c r="C73" s="90"/>
      <c r="D73" s="90"/>
      <c r="E73" s="90"/>
      <c r="F73" s="90"/>
      <c r="G73" s="135" t="s">
        <v>809</v>
      </c>
      <c r="H73" s="90"/>
      <c r="I73" s="90"/>
      <c r="J73" s="90"/>
      <c r="K73" s="90"/>
      <c r="L73" s="90"/>
      <c r="M73" s="90"/>
      <c r="N73" s="90"/>
      <c r="O73" s="90"/>
      <c r="P73" s="90"/>
      <c r="Q73" s="90"/>
      <c r="R73" s="90"/>
      <c r="S73" s="90"/>
      <c r="T73" s="90"/>
      <c r="U73" s="90"/>
      <c r="V73" s="90"/>
      <c r="W73" s="90"/>
      <c r="X73" s="90"/>
      <c r="Y73" s="90"/>
      <c r="Z73" s="90"/>
      <c r="AA73" s="90"/>
      <c r="AB73" s="90"/>
      <c r="AC73" s="90"/>
      <c r="AD73" s="90"/>
      <c r="AE73" s="90"/>
      <c r="AF73" s="90"/>
      <c r="AG73" s="90"/>
      <c r="AH73" s="90"/>
      <c r="AI73" s="90"/>
      <c r="AJ73" s="90"/>
      <c r="AK73" s="90"/>
      <c r="AL73" s="90"/>
      <c r="AM73" s="90"/>
      <c r="AN73" s="90"/>
      <c r="AO73" s="90"/>
      <c r="AP73" s="90"/>
      <c r="AQ73" s="90"/>
      <c r="AR73" s="90"/>
      <c r="AS73" s="90"/>
      <c r="AT73" s="90"/>
      <c r="AU73" s="90"/>
      <c r="AV73" s="90"/>
      <c r="AW73" s="90"/>
      <c r="AX73" s="90"/>
      <c r="AY73" s="90"/>
      <c r="AZ73" s="90"/>
      <c r="BA73" s="90"/>
      <c r="BB73" s="90"/>
      <c r="BC73" s="90"/>
      <c r="BD73" s="90"/>
      <c r="BE73" s="90"/>
    </row>
    <row r="74" spans="1:57" s="141" customFormat="1">
      <c r="A74" s="90"/>
      <c r="B74" s="145"/>
      <c r="C74" s="90"/>
      <c r="D74" s="90"/>
      <c r="E74" s="90"/>
      <c r="F74" s="90" t="s">
        <v>836</v>
      </c>
      <c r="G74" s="135"/>
      <c r="H74" s="90"/>
      <c r="I74" s="90"/>
      <c r="J74" s="90"/>
      <c r="K74" s="90"/>
      <c r="L74" s="90"/>
      <c r="M74" s="90"/>
      <c r="N74" s="90"/>
      <c r="O74" s="90"/>
      <c r="P74" s="90"/>
      <c r="Q74" s="90"/>
      <c r="R74" s="90"/>
      <c r="S74" s="90"/>
      <c r="T74" s="90"/>
      <c r="U74" s="90"/>
      <c r="V74" s="90"/>
      <c r="W74" s="90"/>
      <c r="X74" s="90"/>
      <c r="Y74" s="90"/>
      <c r="Z74" s="90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</row>
    <row r="75" spans="1:57" s="141" customFormat="1">
      <c r="A75" s="90"/>
      <c r="B75" s="90"/>
      <c r="C75" s="90"/>
      <c r="D75" s="90"/>
      <c r="E75" s="90"/>
      <c r="F75" s="90" t="s">
        <v>837</v>
      </c>
      <c r="G75" s="135"/>
      <c r="H75" s="90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</row>
    <row r="76" spans="1:57" s="141" customFormat="1">
      <c r="A76" s="90"/>
      <c r="B76" s="90"/>
      <c r="C76" s="90"/>
      <c r="D76" s="90"/>
      <c r="E76" s="90"/>
      <c r="F76" s="90" t="s">
        <v>838</v>
      </c>
      <c r="G76" s="135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/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</row>
    <row r="77" spans="1:57" s="141" customFormat="1">
      <c r="A77" s="90"/>
      <c r="B77" s="90"/>
      <c r="C77" s="90"/>
      <c r="D77" s="90"/>
      <c r="E77" s="90"/>
      <c r="F77" s="90" t="s">
        <v>839</v>
      </c>
      <c r="G77" s="135"/>
      <c r="H77" s="90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  <c r="AE77" s="90"/>
      <c r="AF77" s="90"/>
      <c r="AG77" s="90"/>
      <c r="AH77" s="90"/>
      <c r="AI77" s="90"/>
      <c r="AJ77" s="90"/>
      <c r="AK77" s="90"/>
      <c r="AL77" s="90"/>
      <c r="AM77" s="90"/>
      <c r="AN77" s="90"/>
      <c r="AO77" s="90"/>
      <c r="AP77" s="90"/>
      <c r="AQ77" s="90"/>
      <c r="AR77" s="90"/>
      <c r="AS77" s="90"/>
      <c r="AT77" s="90"/>
      <c r="AU77" s="90"/>
      <c r="AV77" s="90"/>
      <c r="AW77" s="90"/>
      <c r="AX77" s="90"/>
      <c r="AY77" s="90"/>
      <c r="AZ77" s="90"/>
      <c r="BA77" s="90"/>
      <c r="BB77" s="90"/>
      <c r="BC77" s="90"/>
      <c r="BD77" s="90"/>
      <c r="BE77" s="90"/>
    </row>
    <row r="78" spans="1:57" s="141" customFormat="1">
      <c r="A78" s="90"/>
      <c r="B78" s="90"/>
      <c r="C78" s="90"/>
      <c r="D78" s="90"/>
      <c r="E78" s="90"/>
      <c r="F78" s="90"/>
      <c r="G78" s="135" t="s">
        <v>809</v>
      </c>
      <c r="H78" s="90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  <c r="AE78" s="90"/>
      <c r="AF78" s="90"/>
      <c r="AG78" s="90"/>
      <c r="AH78" s="90"/>
      <c r="AI78" s="90"/>
      <c r="AJ78" s="90"/>
      <c r="AK78" s="90"/>
      <c r="AL78" s="90"/>
      <c r="AM78" s="90"/>
      <c r="AN78" s="90"/>
      <c r="AO78" s="90"/>
      <c r="AP78" s="90"/>
      <c r="AQ78" s="90"/>
      <c r="AR78" s="90"/>
      <c r="AS78" s="90"/>
      <c r="AT78" s="90"/>
      <c r="AU78" s="90"/>
      <c r="AV78" s="90"/>
      <c r="AW78" s="90"/>
      <c r="AX78" s="90"/>
      <c r="AY78" s="90"/>
      <c r="AZ78" s="90"/>
      <c r="BA78" s="90"/>
      <c r="BB78" s="90"/>
      <c r="BC78" s="90"/>
      <c r="BD78" s="90"/>
      <c r="BE78" s="90"/>
    </row>
    <row r="79" spans="1:57" s="141" customFormat="1">
      <c r="A79" s="90" t="s">
        <v>840</v>
      </c>
      <c r="B79" s="146">
        <f>SUM(F79:AI79)</f>
        <v>0</v>
      </c>
      <c r="C79" s="136"/>
      <c r="D79" s="136"/>
      <c r="E79" s="136"/>
      <c r="F79" s="136">
        <f t="shared" ref="F79:AH79" si="19">F66*F68</f>
        <v>0</v>
      </c>
      <c r="G79" s="136">
        <f t="shared" si="19"/>
        <v>0</v>
      </c>
      <c r="H79" s="136">
        <f t="shared" si="19"/>
        <v>0</v>
      </c>
      <c r="I79" s="136">
        <f t="shared" si="19"/>
        <v>0</v>
      </c>
      <c r="J79" s="136">
        <f t="shared" si="19"/>
        <v>0</v>
      </c>
      <c r="K79" s="136">
        <f t="shared" si="19"/>
        <v>0</v>
      </c>
      <c r="L79" s="136">
        <f t="shared" si="19"/>
        <v>0</v>
      </c>
      <c r="M79" s="136">
        <f t="shared" si="19"/>
        <v>0</v>
      </c>
      <c r="N79" s="136">
        <f t="shared" si="19"/>
        <v>0</v>
      </c>
      <c r="O79" s="136">
        <f t="shared" si="19"/>
        <v>0</v>
      </c>
      <c r="P79" s="136">
        <f t="shared" si="19"/>
        <v>0</v>
      </c>
      <c r="Q79" s="136">
        <f t="shared" si="19"/>
        <v>0</v>
      </c>
      <c r="R79" s="136">
        <f t="shared" si="19"/>
        <v>0</v>
      </c>
      <c r="S79" s="136">
        <f t="shared" si="19"/>
        <v>0</v>
      </c>
      <c r="T79" s="136">
        <f t="shared" si="19"/>
        <v>0</v>
      </c>
      <c r="U79" s="136">
        <f t="shared" si="19"/>
        <v>0</v>
      </c>
      <c r="V79" s="136">
        <f t="shared" si="19"/>
        <v>0</v>
      </c>
      <c r="W79" s="136">
        <f t="shared" si="19"/>
        <v>0</v>
      </c>
      <c r="X79" s="136">
        <f t="shared" si="19"/>
        <v>0</v>
      </c>
      <c r="Y79" s="136">
        <f t="shared" si="19"/>
        <v>0</v>
      </c>
      <c r="Z79" s="136">
        <f t="shared" si="19"/>
        <v>0</v>
      </c>
      <c r="AA79" s="136">
        <f t="shared" si="19"/>
        <v>0</v>
      </c>
      <c r="AB79" s="136">
        <f t="shared" si="19"/>
        <v>0</v>
      </c>
      <c r="AC79" s="136">
        <f t="shared" si="19"/>
        <v>0</v>
      </c>
      <c r="AD79" s="136">
        <f t="shared" si="19"/>
        <v>0</v>
      </c>
      <c r="AE79" s="136">
        <f t="shared" si="19"/>
        <v>0</v>
      </c>
      <c r="AF79" s="136">
        <f t="shared" si="19"/>
        <v>0</v>
      </c>
      <c r="AG79" s="136">
        <f t="shared" si="19"/>
        <v>0</v>
      </c>
      <c r="AH79" s="136">
        <f t="shared" si="19"/>
        <v>0</v>
      </c>
      <c r="AI79" s="136">
        <f>AI66*AI68</f>
        <v>0</v>
      </c>
      <c r="AJ79" s="90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0"/>
      <c r="AV79" s="90"/>
      <c r="AW79" s="90"/>
      <c r="AX79" s="90"/>
      <c r="AY79" s="90"/>
      <c r="AZ79" s="90"/>
      <c r="BA79" s="90"/>
      <c r="BB79" s="90"/>
      <c r="BC79" s="90"/>
      <c r="BD79" s="90"/>
      <c r="BE79" s="90"/>
    </row>
    <row r="80" spans="1:57" s="141" customFormat="1">
      <c r="A80" s="90" t="s">
        <v>841</v>
      </c>
      <c r="B80" s="146">
        <f>SUM(F80:AI80)</f>
        <v>12116094.516676284</v>
      </c>
      <c r="C80" s="136"/>
      <c r="D80" s="136"/>
      <c r="E80" s="136"/>
      <c r="F80" s="136">
        <f t="shared" ref="F80:AI80" si="20">F47*F68</f>
        <v>566389.27289460634</v>
      </c>
      <c r="G80" s="136">
        <f t="shared" si="20"/>
        <v>719224.47351696051</v>
      </c>
      <c r="H80" s="136">
        <f t="shared" si="20"/>
        <v>684975.68906377186</v>
      </c>
      <c r="I80" s="136">
        <f t="shared" si="20"/>
        <v>652357.79910835426</v>
      </c>
      <c r="J80" s="136">
        <f t="shared" si="20"/>
        <v>621293.1420079564</v>
      </c>
      <c r="K80" s="136">
        <f t="shared" si="20"/>
        <v>591707.75429329183</v>
      </c>
      <c r="L80" s="136">
        <f t="shared" si="20"/>
        <v>563531.19456503971</v>
      </c>
      <c r="M80" s="136">
        <f t="shared" si="20"/>
        <v>536696.37577622838</v>
      </c>
      <c r="N80" s="136">
        <f t="shared" si="20"/>
        <v>511139.40550116985</v>
      </c>
      <c r="O80" s="136">
        <f t="shared" si="20"/>
        <v>486799.43381063797</v>
      </c>
      <c r="P80" s="136">
        <f t="shared" si="20"/>
        <v>463618.50839108374</v>
      </c>
      <c r="Q80" s="136">
        <f t="shared" si="20"/>
        <v>441541.43656293699</v>
      </c>
      <c r="R80" s="136">
        <f t="shared" si="20"/>
        <v>420515.65386946365</v>
      </c>
      <c r="S80" s="136">
        <f t="shared" si="20"/>
        <v>400491.09892329888</v>
      </c>
      <c r="T80" s="136">
        <f t="shared" si="20"/>
        <v>381420.09421266546</v>
      </c>
      <c r="U80" s="136">
        <f t="shared" si="20"/>
        <v>363257.23258349096</v>
      </c>
      <c r="V80" s="136">
        <f t="shared" si="20"/>
        <v>345959.26912713418</v>
      </c>
      <c r="W80" s="136">
        <f t="shared" si="20"/>
        <v>329485.01821631828</v>
      </c>
      <c r="X80" s="136">
        <f t="shared" si="20"/>
        <v>313795.25544411264</v>
      </c>
      <c r="Y80" s="136">
        <f t="shared" si="20"/>
        <v>298852.62423248828</v>
      </c>
      <c r="Z80" s="136">
        <f t="shared" si="20"/>
        <v>284621.54688808409</v>
      </c>
      <c r="AA80" s="136">
        <f t="shared" si="20"/>
        <v>271068.1398934134</v>
      </c>
      <c r="AB80" s="136">
        <f t="shared" si="20"/>
        <v>258160.13323182223</v>
      </c>
      <c r="AC80" s="136">
        <f t="shared" si="20"/>
        <v>245866.79355411648</v>
      </c>
      <c r="AD80" s="136">
        <f t="shared" si="20"/>
        <v>234158.8510039204</v>
      </c>
      <c r="AE80" s="136">
        <f t="shared" si="20"/>
        <v>223008.42952754322</v>
      </c>
      <c r="AF80" s="136">
        <f t="shared" si="20"/>
        <v>212388.98050242211</v>
      </c>
      <c r="AG80" s="136">
        <f t="shared" si="20"/>
        <v>202275.21952611636</v>
      </c>
      <c r="AH80" s="136">
        <f t="shared" si="20"/>
        <v>192643.06621534887</v>
      </c>
      <c r="AI80" s="136">
        <f t="shared" si="20"/>
        <v>298852.62423248828</v>
      </c>
      <c r="AJ80" s="90"/>
      <c r="AK80" s="135">
        <f>SUM(C80:AI80)</f>
        <v>12116094.516676284</v>
      </c>
      <c r="AL80" s="90"/>
      <c r="AM80" s="90"/>
      <c r="AN80" s="90"/>
      <c r="AO80" s="90"/>
      <c r="AP80" s="90"/>
      <c r="AQ80" s="90"/>
      <c r="AR80" s="90"/>
      <c r="AS80" s="90"/>
      <c r="AT80" s="90"/>
      <c r="AU80" s="90"/>
      <c r="AV80" s="90"/>
      <c r="AW80" s="90"/>
      <c r="AX80" s="90"/>
      <c r="AY80" s="90"/>
      <c r="AZ80" s="90"/>
      <c r="BA80" s="90"/>
      <c r="BB80" s="90"/>
      <c r="BC80" s="90"/>
      <c r="BD80" s="90"/>
      <c r="BE80" s="90"/>
    </row>
    <row r="81" spans="7:12" s="93" customFormat="1">
      <c r="G81" s="93" t="s">
        <v>809</v>
      </c>
    </row>
    <row r="82" spans="7:12" s="93" customFormat="1">
      <c r="G82" s="93" t="s">
        <v>809</v>
      </c>
    </row>
    <row r="83" spans="7:12" s="93" customFormat="1">
      <c r="G83" s="93" t="s">
        <v>809</v>
      </c>
      <c r="H83" s="93">
        <v>0.32</v>
      </c>
      <c r="I83" s="93">
        <v>0.192</v>
      </c>
      <c r="J83" s="93">
        <v>0.1152</v>
      </c>
      <c r="K83" s="93">
        <v>0.1152</v>
      </c>
      <c r="L83" s="93">
        <v>5.7599999999999998E-2</v>
      </c>
    </row>
    <row r="84" spans="7:12" s="93" customFormat="1">
      <c r="G84" s="93" t="s">
        <v>809</v>
      </c>
      <c r="H84" s="93">
        <f>H83/2</f>
        <v>0.16</v>
      </c>
      <c r="I84" s="93">
        <f>I83/2</f>
        <v>9.6000000000000002E-2</v>
      </c>
      <c r="J84" s="93">
        <f>J83/2</f>
        <v>5.7599999999999998E-2</v>
      </c>
      <c r="K84" s="93">
        <f>K83/2</f>
        <v>5.7599999999999998E-2</v>
      </c>
      <c r="L84" s="93">
        <f>L83/2</f>
        <v>2.8799999999999999E-2</v>
      </c>
    </row>
    <row r="85" spans="7:12" s="93" customFormat="1">
      <c r="G85" s="93" t="s">
        <v>809</v>
      </c>
    </row>
    <row r="86" spans="7:12">
      <c r="G86" s="94" t="s">
        <v>809</v>
      </c>
    </row>
    <row r="87" spans="7:12">
      <c r="G87" s="94" t="s">
        <v>809</v>
      </c>
    </row>
    <row r="88" spans="7:12">
      <c r="G88" s="94" t="s">
        <v>809</v>
      </c>
    </row>
    <row r="89" spans="7:12">
      <c r="G89" s="94" t="s">
        <v>809</v>
      </c>
    </row>
    <row r="90" spans="7:12">
      <c r="G90" s="94" t="s">
        <v>809</v>
      </c>
    </row>
    <row r="91" spans="7:12">
      <c r="G91" s="94" t="s">
        <v>809</v>
      </c>
    </row>
    <row r="92" spans="7:12">
      <c r="G92" s="94" t="s">
        <v>809</v>
      </c>
    </row>
    <row r="93" spans="7:12">
      <c r="G93" s="94" t="s">
        <v>809</v>
      </c>
    </row>
    <row r="94" spans="7:12">
      <c r="G94" s="94" t="s">
        <v>809</v>
      </c>
    </row>
    <row r="95" spans="7:12">
      <c r="G95" s="94" t="s">
        <v>809</v>
      </c>
    </row>
    <row r="96" spans="7:12">
      <c r="G96" s="94" t="s">
        <v>809</v>
      </c>
    </row>
    <row r="97" spans="7:7">
      <c r="G97" s="94" t="s">
        <v>809</v>
      </c>
    </row>
    <row r="98" spans="7:7">
      <c r="G98" s="94" t="s">
        <v>809</v>
      </c>
    </row>
    <row r="99" spans="7:7">
      <c r="G99" s="94" t="s">
        <v>809</v>
      </c>
    </row>
    <row r="100" spans="7:7">
      <c r="G100" s="94" t="s">
        <v>809</v>
      </c>
    </row>
    <row r="101" spans="7:7">
      <c r="G101" s="94" t="s">
        <v>809</v>
      </c>
    </row>
    <row r="102" spans="7:7">
      <c r="G102" s="94" t="s">
        <v>809</v>
      </c>
    </row>
    <row r="103" spans="7:7">
      <c r="G103" s="94" t="s">
        <v>809</v>
      </c>
    </row>
    <row r="104" spans="7:7">
      <c r="G104" s="94" t="s">
        <v>809</v>
      </c>
    </row>
    <row r="105" spans="7:7">
      <c r="G105" s="94" t="s">
        <v>809</v>
      </c>
    </row>
    <row r="106" spans="7:7">
      <c r="G106" s="94" t="s">
        <v>809</v>
      </c>
    </row>
    <row r="107" spans="7:7">
      <c r="G107" s="94" t="s">
        <v>809</v>
      </c>
    </row>
    <row r="108" spans="7:7">
      <c r="G108" s="94" t="s">
        <v>809</v>
      </c>
    </row>
    <row r="109" spans="7:7">
      <c r="G109" s="94" t="s">
        <v>809</v>
      </c>
    </row>
    <row r="110" spans="7:7">
      <c r="G110" s="94" t="s">
        <v>809</v>
      </c>
    </row>
    <row r="111" spans="7:7">
      <c r="G111" s="94" t="s">
        <v>809</v>
      </c>
    </row>
    <row r="112" spans="7:7">
      <c r="G112" s="94" t="s">
        <v>809</v>
      </c>
    </row>
    <row r="113" spans="7:7">
      <c r="G113" s="94" t="s">
        <v>809</v>
      </c>
    </row>
    <row r="114" spans="7:7">
      <c r="G114" s="94" t="s">
        <v>809</v>
      </c>
    </row>
    <row r="115" spans="7:7">
      <c r="G115" s="94" t="s">
        <v>809</v>
      </c>
    </row>
    <row r="116" spans="7:7">
      <c r="G116" s="94" t="s">
        <v>809</v>
      </c>
    </row>
    <row r="117" spans="7:7">
      <c r="G117" s="94" t="s">
        <v>809</v>
      </c>
    </row>
    <row r="118" spans="7:7">
      <c r="G118" s="94" t="s">
        <v>809</v>
      </c>
    </row>
    <row r="119" spans="7:7">
      <c r="G119" s="94" t="s">
        <v>809</v>
      </c>
    </row>
    <row r="120" spans="7:7">
      <c r="G120" s="94" t="s">
        <v>809</v>
      </c>
    </row>
    <row r="121" spans="7:7">
      <c r="G121" s="94" t="s">
        <v>809</v>
      </c>
    </row>
    <row r="122" spans="7:7">
      <c r="G122" s="94" t="s">
        <v>809</v>
      </c>
    </row>
    <row r="123" spans="7:7">
      <c r="G123" s="94" t="s">
        <v>809</v>
      </c>
    </row>
    <row r="124" spans="7:7">
      <c r="G124" s="94" t="s">
        <v>809</v>
      </c>
    </row>
  </sheetData>
  <printOptions horizontalCentered="1" gridLinesSet="0"/>
  <pageMargins left="0.75" right="0.75" top="0.75" bottom="0.75" header="0.5" footer="0.5"/>
  <pageSetup scale="43" fitToWidth="2" fitToHeight="0" orientation="landscape" horizontalDpi="4294967292"/>
  <headerFooter alignWithMargins="0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92D050"/>
  </sheetPr>
  <dimension ref="A1:AM1004"/>
  <sheetViews>
    <sheetView topLeftCell="A3" zoomScale="90" zoomScaleNormal="90" zoomScalePageLayoutView="90" workbookViewId="0">
      <selection activeCell="D52" sqref="D52"/>
    </sheetView>
  </sheetViews>
  <sheetFormatPr baseColWidth="10" defaultColWidth="8.83203125" defaultRowHeight="14" x14ac:dyDescent="0"/>
  <cols>
    <col min="1" max="1" width="19.5" style="222" customWidth="1"/>
    <col min="2" max="2" width="27.83203125" style="222" customWidth="1"/>
    <col min="3" max="3" width="16.1640625" style="222" customWidth="1"/>
    <col min="4" max="4" width="11.83203125" style="222" customWidth="1"/>
    <col min="5" max="5" width="12" style="222" bestFit="1" customWidth="1"/>
    <col min="6" max="6" width="15" style="222" customWidth="1"/>
    <col min="7" max="9" width="13.1640625" style="222" customWidth="1"/>
    <col min="10" max="10" width="12" style="222" bestFit="1" customWidth="1"/>
    <col min="11" max="11" width="5.83203125" style="222" customWidth="1"/>
    <col min="12" max="12" width="12" style="222" bestFit="1" customWidth="1"/>
    <col min="13" max="16" width="11.33203125" style="222" customWidth="1"/>
    <col min="17" max="18" width="11.33203125" style="221" customWidth="1"/>
    <col min="19" max="19" width="17" style="221" customWidth="1"/>
    <col min="20" max="20" width="8.6640625" style="222" customWidth="1"/>
    <col min="21" max="25" width="8.83203125" style="222"/>
    <col min="26" max="26" width="24.83203125" style="222" customWidth="1"/>
    <col min="27" max="34" width="8.83203125" style="222"/>
    <col min="35" max="35" width="23.83203125" style="222" bestFit="1" customWidth="1"/>
    <col min="36" max="36" width="13.83203125" style="222" customWidth="1"/>
    <col min="37" max="37" width="13.33203125" style="222" customWidth="1"/>
    <col min="38" max="38" width="8.83203125" style="222"/>
    <col min="39" max="39" width="10.5" style="222" bestFit="1" customWidth="1"/>
    <col min="40" max="255" width="8.83203125" style="222"/>
    <col min="256" max="256" width="29.1640625" style="222" customWidth="1"/>
    <col min="257" max="258" width="21.83203125" style="222" customWidth="1"/>
    <col min="259" max="259" width="17.1640625" style="222" customWidth="1"/>
    <col min="260" max="260" width="24.1640625" style="222" customWidth="1"/>
    <col min="261" max="261" width="22.83203125" style="222" customWidth="1"/>
    <col min="262" max="264" width="11.33203125" style="222" customWidth="1"/>
    <col min="265" max="265" width="25.33203125" style="222" customWidth="1"/>
    <col min="266" max="266" width="13.33203125" style="222" customWidth="1"/>
    <col min="267" max="267" width="14.83203125" style="222" customWidth="1"/>
    <col min="268" max="274" width="11.33203125" style="222" customWidth="1"/>
    <col min="275" max="275" width="17" style="222" customWidth="1"/>
    <col min="276" max="276" width="8.6640625" style="222" customWidth="1"/>
    <col min="277" max="281" width="8.83203125" style="222"/>
    <col min="282" max="282" width="24.83203125" style="222" customWidth="1"/>
    <col min="283" max="290" width="8.83203125" style="222"/>
    <col min="291" max="291" width="14.5" style="222" customWidth="1"/>
    <col min="292" max="292" width="13.83203125" style="222" customWidth="1"/>
    <col min="293" max="293" width="13.33203125" style="222" customWidth="1"/>
    <col min="294" max="511" width="8.83203125" style="222"/>
    <col min="512" max="512" width="29.1640625" style="222" customWidth="1"/>
    <col min="513" max="514" width="21.83203125" style="222" customWidth="1"/>
    <col min="515" max="515" width="17.1640625" style="222" customWidth="1"/>
    <col min="516" max="516" width="24.1640625" style="222" customWidth="1"/>
    <col min="517" max="517" width="22.83203125" style="222" customWidth="1"/>
    <col min="518" max="520" width="11.33203125" style="222" customWidth="1"/>
    <col min="521" max="521" width="25.33203125" style="222" customWidth="1"/>
    <col min="522" max="522" width="13.33203125" style="222" customWidth="1"/>
    <col min="523" max="523" width="14.83203125" style="222" customWidth="1"/>
    <col min="524" max="530" width="11.33203125" style="222" customWidth="1"/>
    <col min="531" max="531" width="17" style="222" customWidth="1"/>
    <col min="532" max="532" width="8.6640625" style="222" customWidth="1"/>
    <col min="533" max="537" width="8.83203125" style="222"/>
    <col min="538" max="538" width="24.83203125" style="222" customWidth="1"/>
    <col min="539" max="546" width="8.83203125" style="222"/>
    <col min="547" max="547" width="14.5" style="222" customWidth="1"/>
    <col min="548" max="548" width="13.83203125" style="222" customWidth="1"/>
    <col min="549" max="549" width="13.33203125" style="222" customWidth="1"/>
    <col min="550" max="767" width="8.83203125" style="222"/>
    <col min="768" max="768" width="29.1640625" style="222" customWidth="1"/>
    <col min="769" max="770" width="21.83203125" style="222" customWidth="1"/>
    <col min="771" max="771" width="17.1640625" style="222" customWidth="1"/>
    <col min="772" max="772" width="24.1640625" style="222" customWidth="1"/>
    <col min="773" max="773" width="22.83203125" style="222" customWidth="1"/>
    <col min="774" max="776" width="11.33203125" style="222" customWidth="1"/>
    <col min="777" max="777" width="25.33203125" style="222" customWidth="1"/>
    <col min="778" max="778" width="13.33203125" style="222" customWidth="1"/>
    <col min="779" max="779" width="14.83203125" style="222" customWidth="1"/>
    <col min="780" max="786" width="11.33203125" style="222" customWidth="1"/>
    <col min="787" max="787" width="17" style="222" customWidth="1"/>
    <col min="788" max="788" width="8.6640625" style="222" customWidth="1"/>
    <col min="789" max="793" width="8.83203125" style="222"/>
    <col min="794" max="794" width="24.83203125" style="222" customWidth="1"/>
    <col min="795" max="802" width="8.83203125" style="222"/>
    <col min="803" max="803" width="14.5" style="222" customWidth="1"/>
    <col min="804" max="804" width="13.83203125" style="222" customWidth="1"/>
    <col min="805" max="805" width="13.33203125" style="222" customWidth="1"/>
    <col min="806" max="1023" width="8.83203125" style="222"/>
    <col min="1024" max="1024" width="29.1640625" style="222" customWidth="1"/>
    <col min="1025" max="1026" width="21.83203125" style="222" customWidth="1"/>
    <col min="1027" max="1027" width="17.1640625" style="222" customWidth="1"/>
    <col min="1028" max="1028" width="24.1640625" style="222" customWidth="1"/>
    <col min="1029" max="1029" width="22.83203125" style="222" customWidth="1"/>
    <col min="1030" max="1032" width="11.33203125" style="222" customWidth="1"/>
    <col min="1033" max="1033" width="25.33203125" style="222" customWidth="1"/>
    <col min="1034" max="1034" width="13.33203125" style="222" customWidth="1"/>
    <col min="1035" max="1035" width="14.83203125" style="222" customWidth="1"/>
    <col min="1036" max="1042" width="11.33203125" style="222" customWidth="1"/>
    <col min="1043" max="1043" width="17" style="222" customWidth="1"/>
    <col min="1044" max="1044" width="8.6640625" style="222" customWidth="1"/>
    <col min="1045" max="1049" width="8.83203125" style="222"/>
    <col min="1050" max="1050" width="24.83203125" style="222" customWidth="1"/>
    <col min="1051" max="1058" width="8.83203125" style="222"/>
    <col min="1059" max="1059" width="14.5" style="222" customWidth="1"/>
    <col min="1060" max="1060" width="13.83203125" style="222" customWidth="1"/>
    <col min="1061" max="1061" width="13.33203125" style="222" customWidth="1"/>
    <col min="1062" max="1279" width="8.83203125" style="222"/>
    <col min="1280" max="1280" width="29.1640625" style="222" customWidth="1"/>
    <col min="1281" max="1282" width="21.83203125" style="222" customWidth="1"/>
    <col min="1283" max="1283" width="17.1640625" style="222" customWidth="1"/>
    <col min="1284" max="1284" width="24.1640625" style="222" customWidth="1"/>
    <col min="1285" max="1285" width="22.83203125" style="222" customWidth="1"/>
    <col min="1286" max="1288" width="11.33203125" style="222" customWidth="1"/>
    <col min="1289" max="1289" width="25.33203125" style="222" customWidth="1"/>
    <col min="1290" max="1290" width="13.33203125" style="222" customWidth="1"/>
    <col min="1291" max="1291" width="14.83203125" style="222" customWidth="1"/>
    <col min="1292" max="1298" width="11.33203125" style="222" customWidth="1"/>
    <col min="1299" max="1299" width="17" style="222" customWidth="1"/>
    <col min="1300" max="1300" width="8.6640625" style="222" customWidth="1"/>
    <col min="1301" max="1305" width="8.83203125" style="222"/>
    <col min="1306" max="1306" width="24.83203125" style="222" customWidth="1"/>
    <col min="1307" max="1314" width="8.83203125" style="222"/>
    <col min="1315" max="1315" width="14.5" style="222" customWidth="1"/>
    <col min="1316" max="1316" width="13.83203125" style="222" customWidth="1"/>
    <col min="1317" max="1317" width="13.33203125" style="222" customWidth="1"/>
    <col min="1318" max="1535" width="8.83203125" style="222"/>
    <col min="1536" max="1536" width="29.1640625" style="222" customWidth="1"/>
    <col min="1537" max="1538" width="21.83203125" style="222" customWidth="1"/>
    <col min="1539" max="1539" width="17.1640625" style="222" customWidth="1"/>
    <col min="1540" max="1540" width="24.1640625" style="222" customWidth="1"/>
    <col min="1541" max="1541" width="22.83203125" style="222" customWidth="1"/>
    <col min="1542" max="1544" width="11.33203125" style="222" customWidth="1"/>
    <col min="1545" max="1545" width="25.33203125" style="222" customWidth="1"/>
    <col min="1546" max="1546" width="13.33203125" style="222" customWidth="1"/>
    <col min="1547" max="1547" width="14.83203125" style="222" customWidth="1"/>
    <col min="1548" max="1554" width="11.33203125" style="222" customWidth="1"/>
    <col min="1555" max="1555" width="17" style="222" customWidth="1"/>
    <col min="1556" max="1556" width="8.6640625" style="222" customWidth="1"/>
    <col min="1557" max="1561" width="8.83203125" style="222"/>
    <col min="1562" max="1562" width="24.83203125" style="222" customWidth="1"/>
    <col min="1563" max="1570" width="8.83203125" style="222"/>
    <col min="1571" max="1571" width="14.5" style="222" customWidth="1"/>
    <col min="1572" max="1572" width="13.83203125" style="222" customWidth="1"/>
    <col min="1573" max="1573" width="13.33203125" style="222" customWidth="1"/>
    <col min="1574" max="1791" width="8.83203125" style="222"/>
    <col min="1792" max="1792" width="29.1640625" style="222" customWidth="1"/>
    <col min="1793" max="1794" width="21.83203125" style="222" customWidth="1"/>
    <col min="1795" max="1795" width="17.1640625" style="222" customWidth="1"/>
    <col min="1796" max="1796" width="24.1640625" style="222" customWidth="1"/>
    <col min="1797" max="1797" width="22.83203125" style="222" customWidth="1"/>
    <col min="1798" max="1800" width="11.33203125" style="222" customWidth="1"/>
    <col min="1801" max="1801" width="25.33203125" style="222" customWidth="1"/>
    <col min="1802" max="1802" width="13.33203125" style="222" customWidth="1"/>
    <col min="1803" max="1803" width="14.83203125" style="222" customWidth="1"/>
    <col min="1804" max="1810" width="11.33203125" style="222" customWidth="1"/>
    <col min="1811" max="1811" width="17" style="222" customWidth="1"/>
    <col min="1812" max="1812" width="8.6640625" style="222" customWidth="1"/>
    <col min="1813" max="1817" width="8.83203125" style="222"/>
    <col min="1818" max="1818" width="24.83203125" style="222" customWidth="1"/>
    <col min="1819" max="1826" width="8.83203125" style="222"/>
    <col min="1827" max="1827" width="14.5" style="222" customWidth="1"/>
    <col min="1828" max="1828" width="13.83203125" style="222" customWidth="1"/>
    <col min="1829" max="1829" width="13.33203125" style="222" customWidth="1"/>
    <col min="1830" max="2047" width="8.83203125" style="222"/>
    <col min="2048" max="2048" width="29.1640625" style="222" customWidth="1"/>
    <col min="2049" max="2050" width="21.83203125" style="222" customWidth="1"/>
    <col min="2051" max="2051" width="17.1640625" style="222" customWidth="1"/>
    <col min="2052" max="2052" width="24.1640625" style="222" customWidth="1"/>
    <col min="2053" max="2053" width="22.83203125" style="222" customWidth="1"/>
    <col min="2054" max="2056" width="11.33203125" style="222" customWidth="1"/>
    <col min="2057" max="2057" width="25.33203125" style="222" customWidth="1"/>
    <col min="2058" max="2058" width="13.33203125" style="222" customWidth="1"/>
    <col min="2059" max="2059" width="14.83203125" style="222" customWidth="1"/>
    <col min="2060" max="2066" width="11.33203125" style="222" customWidth="1"/>
    <col min="2067" max="2067" width="17" style="222" customWidth="1"/>
    <col min="2068" max="2068" width="8.6640625" style="222" customWidth="1"/>
    <col min="2069" max="2073" width="8.83203125" style="222"/>
    <col min="2074" max="2074" width="24.83203125" style="222" customWidth="1"/>
    <col min="2075" max="2082" width="8.83203125" style="222"/>
    <col min="2083" max="2083" width="14.5" style="222" customWidth="1"/>
    <col min="2084" max="2084" width="13.83203125" style="222" customWidth="1"/>
    <col min="2085" max="2085" width="13.33203125" style="222" customWidth="1"/>
    <col min="2086" max="2303" width="8.83203125" style="222"/>
    <col min="2304" max="2304" width="29.1640625" style="222" customWidth="1"/>
    <col min="2305" max="2306" width="21.83203125" style="222" customWidth="1"/>
    <col min="2307" max="2307" width="17.1640625" style="222" customWidth="1"/>
    <col min="2308" max="2308" width="24.1640625" style="222" customWidth="1"/>
    <col min="2309" max="2309" width="22.83203125" style="222" customWidth="1"/>
    <col min="2310" max="2312" width="11.33203125" style="222" customWidth="1"/>
    <col min="2313" max="2313" width="25.33203125" style="222" customWidth="1"/>
    <col min="2314" max="2314" width="13.33203125" style="222" customWidth="1"/>
    <col min="2315" max="2315" width="14.83203125" style="222" customWidth="1"/>
    <col min="2316" max="2322" width="11.33203125" style="222" customWidth="1"/>
    <col min="2323" max="2323" width="17" style="222" customWidth="1"/>
    <col min="2324" max="2324" width="8.6640625" style="222" customWidth="1"/>
    <col min="2325" max="2329" width="8.83203125" style="222"/>
    <col min="2330" max="2330" width="24.83203125" style="222" customWidth="1"/>
    <col min="2331" max="2338" width="8.83203125" style="222"/>
    <col min="2339" max="2339" width="14.5" style="222" customWidth="1"/>
    <col min="2340" max="2340" width="13.83203125" style="222" customWidth="1"/>
    <col min="2341" max="2341" width="13.33203125" style="222" customWidth="1"/>
    <col min="2342" max="2559" width="8.83203125" style="222"/>
    <col min="2560" max="2560" width="29.1640625" style="222" customWidth="1"/>
    <col min="2561" max="2562" width="21.83203125" style="222" customWidth="1"/>
    <col min="2563" max="2563" width="17.1640625" style="222" customWidth="1"/>
    <col min="2564" max="2564" width="24.1640625" style="222" customWidth="1"/>
    <col min="2565" max="2565" width="22.83203125" style="222" customWidth="1"/>
    <col min="2566" max="2568" width="11.33203125" style="222" customWidth="1"/>
    <col min="2569" max="2569" width="25.33203125" style="222" customWidth="1"/>
    <col min="2570" max="2570" width="13.33203125" style="222" customWidth="1"/>
    <col min="2571" max="2571" width="14.83203125" style="222" customWidth="1"/>
    <col min="2572" max="2578" width="11.33203125" style="222" customWidth="1"/>
    <col min="2579" max="2579" width="17" style="222" customWidth="1"/>
    <col min="2580" max="2580" width="8.6640625" style="222" customWidth="1"/>
    <col min="2581" max="2585" width="8.83203125" style="222"/>
    <col min="2586" max="2586" width="24.83203125" style="222" customWidth="1"/>
    <col min="2587" max="2594" width="8.83203125" style="222"/>
    <col min="2595" max="2595" width="14.5" style="222" customWidth="1"/>
    <col min="2596" max="2596" width="13.83203125" style="222" customWidth="1"/>
    <col min="2597" max="2597" width="13.33203125" style="222" customWidth="1"/>
    <col min="2598" max="2815" width="8.83203125" style="222"/>
    <col min="2816" max="2816" width="29.1640625" style="222" customWidth="1"/>
    <col min="2817" max="2818" width="21.83203125" style="222" customWidth="1"/>
    <col min="2819" max="2819" width="17.1640625" style="222" customWidth="1"/>
    <col min="2820" max="2820" width="24.1640625" style="222" customWidth="1"/>
    <col min="2821" max="2821" width="22.83203125" style="222" customWidth="1"/>
    <col min="2822" max="2824" width="11.33203125" style="222" customWidth="1"/>
    <col min="2825" max="2825" width="25.33203125" style="222" customWidth="1"/>
    <col min="2826" max="2826" width="13.33203125" style="222" customWidth="1"/>
    <col min="2827" max="2827" width="14.83203125" style="222" customWidth="1"/>
    <col min="2828" max="2834" width="11.33203125" style="222" customWidth="1"/>
    <col min="2835" max="2835" width="17" style="222" customWidth="1"/>
    <col min="2836" max="2836" width="8.6640625" style="222" customWidth="1"/>
    <col min="2837" max="2841" width="8.83203125" style="222"/>
    <col min="2842" max="2842" width="24.83203125" style="222" customWidth="1"/>
    <col min="2843" max="2850" width="8.83203125" style="222"/>
    <col min="2851" max="2851" width="14.5" style="222" customWidth="1"/>
    <col min="2852" max="2852" width="13.83203125" style="222" customWidth="1"/>
    <col min="2853" max="2853" width="13.33203125" style="222" customWidth="1"/>
    <col min="2854" max="3071" width="8.83203125" style="222"/>
    <col min="3072" max="3072" width="29.1640625" style="222" customWidth="1"/>
    <col min="3073" max="3074" width="21.83203125" style="222" customWidth="1"/>
    <col min="3075" max="3075" width="17.1640625" style="222" customWidth="1"/>
    <col min="3076" max="3076" width="24.1640625" style="222" customWidth="1"/>
    <col min="3077" max="3077" width="22.83203125" style="222" customWidth="1"/>
    <col min="3078" max="3080" width="11.33203125" style="222" customWidth="1"/>
    <col min="3081" max="3081" width="25.33203125" style="222" customWidth="1"/>
    <col min="3082" max="3082" width="13.33203125" style="222" customWidth="1"/>
    <col min="3083" max="3083" width="14.83203125" style="222" customWidth="1"/>
    <col min="3084" max="3090" width="11.33203125" style="222" customWidth="1"/>
    <col min="3091" max="3091" width="17" style="222" customWidth="1"/>
    <col min="3092" max="3092" width="8.6640625" style="222" customWidth="1"/>
    <col min="3093" max="3097" width="8.83203125" style="222"/>
    <col min="3098" max="3098" width="24.83203125" style="222" customWidth="1"/>
    <col min="3099" max="3106" width="8.83203125" style="222"/>
    <col min="3107" max="3107" width="14.5" style="222" customWidth="1"/>
    <col min="3108" max="3108" width="13.83203125" style="222" customWidth="1"/>
    <col min="3109" max="3109" width="13.33203125" style="222" customWidth="1"/>
    <col min="3110" max="3327" width="8.83203125" style="222"/>
    <col min="3328" max="3328" width="29.1640625" style="222" customWidth="1"/>
    <col min="3329" max="3330" width="21.83203125" style="222" customWidth="1"/>
    <col min="3331" max="3331" width="17.1640625" style="222" customWidth="1"/>
    <col min="3332" max="3332" width="24.1640625" style="222" customWidth="1"/>
    <col min="3333" max="3333" width="22.83203125" style="222" customWidth="1"/>
    <col min="3334" max="3336" width="11.33203125" style="222" customWidth="1"/>
    <col min="3337" max="3337" width="25.33203125" style="222" customWidth="1"/>
    <col min="3338" max="3338" width="13.33203125" style="222" customWidth="1"/>
    <col min="3339" max="3339" width="14.83203125" style="222" customWidth="1"/>
    <col min="3340" max="3346" width="11.33203125" style="222" customWidth="1"/>
    <col min="3347" max="3347" width="17" style="222" customWidth="1"/>
    <col min="3348" max="3348" width="8.6640625" style="222" customWidth="1"/>
    <col min="3349" max="3353" width="8.83203125" style="222"/>
    <col min="3354" max="3354" width="24.83203125" style="222" customWidth="1"/>
    <col min="3355" max="3362" width="8.83203125" style="222"/>
    <col min="3363" max="3363" width="14.5" style="222" customWidth="1"/>
    <col min="3364" max="3364" width="13.83203125" style="222" customWidth="1"/>
    <col min="3365" max="3365" width="13.33203125" style="222" customWidth="1"/>
    <col min="3366" max="3583" width="8.83203125" style="222"/>
    <col min="3584" max="3584" width="29.1640625" style="222" customWidth="1"/>
    <col min="3585" max="3586" width="21.83203125" style="222" customWidth="1"/>
    <col min="3587" max="3587" width="17.1640625" style="222" customWidth="1"/>
    <col min="3588" max="3588" width="24.1640625" style="222" customWidth="1"/>
    <col min="3589" max="3589" width="22.83203125" style="222" customWidth="1"/>
    <col min="3590" max="3592" width="11.33203125" style="222" customWidth="1"/>
    <col min="3593" max="3593" width="25.33203125" style="222" customWidth="1"/>
    <col min="3594" max="3594" width="13.33203125" style="222" customWidth="1"/>
    <col min="3595" max="3595" width="14.83203125" style="222" customWidth="1"/>
    <col min="3596" max="3602" width="11.33203125" style="222" customWidth="1"/>
    <col min="3603" max="3603" width="17" style="222" customWidth="1"/>
    <col min="3604" max="3604" width="8.6640625" style="222" customWidth="1"/>
    <col min="3605" max="3609" width="8.83203125" style="222"/>
    <col min="3610" max="3610" width="24.83203125" style="222" customWidth="1"/>
    <col min="3611" max="3618" width="8.83203125" style="222"/>
    <col min="3619" max="3619" width="14.5" style="222" customWidth="1"/>
    <col min="3620" max="3620" width="13.83203125" style="222" customWidth="1"/>
    <col min="3621" max="3621" width="13.33203125" style="222" customWidth="1"/>
    <col min="3622" max="3839" width="8.83203125" style="222"/>
    <col min="3840" max="3840" width="29.1640625" style="222" customWidth="1"/>
    <col min="3841" max="3842" width="21.83203125" style="222" customWidth="1"/>
    <col min="3843" max="3843" width="17.1640625" style="222" customWidth="1"/>
    <col min="3844" max="3844" width="24.1640625" style="222" customWidth="1"/>
    <col min="3845" max="3845" width="22.83203125" style="222" customWidth="1"/>
    <col min="3846" max="3848" width="11.33203125" style="222" customWidth="1"/>
    <col min="3849" max="3849" width="25.33203125" style="222" customWidth="1"/>
    <col min="3850" max="3850" width="13.33203125" style="222" customWidth="1"/>
    <col min="3851" max="3851" width="14.83203125" style="222" customWidth="1"/>
    <col min="3852" max="3858" width="11.33203125" style="222" customWidth="1"/>
    <col min="3859" max="3859" width="17" style="222" customWidth="1"/>
    <col min="3860" max="3860" width="8.6640625" style="222" customWidth="1"/>
    <col min="3861" max="3865" width="8.83203125" style="222"/>
    <col min="3866" max="3866" width="24.83203125" style="222" customWidth="1"/>
    <col min="3867" max="3874" width="8.83203125" style="222"/>
    <col min="3875" max="3875" width="14.5" style="222" customWidth="1"/>
    <col min="3876" max="3876" width="13.83203125" style="222" customWidth="1"/>
    <col min="3877" max="3877" width="13.33203125" style="222" customWidth="1"/>
    <col min="3878" max="4095" width="8.83203125" style="222"/>
    <col min="4096" max="4096" width="29.1640625" style="222" customWidth="1"/>
    <col min="4097" max="4098" width="21.83203125" style="222" customWidth="1"/>
    <col min="4099" max="4099" width="17.1640625" style="222" customWidth="1"/>
    <col min="4100" max="4100" width="24.1640625" style="222" customWidth="1"/>
    <col min="4101" max="4101" width="22.83203125" style="222" customWidth="1"/>
    <col min="4102" max="4104" width="11.33203125" style="222" customWidth="1"/>
    <col min="4105" max="4105" width="25.33203125" style="222" customWidth="1"/>
    <col min="4106" max="4106" width="13.33203125" style="222" customWidth="1"/>
    <col min="4107" max="4107" width="14.83203125" style="222" customWidth="1"/>
    <col min="4108" max="4114" width="11.33203125" style="222" customWidth="1"/>
    <col min="4115" max="4115" width="17" style="222" customWidth="1"/>
    <col min="4116" max="4116" width="8.6640625" style="222" customWidth="1"/>
    <col min="4117" max="4121" width="8.83203125" style="222"/>
    <col min="4122" max="4122" width="24.83203125" style="222" customWidth="1"/>
    <col min="4123" max="4130" width="8.83203125" style="222"/>
    <col min="4131" max="4131" width="14.5" style="222" customWidth="1"/>
    <col min="4132" max="4132" width="13.83203125" style="222" customWidth="1"/>
    <col min="4133" max="4133" width="13.33203125" style="222" customWidth="1"/>
    <col min="4134" max="4351" width="8.83203125" style="222"/>
    <col min="4352" max="4352" width="29.1640625" style="222" customWidth="1"/>
    <col min="4353" max="4354" width="21.83203125" style="222" customWidth="1"/>
    <col min="4355" max="4355" width="17.1640625" style="222" customWidth="1"/>
    <col min="4356" max="4356" width="24.1640625" style="222" customWidth="1"/>
    <col min="4357" max="4357" width="22.83203125" style="222" customWidth="1"/>
    <col min="4358" max="4360" width="11.33203125" style="222" customWidth="1"/>
    <col min="4361" max="4361" width="25.33203125" style="222" customWidth="1"/>
    <col min="4362" max="4362" width="13.33203125" style="222" customWidth="1"/>
    <col min="4363" max="4363" width="14.83203125" style="222" customWidth="1"/>
    <col min="4364" max="4370" width="11.33203125" style="222" customWidth="1"/>
    <col min="4371" max="4371" width="17" style="222" customWidth="1"/>
    <col min="4372" max="4372" width="8.6640625" style="222" customWidth="1"/>
    <col min="4373" max="4377" width="8.83203125" style="222"/>
    <col min="4378" max="4378" width="24.83203125" style="222" customWidth="1"/>
    <col min="4379" max="4386" width="8.83203125" style="222"/>
    <col min="4387" max="4387" width="14.5" style="222" customWidth="1"/>
    <col min="4388" max="4388" width="13.83203125" style="222" customWidth="1"/>
    <col min="4389" max="4389" width="13.33203125" style="222" customWidth="1"/>
    <col min="4390" max="4607" width="8.83203125" style="222"/>
    <col min="4608" max="4608" width="29.1640625" style="222" customWidth="1"/>
    <col min="4609" max="4610" width="21.83203125" style="222" customWidth="1"/>
    <col min="4611" max="4611" width="17.1640625" style="222" customWidth="1"/>
    <col min="4612" max="4612" width="24.1640625" style="222" customWidth="1"/>
    <col min="4613" max="4613" width="22.83203125" style="222" customWidth="1"/>
    <col min="4614" max="4616" width="11.33203125" style="222" customWidth="1"/>
    <col min="4617" max="4617" width="25.33203125" style="222" customWidth="1"/>
    <col min="4618" max="4618" width="13.33203125" style="222" customWidth="1"/>
    <col min="4619" max="4619" width="14.83203125" style="222" customWidth="1"/>
    <col min="4620" max="4626" width="11.33203125" style="222" customWidth="1"/>
    <col min="4627" max="4627" width="17" style="222" customWidth="1"/>
    <col min="4628" max="4628" width="8.6640625" style="222" customWidth="1"/>
    <col min="4629" max="4633" width="8.83203125" style="222"/>
    <col min="4634" max="4634" width="24.83203125" style="222" customWidth="1"/>
    <col min="4635" max="4642" width="8.83203125" style="222"/>
    <col min="4643" max="4643" width="14.5" style="222" customWidth="1"/>
    <col min="4644" max="4644" width="13.83203125" style="222" customWidth="1"/>
    <col min="4645" max="4645" width="13.33203125" style="222" customWidth="1"/>
    <col min="4646" max="4863" width="8.83203125" style="222"/>
    <col min="4864" max="4864" width="29.1640625" style="222" customWidth="1"/>
    <col min="4865" max="4866" width="21.83203125" style="222" customWidth="1"/>
    <col min="4867" max="4867" width="17.1640625" style="222" customWidth="1"/>
    <col min="4868" max="4868" width="24.1640625" style="222" customWidth="1"/>
    <col min="4869" max="4869" width="22.83203125" style="222" customWidth="1"/>
    <col min="4870" max="4872" width="11.33203125" style="222" customWidth="1"/>
    <col min="4873" max="4873" width="25.33203125" style="222" customWidth="1"/>
    <col min="4874" max="4874" width="13.33203125" style="222" customWidth="1"/>
    <col min="4875" max="4875" width="14.83203125" style="222" customWidth="1"/>
    <col min="4876" max="4882" width="11.33203125" style="222" customWidth="1"/>
    <col min="4883" max="4883" width="17" style="222" customWidth="1"/>
    <col min="4884" max="4884" width="8.6640625" style="222" customWidth="1"/>
    <col min="4885" max="4889" width="8.83203125" style="222"/>
    <col min="4890" max="4890" width="24.83203125" style="222" customWidth="1"/>
    <col min="4891" max="4898" width="8.83203125" style="222"/>
    <col min="4899" max="4899" width="14.5" style="222" customWidth="1"/>
    <col min="4900" max="4900" width="13.83203125" style="222" customWidth="1"/>
    <col min="4901" max="4901" width="13.33203125" style="222" customWidth="1"/>
    <col min="4902" max="5119" width="8.83203125" style="222"/>
    <col min="5120" max="5120" width="29.1640625" style="222" customWidth="1"/>
    <col min="5121" max="5122" width="21.83203125" style="222" customWidth="1"/>
    <col min="5123" max="5123" width="17.1640625" style="222" customWidth="1"/>
    <col min="5124" max="5124" width="24.1640625" style="222" customWidth="1"/>
    <col min="5125" max="5125" width="22.83203125" style="222" customWidth="1"/>
    <col min="5126" max="5128" width="11.33203125" style="222" customWidth="1"/>
    <col min="5129" max="5129" width="25.33203125" style="222" customWidth="1"/>
    <col min="5130" max="5130" width="13.33203125" style="222" customWidth="1"/>
    <col min="5131" max="5131" width="14.83203125" style="222" customWidth="1"/>
    <col min="5132" max="5138" width="11.33203125" style="222" customWidth="1"/>
    <col min="5139" max="5139" width="17" style="222" customWidth="1"/>
    <col min="5140" max="5140" width="8.6640625" style="222" customWidth="1"/>
    <col min="5141" max="5145" width="8.83203125" style="222"/>
    <col min="5146" max="5146" width="24.83203125" style="222" customWidth="1"/>
    <col min="5147" max="5154" width="8.83203125" style="222"/>
    <col min="5155" max="5155" width="14.5" style="222" customWidth="1"/>
    <col min="5156" max="5156" width="13.83203125" style="222" customWidth="1"/>
    <col min="5157" max="5157" width="13.33203125" style="222" customWidth="1"/>
    <col min="5158" max="5375" width="8.83203125" style="222"/>
    <col min="5376" max="5376" width="29.1640625" style="222" customWidth="1"/>
    <col min="5377" max="5378" width="21.83203125" style="222" customWidth="1"/>
    <col min="5379" max="5379" width="17.1640625" style="222" customWidth="1"/>
    <col min="5380" max="5380" width="24.1640625" style="222" customWidth="1"/>
    <col min="5381" max="5381" width="22.83203125" style="222" customWidth="1"/>
    <col min="5382" max="5384" width="11.33203125" style="222" customWidth="1"/>
    <col min="5385" max="5385" width="25.33203125" style="222" customWidth="1"/>
    <col min="5386" max="5386" width="13.33203125" style="222" customWidth="1"/>
    <col min="5387" max="5387" width="14.83203125" style="222" customWidth="1"/>
    <col min="5388" max="5394" width="11.33203125" style="222" customWidth="1"/>
    <col min="5395" max="5395" width="17" style="222" customWidth="1"/>
    <col min="5396" max="5396" width="8.6640625" style="222" customWidth="1"/>
    <col min="5397" max="5401" width="8.83203125" style="222"/>
    <col min="5402" max="5402" width="24.83203125" style="222" customWidth="1"/>
    <col min="5403" max="5410" width="8.83203125" style="222"/>
    <col min="5411" max="5411" width="14.5" style="222" customWidth="1"/>
    <col min="5412" max="5412" width="13.83203125" style="222" customWidth="1"/>
    <col min="5413" max="5413" width="13.33203125" style="222" customWidth="1"/>
    <col min="5414" max="5631" width="8.83203125" style="222"/>
    <col min="5632" max="5632" width="29.1640625" style="222" customWidth="1"/>
    <col min="5633" max="5634" width="21.83203125" style="222" customWidth="1"/>
    <col min="5635" max="5635" width="17.1640625" style="222" customWidth="1"/>
    <col min="5636" max="5636" width="24.1640625" style="222" customWidth="1"/>
    <col min="5637" max="5637" width="22.83203125" style="222" customWidth="1"/>
    <col min="5638" max="5640" width="11.33203125" style="222" customWidth="1"/>
    <col min="5641" max="5641" width="25.33203125" style="222" customWidth="1"/>
    <col min="5642" max="5642" width="13.33203125" style="222" customWidth="1"/>
    <col min="5643" max="5643" width="14.83203125" style="222" customWidth="1"/>
    <col min="5644" max="5650" width="11.33203125" style="222" customWidth="1"/>
    <col min="5651" max="5651" width="17" style="222" customWidth="1"/>
    <col min="5652" max="5652" width="8.6640625" style="222" customWidth="1"/>
    <col min="5653" max="5657" width="8.83203125" style="222"/>
    <col min="5658" max="5658" width="24.83203125" style="222" customWidth="1"/>
    <col min="5659" max="5666" width="8.83203125" style="222"/>
    <col min="5667" max="5667" width="14.5" style="222" customWidth="1"/>
    <col min="5668" max="5668" width="13.83203125" style="222" customWidth="1"/>
    <col min="5669" max="5669" width="13.33203125" style="222" customWidth="1"/>
    <col min="5670" max="5887" width="8.83203125" style="222"/>
    <col min="5888" max="5888" width="29.1640625" style="222" customWidth="1"/>
    <col min="5889" max="5890" width="21.83203125" style="222" customWidth="1"/>
    <col min="5891" max="5891" width="17.1640625" style="222" customWidth="1"/>
    <col min="5892" max="5892" width="24.1640625" style="222" customWidth="1"/>
    <col min="5893" max="5893" width="22.83203125" style="222" customWidth="1"/>
    <col min="5894" max="5896" width="11.33203125" style="222" customWidth="1"/>
    <col min="5897" max="5897" width="25.33203125" style="222" customWidth="1"/>
    <col min="5898" max="5898" width="13.33203125" style="222" customWidth="1"/>
    <col min="5899" max="5899" width="14.83203125" style="222" customWidth="1"/>
    <col min="5900" max="5906" width="11.33203125" style="222" customWidth="1"/>
    <col min="5907" max="5907" width="17" style="222" customWidth="1"/>
    <col min="5908" max="5908" width="8.6640625" style="222" customWidth="1"/>
    <col min="5909" max="5913" width="8.83203125" style="222"/>
    <col min="5914" max="5914" width="24.83203125" style="222" customWidth="1"/>
    <col min="5915" max="5922" width="8.83203125" style="222"/>
    <col min="5923" max="5923" width="14.5" style="222" customWidth="1"/>
    <col min="5924" max="5924" width="13.83203125" style="222" customWidth="1"/>
    <col min="5925" max="5925" width="13.33203125" style="222" customWidth="1"/>
    <col min="5926" max="6143" width="8.83203125" style="222"/>
    <col min="6144" max="6144" width="29.1640625" style="222" customWidth="1"/>
    <col min="6145" max="6146" width="21.83203125" style="222" customWidth="1"/>
    <col min="6147" max="6147" width="17.1640625" style="222" customWidth="1"/>
    <col min="6148" max="6148" width="24.1640625" style="222" customWidth="1"/>
    <col min="6149" max="6149" width="22.83203125" style="222" customWidth="1"/>
    <col min="6150" max="6152" width="11.33203125" style="222" customWidth="1"/>
    <col min="6153" max="6153" width="25.33203125" style="222" customWidth="1"/>
    <col min="6154" max="6154" width="13.33203125" style="222" customWidth="1"/>
    <col min="6155" max="6155" width="14.83203125" style="222" customWidth="1"/>
    <col min="6156" max="6162" width="11.33203125" style="222" customWidth="1"/>
    <col min="6163" max="6163" width="17" style="222" customWidth="1"/>
    <col min="6164" max="6164" width="8.6640625" style="222" customWidth="1"/>
    <col min="6165" max="6169" width="8.83203125" style="222"/>
    <col min="6170" max="6170" width="24.83203125" style="222" customWidth="1"/>
    <col min="6171" max="6178" width="8.83203125" style="222"/>
    <col min="6179" max="6179" width="14.5" style="222" customWidth="1"/>
    <col min="6180" max="6180" width="13.83203125" style="222" customWidth="1"/>
    <col min="6181" max="6181" width="13.33203125" style="222" customWidth="1"/>
    <col min="6182" max="6399" width="8.83203125" style="222"/>
    <col min="6400" max="6400" width="29.1640625" style="222" customWidth="1"/>
    <col min="6401" max="6402" width="21.83203125" style="222" customWidth="1"/>
    <col min="6403" max="6403" width="17.1640625" style="222" customWidth="1"/>
    <col min="6404" max="6404" width="24.1640625" style="222" customWidth="1"/>
    <col min="6405" max="6405" width="22.83203125" style="222" customWidth="1"/>
    <col min="6406" max="6408" width="11.33203125" style="222" customWidth="1"/>
    <col min="6409" max="6409" width="25.33203125" style="222" customWidth="1"/>
    <col min="6410" max="6410" width="13.33203125" style="222" customWidth="1"/>
    <col min="6411" max="6411" width="14.83203125" style="222" customWidth="1"/>
    <col min="6412" max="6418" width="11.33203125" style="222" customWidth="1"/>
    <col min="6419" max="6419" width="17" style="222" customWidth="1"/>
    <col min="6420" max="6420" width="8.6640625" style="222" customWidth="1"/>
    <col min="6421" max="6425" width="8.83203125" style="222"/>
    <col min="6426" max="6426" width="24.83203125" style="222" customWidth="1"/>
    <col min="6427" max="6434" width="8.83203125" style="222"/>
    <col min="6435" max="6435" width="14.5" style="222" customWidth="1"/>
    <col min="6436" max="6436" width="13.83203125" style="222" customWidth="1"/>
    <col min="6437" max="6437" width="13.33203125" style="222" customWidth="1"/>
    <col min="6438" max="6655" width="8.83203125" style="222"/>
    <col min="6656" max="6656" width="29.1640625" style="222" customWidth="1"/>
    <col min="6657" max="6658" width="21.83203125" style="222" customWidth="1"/>
    <col min="6659" max="6659" width="17.1640625" style="222" customWidth="1"/>
    <col min="6660" max="6660" width="24.1640625" style="222" customWidth="1"/>
    <col min="6661" max="6661" width="22.83203125" style="222" customWidth="1"/>
    <col min="6662" max="6664" width="11.33203125" style="222" customWidth="1"/>
    <col min="6665" max="6665" width="25.33203125" style="222" customWidth="1"/>
    <col min="6666" max="6666" width="13.33203125" style="222" customWidth="1"/>
    <col min="6667" max="6667" width="14.83203125" style="222" customWidth="1"/>
    <col min="6668" max="6674" width="11.33203125" style="222" customWidth="1"/>
    <col min="6675" max="6675" width="17" style="222" customWidth="1"/>
    <col min="6676" max="6676" width="8.6640625" style="222" customWidth="1"/>
    <col min="6677" max="6681" width="8.83203125" style="222"/>
    <col min="6682" max="6682" width="24.83203125" style="222" customWidth="1"/>
    <col min="6683" max="6690" width="8.83203125" style="222"/>
    <col min="6691" max="6691" width="14.5" style="222" customWidth="1"/>
    <col min="6692" max="6692" width="13.83203125" style="222" customWidth="1"/>
    <col min="6693" max="6693" width="13.33203125" style="222" customWidth="1"/>
    <col min="6694" max="6911" width="8.83203125" style="222"/>
    <col min="6912" max="6912" width="29.1640625" style="222" customWidth="1"/>
    <col min="6913" max="6914" width="21.83203125" style="222" customWidth="1"/>
    <col min="6915" max="6915" width="17.1640625" style="222" customWidth="1"/>
    <col min="6916" max="6916" width="24.1640625" style="222" customWidth="1"/>
    <col min="6917" max="6917" width="22.83203125" style="222" customWidth="1"/>
    <col min="6918" max="6920" width="11.33203125" style="222" customWidth="1"/>
    <col min="6921" max="6921" width="25.33203125" style="222" customWidth="1"/>
    <col min="6922" max="6922" width="13.33203125" style="222" customWidth="1"/>
    <col min="6923" max="6923" width="14.83203125" style="222" customWidth="1"/>
    <col min="6924" max="6930" width="11.33203125" style="222" customWidth="1"/>
    <col min="6931" max="6931" width="17" style="222" customWidth="1"/>
    <col min="6932" max="6932" width="8.6640625" style="222" customWidth="1"/>
    <col min="6933" max="6937" width="8.83203125" style="222"/>
    <col min="6938" max="6938" width="24.83203125" style="222" customWidth="1"/>
    <col min="6939" max="6946" width="8.83203125" style="222"/>
    <col min="6947" max="6947" width="14.5" style="222" customWidth="1"/>
    <col min="6948" max="6948" width="13.83203125" style="222" customWidth="1"/>
    <col min="6949" max="6949" width="13.33203125" style="222" customWidth="1"/>
    <col min="6950" max="7167" width="8.83203125" style="222"/>
    <col min="7168" max="7168" width="29.1640625" style="222" customWidth="1"/>
    <col min="7169" max="7170" width="21.83203125" style="222" customWidth="1"/>
    <col min="7171" max="7171" width="17.1640625" style="222" customWidth="1"/>
    <col min="7172" max="7172" width="24.1640625" style="222" customWidth="1"/>
    <col min="7173" max="7173" width="22.83203125" style="222" customWidth="1"/>
    <col min="7174" max="7176" width="11.33203125" style="222" customWidth="1"/>
    <col min="7177" max="7177" width="25.33203125" style="222" customWidth="1"/>
    <col min="7178" max="7178" width="13.33203125" style="222" customWidth="1"/>
    <col min="7179" max="7179" width="14.83203125" style="222" customWidth="1"/>
    <col min="7180" max="7186" width="11.33203125" style="222" customWidth="1"/>
    <col min="7187" max="7187" width="17" style="222" customWidth="1"/>
    <col min="7188" max="7188" width="8.6640625" style="222" customWidth="1"/>
    <col min="7189" max="7193" width="8.83203125" style="222"/>
    <col min="7194" max="7194" width="24.83203125" style="222" customWidth="1"/>
    <col min="7195" max="7202" width="8.83203125" style="222"/>
    <col min="7203" max="7203" width="14.5" style="222" customWidth="1"/>
    <col min="7204" max="7204" width="13.83203125" style="222" customWidth="1"/>
    <col min="7205" max="7205" width="13.33203125" style="222" customWidth="1"/>
    <col min="7206" max="7423" width="8.83203125" style="222"/>
    <col min="7424" max="7424" width="29.1640625" style="222" customWidth="1"/>
    <col min="7425" max="7426" width="21.83203125" style="222" customWidth="1"/>
    <col min="7427" max="7427" width="17.1640625" style="222" customWidth="1"/>
    <col min="7428" max="7428" width="24.1640625" style="222" customWidth="1"/>
    <col min="7429" max="7429" width="22.83203125" style="222" customWidth="1"/>
    <col min="7430" max="7432" width="11.33203125" style="222" customWidth="1"/>
    <col min="7433" max="7433" width="25.33203125" style="222" customWidth="1"/>
    <col min="7434" max="7434" width="13.33203125" style="222" customWidth="1"/>
    <col min="7435" max="7435" width="14.83203125" style="222" customWidth="1"/>
    <col min="7436" max="7442" width="11.33203125" style="222" customWidth="1"/>
    <col min="7443" max="7443" width="17" style="222" customWidth="1"/>
    <col min="7444" max="7444" width="8.6640625" style="222" customWidth="1"/>
    <col min="7445" max="7449" width="8.83203125" style="222"/>
    <col min="7450" max="7450" width="24.83203125" style="222" customWidth="1"/>
    <col min="7451" max="7458" width="8.83203125" style="222"/>
    <col min="7459" max="7459" width="14.5" style="222" customWidth="1"/>
    <col min="7460" max="7460" width="13.83203125" style="222" customWidth="1"/>
    <col min="7461" max="7461" width="13.33203125" style="222" customWidth="1"/>
    <col min="7462" max="7679" width="8.83203125" style="222"/>
    <col min="7680" max="7680" width="29.1640625" style="222" customWidth="1"/>
    <col min="7681" max="7682" width="21.83203125" style="222" customWidth="1"/>
    <col min="7683" max="7683" width="17.1640625" style="222" customWidth="1"/>
    <col min="7684" max="7684" width="24.1640625" style="222" customWidth="1"/>
    <col min="7685" max="7685" width="22.83203125" style="222" customWidth="1"/>
    <col min="7686" max="7688" width="11.33203125" style="222" customWidth="1"/>
    <col min="7689" max="7689" width="25.33203125" style="222" customWidth="1"/>
    <col min="7690" max="7690" width="13.33203125" style="222" customWidth="1"/>
    <col min="7691" max="7691" width="14.83203125" style="222" customWidth="1"/>
    <col min="7692" max="7698" width="11.33203125" style="222" customWidth="1"/>
    <col min="7699" max="7699" width="17" style="222" customWidth="1"/>
    <col min="7700" max="7700" width="8.6640625" style="222" customWidth="1"/>
    <col min="7701" max="7705" width="8.83203125" style="222"/>
    <col min="7706" max="7706" width="24.83203125" style="222" customWidth="1"/>
    <col min="7707" max="7714" width="8.83203125" style="222"/>
    <col min="7715" max="7715" width="14.5" style="222" customWidth="1"/>
    <col min="7716" max="7716" width="13.83203125" style="222" customWidth="1"/>
    <col min="7717" max="7717" width="13.33203125" style="222" customWidth="1"/>
    <col min="7718" max="7935" width="8.83203125" style="222"/>
    <col min="7936" max="7936" width="29.1640625" style="222" customWidth="1"/>
    <col min="7937" max="7938" width="21.83203125" style="222" customWidth="1"/>
    <col min="7939" max="7939" width="17.1640625" style="222" customWidth="1"/>
    <col min="7940" max="7940" width="24.1640625" style="222" customWidth="1"/>
    <col min="7941" max="7941" width="22.83203125" style="222" customWidth="1"/>
    <col min="7942" max="7944" width="11.33203125" style="222" customWidth="1"/>
    <col min="7945" max="7945" width="25.33203125" style="222" customWidth="1"/>
    <col min="7946" max="7946" width="13.33203125" style="222" customWidth="1"/>
    <col min="7947" max="7947" width="14.83203125" style="222" customWidth="1"/>
    <col min="7948" max="7954" width="11.33203125" style="222" customWidth="1"/>
    <col min="7955" max="7955" width="17" style="222" customWidth="1"/>
    <col min="7956" max="7956" width="8.6640625" style="222" customWidth="1"/>
    <col min="7957" max="7961" width="8.83203125" style="222"/>
    <col min="7962" max="7962" width="24.83203125" style="222" customWidth="1"/>
    <col min="7963" max="7970" width="8.83203125" style="222"/>
    <col min="7971" max="7971" width="14.5" style="222" customWidth="1"/>
    <col min="7972" max="7972" width="13.83203125" style="222" customWidth="1"/>
    <col min="7973" max="7973" width="13.33203125" style="222" customWidth="1"/>
    <col min="7974" max="8191" width="8.83203125" style="222"/>
    <col min="8192" max="8192" width="29.1640625" style="222" customWidth="1"/>
    <col min="8193" max="8194" width="21.83203125" style="222" customWidth="1"/>
    <col min="8195" max="8195" width="17.1640625" style="222" customWidth="1"/>
    <col min="8196" max="8196" width="24.1640625" style="222" customWidth="1"/>
    <col min="8197" max="8197" width="22.83203125" style="222" customWidth="1"/>
    <col min="8198" max="8200" width="11.33203125" style="222" customWidth="1"/>
    <col min="8201" max="8201" width="25.33203125" style="222" customWidth="1"/>
    <col min="8202" max="8202" width="13.33203125" style="222" customWidth="1"/>
    <col min="8203" max="8203" width="14.83203125" style="222" customWidth="1"/>
    <col min="8204" max="8210" width="11.33203125" style="222" customWidth="1"/>
    <col min="8211" max="8211" width="17" style="222" customWidth="1"/>
    <col min="8212" max="8212" width="8.6640625" style="222" customWidth="1"/>
    <col min="8213" max="8217" width="8.83203125" style="222"/>
    <col min="8218" max="8218" width="24.83203125" style="222" customWidth="1"/>
    <col min="8219" max="8226" width="8.83203125" style="222"/>
    <col min="8227" max="8227" width="14.5" style="222" customWidth="1"/>
    <col min="8228" max="8228" width="13.83203125" style="222" customWidth="1"/>
    <col min="8229" max="8229" width="13.33203125" style="222" customWidth="1"/>
    <col min="8230" max="8447" width="8.83203125" style="222"/>
    <col min="8448" max="8448" width="29.1640625" style="222" customWidth="1"/>
    <col min="8449" max="8450" width="21.83203125" style="222" customWidth="1"/>
    <col min="8451" max="8451" width="17.1640625" style="222" customWidth="1"/>
    <col min="8452" max="8452" width="24.1640625" style="222" customWidth="1"/>
    <col min="8453" max="8453" width="22.83203125" style="222" customWidth="1"/>
    <col min="8454" max="8456" width="11.33203125" style="222" customWidth="1"/>
    <col min="8457" max="8457" width="25.33203125" style="222" customWidth="1"/>
    <col min="8458" max="8458" width="13.33203125" style="222" customWidth="1"/>
    <col min="8459" max="8459" width="14.83203125" style="222" customWidth="1"/>
    <col min="8460" max="8466" width="11.33203125" style="222" customWidth="1"/>
    <col min="8467" max="8467" width="17" style="222" customWidth="1"/>
    <col min="8468" max="8468" width="8.6640625" style="222" customWidth="1"/>
    <col min="8469" max="8473" width="8.83203125" style="222"/>
    <col min="8474" max="8474" width="24.83203125" style="222" customWidth="1"/>
    <col min="8475" max="8482" width="8.83203125" style="222"/>
    <col min="8483" max="8483" width="14.5" style="222" customWidth="1"/>
    <col min="8484" max="8484" width="13.83203125" style="222" customWidth="1"/>
    <col min="8485" max="8485" width="13.33203125" style="222" customWidth="1"/>
    <col min="8486" max="8703" width="8.83203125" style="222"/>
    <col min="8704" max="8704" width="29.1640625" style="222" customWidth="1"/>
    <col min="8705" max="8706" width="21.83203125" style="222" customWidth="1"/>
    <col min="8707" max="8707" width="17.1640625" style="222" customWidth="1"/>
    <col min="8708" max="8708" width="24.1640625" style="222" customWidth="1"/>
    <col min="8709" max="8709" width="22.83203125" style="222" customWidth="1"/>
    <col min="8710" max="8712" width="11.33203125" style="222" customWidth="1"/>
    <col min="8713" max="8713" width="25.33203125" style="222" customWidth="1"/>
    <col min="8714" max="8714" width="13.33203125" style="222" customWidth="1"/>
    <col min="8715" max="8715" width="14.83203125" style="222" customWidth="1"/>
    <col min="8716" max="8722" width="11.33203125" style="222" customWidth="1"/>
    <col min="8723" max="8723" width="17" style="222" customWidth="1"/>
    <col min="8724" max="8724" width="8.6640625" style="222" customWidth="1"/>
    <col min="8725" max="8729" width="8.83203125" style="222"/>
    <col min="8730" max="8730" width="24.83203125" style="222" customWidth="1"/>
    <col min="8731" max="8738" width="8.83203125" style="222"/>
    <col min="8739" max="8739" width="14.5" style="222" customWidth="1"/>
    <col min="8740" max="8740" width="13.83203125" style="222" customWidth="1"/>
    <col min="8741" max="8741" width="13.33203125" style="222" customWidth="1"/>
    <col min="8742" max="8959" width="8.83203125" style="222"/>
    <col min="8960" max="8960" width="29.1640625" style="222" customWidth="1"/>
    <col min="8961" max="8962" width="21.83203125" style="222" customWidth="1"/>
    <col min="8963" max="8963" width="17.1640625" style="222" customWidth="1"/>
    <col min="8964" max="8964" width="24.1640625" style="222" customWidth="1"/>
    <col min="8965" max="8965" width="22.83203125" style="222" customWidth="1"/>
    <col min="8966" max="8968" width="11.33203125" style="222" customWidth="1"/>
    <col min="8969" max="8969" width="25.33203125" style="222" customWidth="1"/>
    <col min="8970" max="8970" width="13.33203125" style="222" customWidth="1"/>
    <col min="8971" max="8971" width="14.83203125" style="222" customWidth="1"/>
    <col min="8972" max="8978" width="11.33203125" style="222" customWidth="1"/>
    <col min="8979" max="8979" width="17" style="222" customWidth="1"/>
    <col min="8980" max="8980" width="8.6640625" style="222" customWidth="1"/>
    <col min="8981" max="8985" width="8.83203125" style="222"/>
    <col min="8986" max="8986" width="24.83203125" style="222" customWidth="1"/>
    <col min="8987" max="8994" width="8.83203125" style="222"/>
    <col min="8995" max="8995" width="14.5" style="222" customWidth="1"/>
    <col min="8996" max="8996" width="13.83203125" style="222" customWidth="1"/>
    <col min="8997" max="8997" width="13.33203125" style="222" customWidth="1"/>
    <col min="8998" max="9215" width="8.83203125" style="222"/>
    <col min="9216" max="9216" width="29.1640625" style="222" customWidth="1"/>
    <col min="9217" max="9218" width="21.83203125" style="222" customWidth="1"/>
    <col min="9219" max="9219" width="17.1640625" style="222" customWidth="1"/>
    <col min="9220" max="9220" width="24.1640625" style="222" customWidth="1"/>
    <col min="9221" max="9221" width="22.83203125" style="222" customWidth="1"/>
    <col min="9222" max="9224" width="11.33203125" style="222" customWidth="1"/>
    <col min="9225" max="9225" width="25.33203125" style="222" customWidth="1"/>
    <col min="9226" max="9226" width="13.33203125" style="222" customWidth="1"/>
    <col min="9227" max="9227" width="14.83203125" style="222" customWidth="1"/>
    <col min="9228" max="9234" width="11.33203125" style="222" customWidth="1"/>
    <col min="9235" max="9235" width="17" style="222" customWidth="1"/>
    <col min="9236" max="9236" width="8.6640625" style="222" customWidth="1"/>
    <col min="9237" max="9241" width="8.83203125" style="222"/>
    <col min="9242" max="9242" width="24.83203125" style="222" customWidth="1"/>
    <col min="9243" max="9250" width="8.83203125" style="222"/>
    <col min="9251" max="9251" width="14.5" style="222" customWidth="1"/>
    <col min="9252" max="9252" width="13.83203125" style="222" customWidth="1"/>
    <col min="9253" max="9253" width="13.33203125" style="222" customWidth="1"/>
    <col min="9254" max="9471" width="8.83203125" style="222"/>
    <col min="9472" max="9472" width="29.1640625" style="222" customWidth="1"/>
    <col min="9473" max="9474" width="21.83203125" style="222" customWidth="1"/>
    <col min="9475" max="9475" width="17.1640625" style="222" customWidth="1"/>
    <col min="9476" max="9476" width="24.1640625" style="222" customWidth="1"/>
    <col min="9477" max="9477" width="22.83203125" style="222" customWidth="1"/>
    <col min="9478" max="9480" width="11.33203125" style="222" customWidth="1"/>
    <col min="9481" max="9481" width="25.33203125" style="222" customWidth="1"/>
    <col min="9482" max="9482" width="13.33203125" style="222" customWidth="1"/>
    <col min="9483" max="9483" width="14.83203125" style="222" customWidth="1"/>
    <col min="9484" max="9490" width="11.33203125" style="222" customWidth="1"/>
    <col min="9491" max="9491" width="17" style="222" customWidth="1"/>
    <col min="9492" max="9492" width="8.6640625" style="222" customWidth="1"/>
    <col min="9493" max="9497" width="8.83203125" style="222"/>
    <col min="9498" max="9498" width="24.83203125" style="222" customWidth="1"/>
    <col min="9499" max="9506" width="8.83203125" style="222"/>
    <col min="9507" max="9507" width="14.5" style="222" customWidth="1"/>
    <col min="9508" max="9508" width="13.83203125" style="222" customWidth="1"/>
    <col min="9509" max="9509" width="13.33203125" style="222" customWidth="1"/>
    <col min="9510" max="9727" width="8.83203125" style="222"/>
    <col min="9728" max="9728" width="29.1640625" style="222" customWidth="1"/>
    <col min="9729" max="9730" width="21.83203125" style="222" customWidth="1"/>
    <col min="9731" max="9731" width="17.1640625" style="222" customWidth="1"/>
    <col min="9732" max="9732" width="24.1640625" style="222" customWidth="1"/>
    <col min="9733" max="9733" width="22.83203125" style="222" customWidth="1"/>
    <col min="9734" max="9736" width="11.33203125" style="222" customWidth="1"/>
    <col min="9737" max="9737" width="25.33203125" style="222" customWidth="1"/>
    <col min="9738" max="9738" width="13.33203125" style="222" customWidth="1"/>
    <col min="9739" max="9739" width="14.83203125" style="222" customWidth="1"/>
    <col min="9740" max="9746" width="11.33203125" style="222" customWidth="1"/>
    <col min="9747" max="9747" width="17" style="222" customWidth="1"/>
    <col min="9748" max="9748" width="8.6640625" style="222" customWidth="1"/>
    <col min="9749" max="9753" width="8.83203125" style="222"/>
    <col min="9754" max="9754" width="24.83203125" style="222" customWidth="1"/>
    <col min="9755" max="9762" width="8.83203125" style="222"/>
    <col min="9763" max="9763" width="14.5" style="222" customWidth="1"/>
    <col min="9764" max="9764" width="13.83203125" style="222" customWidth="1"/>
    <col min="9765" max="9765" width="13.33203125" style="222" customWidth="1"/>
    <col min="9766" max="9983" width="8.83203125" style="222"/>
    <col min="9984" max="9984" width="29.1640625" style="222" customWidth="1"/>
    <col min="9985" max="9986" width="21.83203125" style="222" customWidth="1"/>
    <col min="9987" max="9987" width="17.1640625" style="222" customWidth="1"/>
    <col min="9988" max="9988" width="24.1640625" style="222" customWidth="1"/>
    <col min="9989" max="9989" width="22.83203125" style="222" customWidth="1"/>
    <col min="9990" max="9992" width="11.33203125" style="222" customWidth="1"/>
    <col min="9993" max="9993" width="25.33203125" style="222" customWidth="1"/>
    <col min="9994" max="9994" width="13.33203125" style="222" customWidth="1"/>
    <col min="9995" max="9995" width="14.83203125" style="222" customWidth="1"/>
    <col min="9996" max="10002" width="11.33203125" style="222" customWidth="1"/>
    <col min="10003" max="10003" width="17" style="222" customWidth="1"/>
    <col min="10004" max="10004" width="8.6640625" style="222" customWidth="1"/>
    <col min="10005" max="10009" width="8.83203125" style="222"/>
    <col min="10010" max="10010" width="24.83203125" style="222" customWidth="1"/>
    <col min="10011" max="10018" width="8.83203125" style="222"/>
    <col min="10019" max="10019" width="14.5" style="222" customWidth="1"/>
    <col min="10020" max="10020" width="13.83203125" style="222" customWidth="1"/>
    <col min="10021" max="10021" width="13.33203125" style="222" customWidth="1"/>
    <col min="10022" max="10239" width="8.83203125" style="222"/>
    <col min="10240" max="10240" width="29.1640625" style="222" customWidth="1"/>
    <col min="10241" max="10242" width="21.83203125" style="222" customWidth="1"/>
    <col min="10243" max="10243" width="17.1640625" style="222" customWidth="1"/>
    <col min="10244" max="10244" width="24.1640625" style="222" customWidth="1"/>
    <col min="10245" max="10245" width="22.83203125" style="222" customWidth="1"/>
    <col min="10246" max="10248" width="11.33203125" style="222" customWidth="1"/>
    <col min="10249" max="10249" width="25.33203125" style="222" customWidth="1"/>
    <col min="10250" max="10250" width="13.33203125" style="222" customWidth="1"/>
    <col min="10251" max="10251" width="14.83203125" style="222" customWidth="1"/>
    <col min="10252" max="10258" width="11.33203125" style="222" customWidth="1"/>
    <col min="10259" max="10259" width="17" style="222" customWidth="1"/>
    <col min="10260" max="10260" width="8.6640625" style="222" customWidth="1"/>
    <col min="10261" max="10265" width="8.83203125" style="222"/>
    <col min="10266" max="10266" width="24.83203125" style="222" customWidth="1"/>
    <col min="10267" max="10274" width="8.83203125" style="222"/>
    <col min="10275" max="10275" width="14.5" style="222" customWidth="1"/>
    <col min="10276" max="10276" width="13.83203125" style="222" customWidth="1"/>
    <col min="10277" max="10277" width="13.33203125" style="222" customWidth="1"/>
    <col min="10278" max="10495" width="8.83203125" style="222"/>
    <col min="10496" max="10496" width="29.1640625" style="222" customWidth="1"/>
    <col min="10497" max="10498" width="21.83203125" style="222" customWidth="1"/>
    <col min="10499" max="10499" width="17.1640625" style="222" customWidth="1"/>
    <col min="10500" max="10500" width="24.1640625" style="222" customWidth="1"/>
    <col min="10501" max="10501" width="22.83203125" style="222" customWidth="1"/>
    <col min="10502" max="10504" width="11.33203125" style="222" customWidth="1"/>
    <col min="10505" max="10505" width="25.33203125" style="222" customWidth="1"/>
    <col min="10506" max="10506" width="13.33203125" style="222" customWidth="1"/>
    <col min="10507" max="10507" width="14.83203125" style="222" customWidth="1"/>
    <col min="10508" max="10514" width="11.33203125" style="222" customWidth="1"/>
    <col min="10515" max="10515" width="17" style="222" customWidth="1"/>
    <col min="10516" max="10516" width="8.6640625" style="222" customWidth="1"/>
    <col min="10517" max="10521" width="8.83203125" style="222"/>
    <col min="10522" max="10522" width="24.83203125" style="222" customWidth="1"/>
    <col min="10523" max="10530" width="8.83203125" style="222"/>
    <col min="10531" max="10531" width="14.5" style="222" customWidth="1"/>
    <col min="10532" max="10532" width="13.83203125" style="222" customWidth="1"/>
    <col min="10533" max="10533" width="13.33203125" style="222" customWidth="1"/>
    <col min="10534" max="10751" width="8.83203125" style="222"/>
    <col min="10752" max="10752" width="29.1640625" style="222" customWidth="1"/>
    <col min="10753" max="10754" width="21.83203125" style="222" customWidth="1"/>
    <col min="10755" max="10755" width="17.1640625" style="222" customWidth="1"/>
    <col min="10756" max="10756" width="24.1640625" style="222" customWidth="1"/>
    <col min="10757" max="10757" width="22.83203125" style="222" customWidth="1"/>
    <col min="10758" max="10760" width="11.33203125" style="222" customWidth="1"/>
    <col min="10761" max="10761" width="25.33203125" style="222" customWidth="1"/>
    <col min="10762" max="10762" width="13.33203125" style="222" customWidth="1"/>
    <col min="10763" max="10763" width="14.83203125" style="222" customWidth="1"/>
    <col min="10764" max="10770" width="11.33203125" style="222" customWidth="1"/>
    <col min="10771" max="10771" width="17" style="222" customWidth="1"/>
    <col min="10772" max="10772" width="8.6640625" style="222" customWidth="1"/>
    <col min="10773" max="10777" width="8.83203125" style="222"/>
    <col min="10778" max="10778" width="24.83203125" style="222" customWidth="1"/>
    <col min="10779" max="10786" width="8.83203125" style="222"/>
    <col min="10787" max="10787" width="14.5" style="222" customWidth="1"/>
    <col min="10788" max="10788" width="13.83203125" style="222" customWidth="1"/>
    <col min="10789" max="10789" width="13.33203125" style="222" customWidth="1"/>
    <col min="10790" max="11007" width="8.83203125" style="222"/>
    <col min="11008" max="11008" width="29.1640625" style="222" customWidth="1"/>
    <col min="11009" max="11010" width="21.83203125" style="222" customWidth="1"/>
    <col min="11011" max="11011" width="17.1640625" style="222" customWidth="1"/>
    <col min="11012" max="11012" width="24.1640625" style="222" customWidth="1"/>
    <col min="11013" max="11013" width="22.83203125" style="222" customWidth="1"/>
    <col min="11014" max="11016" width="11.33203125" style="222" customWidth="1"/>
    <col min="11017" max="11017" width="25.33203125" style="222" customWidth="1"/>
    <col min="11018" max="11018" width="13.33203125" style="222" customWidth="1"/>
    <col min="11019" max="11019" width="14.83203125" style="222" customWidth="1"/>
    <col min="11020" max="11026" width="11.33203125" style="222" customWidth="1"/>
    <col min="11027" max="11027" width="17" style="222" customWidth="1"/>
    <col min="11028" max="11028" width="8.6640625" style="222" customWidth="1"/>
    <col min="11029" max="11033" width="8.83203125" style="222"/>
    <col min="11034" max="11034" width="24.83203125" style="222" customWidth="1"/>
    <col min="11035" max="11042" width="8.83203125" style="222"/>
    <col min="11043" max="11043" width="14.5" style="222" customWidth="1"/>
    <col min="11044" max="11044" width="13.83203125" style="222" customWidth="1"/>
    <col min="11045" max="11045" width="13.33203125" style="222" customWidth="1"/>
    <col min="11046" max="11263" width="8.83203125" style="222"/>
    <col min="11264" max="11264" width="29.1640625" style="222" customWidth="1"/>
    <col min="11265" max="11266" width="21.83203125" style="222" customWidth="1"/>
    <col min="11267" max="11267" width="17.1640625" style="222" customWidth="1"/>
    <col min="11268" max="11268" width="24.1640625" style="222" customWidth="1"/>
    <col min="11269" max="11269" width="22.83203125" style="222" customWidth="1"/>
    <col min="11270" max="11272" width="11.33203125" style="222" customWidth="1"/>
    <col min="11273" max="11273" width="25.33203125" style="222" customWidth="1"/>
    <col min="11274" max="11274" width="13.33203125" style="222" customWidth="1"/>
    <col min="11275" max="11275" width="14.83203125" style="222" customWidth="1"/>
    <col min="11276" max="11282" width="11.33203125" style="222" customWidth="1"/>
    <col min="11283" max="11283" width="17" style="222" customWidth="1"/>
    <col min="11284" max="11284" width="8.6640625" style="222" customWidth="1"/>
    <col min="11285" max="11289" width="8.83203125" style="222"/>
    <col min="11290" max="11290" width="24.83203125" style="222" customWidth="1"/>
    <col min="11291" max="11298" width="8.83203125" style="222"/>
    <col min="11299" max="11299" width="14.5" style="222" customWidth="1"/>
    <col min="11300" max="11300" width="13.83203125" style="222" customWidth="1"/>
    <col min="11301" max="11301" width="13.33203125" style="222" customWidth="1"/>
    <col min="11302" max="11519" width="8.83203125" style="222"/>
    <col min="11520" max="11520" width="29.1640625" style="222" customWidth="1"/>
    <col min="11521" max="11522" width="21.83203125" style="222" customWidth="1"/>
    <col min="11523" max="11523" width="17.1640625" style="222" customWidth="1"/>
    <col min="11524" max="11524" width="24.1640625" style="222" customWidth="1"/>
    <col min="11525" max="11525" width="22.83203125" style="222" customWidth="1"/>
    <col min="11526" max="11528" width="11.33203125" style="222" customWidth="1"/>
    <col min="11529" max="11529" width="25.33203125" style="222" customWidth="1"/>
    <col min="11530" max="11530" width="13.33203125" style="222" customWidth="1"/>
    <col min="11531" max="11531" width="14.83203125" style="222" customWidth="1"/>
    <col min="11532" max="11538" width="11.33203125" style="222" customWidth="1"/>
    <col min="11539" max="11539" width="17" style="222" customWidth="1"/>
    <col min="11540" max="11540" width="8.6640625" style="222" customWidth="1"/>
    <col min="11541" max="11545" width="8.83203125" style="222"/>
    <col min="11546" max="11546" width="24.83203125" style="222" customWidth="1"/>
    <col min="11547" max="11554" width="8.83203125" style="222"/>
    <col min="11555" max="11555" width="14.5" style="222" customWidth="1"/>
    <col min="11556" max="11556" width="13.83203125" style="222" customWidth="1"/>
    <col min="11557" max="11557" width="13.33203125" style="222" customWidth="1"/>
    <col min="11558" max="11775" width="8.83203125" style="222"/>
    <col min="11776" max="11776" width="29.1640625" style="222" customWidth="1"/>
    <col min="11777" max="11778" width="21.83203125" style="222" customWidth="1"/>
    <col min="11779" max="11779" width="17.1640625" style="222" customWidth="1"/>
    <col min="11780" max="11780" width="24.1640625" style="222" customWidth="1"/>
    <col min="11781" max="11781" width="22.83203125" style="222" customWidth="1"/>
    <col min="11782" max="11784" width="11.33203125" style="222" customWidth="1"/>
    <col min="11785" max="11785" width="25.33203125" style="222" customWidth="1"/>
    <col min="11786" max="11786" width="13.33203125" style="222" customWidth="1"/>
    <col min="11787" max="11787" width="14.83203125" style="222" customWidth="1"/>
    <col min="11788" max="11794" width="11.33203125" style="222" customWidth="1"/>
    <col min="11795" max="11795" width="17" style="222" customWidth="1"/>
    <col min="11796" max="11796" width="8.6640625" style="222" customWidth="1"/>
    <col min="11797" max="11801" width="8.83203125" style="222"/>
    <col min="11802" max="11802" width="24.83203125" style="222" customWidth="1"/>
    <col min="11803" max="11810" width="8.83203125" style="222"/>
    <col min="11811" max="11811" width="14.5" style="222" customWidth="1"/>
    <col min="11812" max="11812" width="13.83203125" style="222" customWidth="1"/>
    <col min="11813" max="11813" width="13.33203125" style="222" customWidth="1"/>
    <col min="11814" max="12031" width="8.83203125" style="222"/>
    <col min="12032" max="12032" width="29.1640625" style="222" customWidth="1"/>
    <col min="12033" max="12034" width="21.83203125" style="222" customWidth="1"/>
    <col min="12035" max="12035" width="17.1640625" style="222" customWidth="1"/>
    <col min="12036" max="12036" width="24.1640625" style="222" customWidth="1"/>
    <col min="12037" max="12037" width="22.83203125" style="222" customWidth="1"/>
    <col min="12038" max="12040" width="11.33203125" style="222" customWidth="1"/>
    <col min="12041" max="12041" width="25.33203125" style="222" customWidth="1"/>
    <col min="12042" max="12042" width="13.33203125" style="222" customWidth="1"/>
    <col min="12043" max="12043" width="14.83203125" style="222" customWidth="1"/>
    <col min="12044" max="12050" width="11.33203125" style="222" customWidth="1"/>
    <col min="12051" max="12051" width="17" style="222" customWidth="1"/>
    <col min="12052" max="12052" width="8.6640625" style="222" customWidth="1"/>
    <col min="12053" max="12057" width="8.83203125" style="222"/>
    <col min="12058" max="12058" width="24.83203125" style="222" customWidth="1"/>
    <col min="12059" max="12066" width="8.83203125" style="222"/>
    <col min="12067" max="12067" width="14.5" style="222" customWidth="1"/>
    <col min="12068" max="12068" width="13.83203125" style="222" customWidth="1"/>
    <col min="12069" max="12069" width="13.33203125" style="222" customWidth="1"/>
    <col min="12070" max="12287" width="8.83203125" style="222"/>
    <col min="12288" max="12288" width="29.1640625" style="222" customWidth="1"/>
    <col min="12289" max="12290" width="21.83203125" style="222" customWidth="1"/>
    <col min="12291" max="12291" width="17.1640625" style="222" customWidth="1"/>
    <col min="12292" max="12292" width="24.1640625" style="222" customWidth="1"/>
    <col min="12293" max="12293" width="22.83203125" style="222" customWidth="1"/>
    <col min="12294" max="12296" width="11.33203125" style="222" customWidth="1"/>
    <col min="12297" max="12297" width="25.33203125" style="222" customWidth="1"/>
    <col min="12298" max="12298" width="13.33203125" style="222" customWidth="1"/>
    <col min="12299" max="12299" width="14.83203125" style="222" customWidth="1"/>
    <col min="12300" max="12306" width="11.33203125" style="222" customWidth="1"/>
    <col min="12307" max="12307" width="17" style="222" customWidth="1"/>
    <col min="12308" max="12308" width="8.6640625" style="222" customWidth="1"/>
    <col min="12309" max="12313" width="8.83203125" style="222"/>
    <col min="12314" max="12314" width="24.83203125" style="222" customWidth="1"/>
    <col min="12315" max="12322" width="8.83203125" style="222"/>
    <col min="12323" max="12323" width="14.5" style="222" customWidth="1"/>
    <col min="12324" max="12324" width="13.83203125" style="222" customWidth="1"/>
    <col min="12325" max="12325" width="13.33203125" style="222" customWidth="1"/>
    <col min="12326" max="12543" width="8.83203125" style="222"/>
    <col min="12544" max="12544" width="29.1640625" style="222" customWidth="1"/>
    <col min="12545" max="12546" width="21.83203125" style="222" customWidth="1"/>
    <col min="12547" max="12547" width="17.1640625" style="222" customWidth="1"/>
    <col min="12548" max="12548" width="24.1640625" style="222" customWidth="1"/>
    <col min="12549" max="12549" width="22.83203125" style="222" customWidth="1"/>
    <col min="12550" max="12552" width="11.33203125" style="222" customWidth="1"/>
    <col min="12553" max="12553" width="25.33203125" style="222" customWidth="1"/>
    <col min="12554" max="12554" width="13.33203125" style="222" customWidth="1"/>
    <col min="12555" max="12555" width="14.83203125" style="222" customWidth="1"/>
    <col min="12556" max="12562" width="11.33203125" style="222" customWidth="1"/>
    <col min="12563" max="12563" width="17" style="222" customWidth="1"/>
    <col min="12564" max="12564" width="8.6640625" style="222" customWidth="1"/>
    <col min="12565" max="12569" width="8.83203125" style="222"/>
    <col min="12570" max="12570" width="24.83203125" style="222" customWidth="1"/>
    <col min="12571" max="12578" width="8.83203125" style="222"/>
    <col min="12579" max="12579" width="14.5" style="222" customWidth="1"/>
    <col min="12580" max="12580" width="13.83203125" style="222" customWidth="1"/>
    <col min="12581" max="12581" width="13.33203125" style="222" customWidth="1"/>
    <col min="12582" max="12799" width="8.83203125" style="222"/>
    <col min="12800" max="12800" width="29.1640625" style="222" customWidth="1"/>
    <col min="12801" max="12802" width="21.83203125" style="222" customWidth="1"/>
    <col min="12803" max="12803" width="17.1640625" style="222" customWidth="1"/>
    <col min="12804" max="12804" width="24.1640625" style="222" customWidth="1"/>
    <col min="12805" max="12805" width="22.83203125" style="222" customWidth="1"/>
    <col min="12806" max="12808" width="11.33203125" style="222" customWidth="1"/>
    <col min="12809" max="12809" width="25.33203125" style="222" customWidth="1"/>
    <col min="12810" max="12810" width="13.33203125" style="222" customWidth="1"/>
    <col min="12811" max="12811" width="14.83203125" style="222" customWidth="1"/>
    <col min="12812" max="12818" width="11.33203125" style="222" customWidth="1"/>
    <col min="12819" max="12819" width="17" style="222" customWidth="1"/>
    <col min="12820" max="12820" width="8.6640625" style="222" customWidth="1"/>
    <col min="12821" max="12825" width="8.83203125" style="222"/>
    <col min="12826" max="12826" width="24.83203125" style="222" customWidth="1"/>
    <col min="12827" max="12834" width="8.83203125" style="222"/>
    <col min="12835" max="12835" width="14.5" style="222" customWidth="1"/>
    <col min="12836" max="12836" width="13.83203125" style="222" customWidth="1"/>
    <col min="12837" max="12837" width="13.33203125" style="222" customWidth="1"/>
    <col min="12838" max="13055" width="8.83203125" style="222"/>
    <col min="13056" max="13056" width="29.1640625" style="222" customWidth="1"/>
    <col min="13057" max="13058" width="21.83203125" style="222" customWidth="1"/>
    <col min="13059" max="13059" width="17.1640625" style="222" customWidth="1"/>
    <col min="13060" max="13060" width="24.1640625" style="222" customWidth="1"/>
    <col min="13061" max="13061" width="22.83203125" style="222" customWidth="1"/>
    <col min="13062" max="13064" width="11.33203125" style="222" customWidth="1"/>
    <col min="13065" max="13065" width="25.33203125" style="222" customWidth="1"/>
    <col min="13066" max="13066" width="13.33203125" style="222" customWidth="1"/>
    <col min="13067" max="13067" width="14.83203125" style="222" customWidth="1"/>
    <col min="13068" max="13074" width="11.33203125" style="222" customWidth="1"/>
    <col min="13075" max="13075" width="17" style="222" customWidth="1"/>
    <col min="13076" max="13076" width="8.6640625" style="222" customWidth="1"/>
    <col min="13077" max="13081" width="8.83203125" style="222"/>
    <col min="13082" max="13082" width="24.83203125" style="222" customWidth="1"/>
    <col min="13083" max="13090" width="8.83203125" style="222"/>
    <col min="13091" max="13091" width="14.5" style="222" customWidth="1"/>
    <col min="13092" max="13092" width="13.83203125" style="222" customWidth="1"/>
    <col min="13093" max="13093" width="13.33203125" style="222" customWidth="1"/>
    <col min="13094" max="13311" width="8.83203125" style="222"/>
    <col min="13312" max="13312" width="29.1640625" style="222" customWidth="1"/>
    <col min="13313" max="13314" width="21.83203125" style="222" customWidth="1"/>
    <col min="13315" max="13315" width="17.1640625" style="222" customWidth="1"/>
    <col min="13316" max="13316" width="24.1640625" style="222" customWidth="1"/>
    <col min="13317" max="13317" width="22.83203125" style="222" customWidth="1"/>
    <col min="13318" max="13320" width="11.33203125" style="222" customWidth="1"/>
    <col min="13321" max="13321" width="25.33203125" style="222" customWidth="1"/>
    <col min="13322" max="13322" width="13.33203125" style="222" customWidth="1"/>
    <col min="13323" max="13323" width="14.83203125" style="222" customWidth="1"/>
    <col min="13324" max="13330" width="11.33203125" style="222" customWidth="1"/>
    <col min="13331" max="13331" width="17" style="222" customWidth="1"/>
    <col min="13332" max="13332" width="8.6640625" style="222" customWidth="1"/>
    <col min="13333" max="13337" width="8.83203125" style="222"/>
    <col min="13338" max="13338" width="24.83203125" style="222" customWidth="1"/>
    <col min="13339" max="13346" width="8.83203125" style="222"/>
    <col min="13347" max="13347" width="14.5" style="222" customWidth="1"/>
    <col min="13348" max="13348" width="13.83203125" style="222" customWidth="1"/>
    <col min="13349" max="13349" width="13.33203125" style="222" customWidth="1"/>
    <col min="13350" max="13567" width="8.83203125" style="222"/>
    <col min="13568" max="13568" width="29.1640625" style="222" customWidth="1"/>
    <col min="13569" max="13570" width="21.83203125" style="222" customWidth="1"/>
    <col min="13571" max="13571" width="17.1640625" style="222" customWidth="1"/>
    <col min="13572" max="13572" width="24.1640625" style="222" customWidth="1"/>
    <col min="13573" max="13573" width="22.83203125" style="222" customWidth="1"/>
    <col min="13574" max="13576" width="11.33203125" style="222" customWidth="1"/>
    <col min="13577" max="13577" width="25.33203125" style="222" customWidth="1"/>
    <col min="13578" max="13578" width="13.33203125" style="222" customWidth="1"/>
    <col min="13579" max="13579" width="14.83203125" style="222" customWidth="1"/>
    <col min="13580" max="13586" width="11.33203125" style="222" customWidth="1"/>
    <col min="13587" max="13587" width="17" style="222" customWidth="1"/>
    <col min="13588" max="13588" width="8.6640625" style="222" customWidth="1"/>
    <col min="13589" max="13593" width="8.83203125" style="222"/>
    <col min="13594" max="13594" width="24.83203125" style="222" customWidth="1"/>
    <col min="13595" max="13602" width="8.83203125" style="222"/>
    <col min="13603" max="13603" width="14.5" style="222" customWidth="1"/>
    <col min="13604" max="13604" width="13.83203125" style="222" customWidth="1"/>
    <col min="13605" max="13605" width="13.33203125" style="222" customWidth="1"/>
    <col min="13606" max="13823" width="8.83203125" style="222"/>
    <col min="13824" max="13824" width="29.1640625" style="222" customWidth="1"/>
    <col min="13825" max="13826" width="21.83203125" style="222" customWidth="1"/>
    <col min="13827" max="13827" width="17.1640625" style="222" customWidth="1"/>
    <col min="13828" max="13828" width="24.1640625" style="222" customWidth="1"/>
    <col min="13829" max="13829" width="22.83203125" style="222" customWidth="1"/>
    <col min="13830" max="13832" width="11.33203125" style="222" customWidth="1"/>
    <col min="13833" max="13833" width="25.33203125" style="222" customWidth="1"/>
    <col min="13834" max="13834" width="13.33203125" style="222" customWidth="1"/>
    <col min="13835" max="13835" width="14.83203125" style="222" customWidth="1"/>
    <col min="13836" max="13842" width="11.33203125" style="222" customWidth="1"/>
    <col min="13843" max="13843" width="17" style="222" customWidth="1"/>
    <col min="13844" max="13844" width="8.6640625" style="222" customWidth="1"/>
    <col min="13845" max="13849" width="8.83203125" style="222"/>
    <col min="13850" max="13850" width="24.83203125" style="222" customWidth="1"/>
    <col min="13851" max="13858" width="8.83203125" style="222"/>
    <col min="13859" max="13859" width="14.5" style="222" customWidth="1"/>
    <col min="13860" max="13860" width="13.83203125" style="222" customWidth="1"/>
    <col min="13861" max="13861" width="13.33203125" style="222" customWidth="1"/>
    <col min="13862" max="14079" width="8.83203125" style="222"/>
    <col min="14080" max="14080" width="29.1640625" style="222" customWidth="1"/>
    <col min="14081" max="14082" width="21.83203125" style="222" customWidth="1"/>
    <col min="14083" max="14083" width="17.1640625" style="222" customWidth="1"/>
    <col min="14084" max="14084" width="24.1640625" style="222" customWidth="1"/>
    <col min="14085" max="14085" width="22.83203125" style="222" customWidth="1"/>
    <col min="14086" max="14088" width="11.33203125" style="222" customWidth="1"/>
    <col min="14089" max="14089" width="25.33203125" style="222" customWidth="1"/>
    <col min="14090" max="14090" width="13.33203125" style="222" customWidth="1"/>
    <col min="14091" max="14091" width="14.83203125" style="222" customWidth="1"/>
    <col min="14092" max="14098" width="11.33203125" style="222" customWidth="1"/>
    <col min="14099" max="14099" width="17" style="222" customWidth="1"/>
    <col min="14100" max="14100" width="8.6640625" style="222" customWidth="1"/>
    <col min="14101" max="14105" width="8.83203125" style="222"/>
    <col min="14106" max="14106" width="24.83203125" style="222" customWidth="1"/>
    <col min="14107" max="14114" width="8.83203125" style="222"/>
    <col min="14115" max="14115" width="14.5" style="222" customWidth="1"/>
    <col min="14116" max="14116" width="13.83203125" style="222" customWidth="1"/>
    <col min="14117" max="14117" width="13.33203125" style="222" customWidth="1"/>
    <col min="14118" max="14335" width="8.83203125" style="222"/>
    <col min="14336" max="14336" width="29.1640625" style="222" customWidth="1"/>
    <col min="14337" max="14338" width="21.83203125" style="222" customWidth="1"/>
    <col min="14339" max="14339" width="17.1640625" style="222" customWidth="1"/>
    <col min="14340" max="14340" width="24.1640625" style="222" customWidth="1"/>
    <col min="14341" max="14341" width="22.83203125" style="222" customWidth="1"/>
    <col min="14342" max="14344" width="11.33203125" style="222" customWidth="1"/>
    <col min="14345" max="14345" width="25.33203125" style="222" customWidth="1"/>
    <col min="14346" max="14346" width="13.33203125" style="222" customWidth="1"/>
    <col min="14347" max="14347" width="14.83203125" style="222" customWidth="1"/>
    <col min="14348" max="14354" width="11.33203125" style="222" customWidth="1"/>
    <col min="14355" max="14355" width="17" style="222" customWidth="1"/>
    <col min="14356" max="14356" width="8.6640625" style="222" customWidth="1"/>
    <col min="14357" max="14361" width="8.83203125" style="222"/>
    <col min="14362" max="14362" width="24.83203125" style="222" customWidth="1"/>
    <col min="14363" max="14370" width="8.83203125" style="222"/>
    <col min="14371" max="14371" width="14.5" style="222" customWidth="1"/>
    <col min="14372" max="14372" width="13.83203125" style="222" customWidth="1"/>
    <col min="14373" max="14373" width="13.33203125" style="222" customWidth="1"/>
    <col min="14374" max="14591" width="8.83203125" style="222"/>
    <col min="14592" max="14592" width="29.1640625" style="222" customWidth="1"/>
    <col min="14593" max="14594" width="21.83203125" style="222" customWidth="1"/>
    <col min="14595" max="14595" width="17.1640625" style="222" customWidth="1"/>
    <col min="14596" max="14596" width="24.1640625" style="222" customWidth="1"/>
    <col min="14597" max="14597" width="22.83203125" style="222" customWidth="1"/>
    <col min="14598" max="14600" width="11.33203125" style="222" customWidth="1"/>
    <col min="14601" max="14601" width="25.33203125" style="222" customWidth="1"/>
    <col min="14602" max="14602" width="13.33203125" style="222" customWidth="1"/>
    <col min="14603" max="14603" width="14.83203125" style="222" customWidth="1"/>
    <col min="14604" max="14610" width="11.33203125" style="222" customWidth="1"/>
    <col min="14611" max="14611" width="17" style="222" customWidth="1"/>
    <col min="14612" max="14612" width="8.6640625" style="222" customWidth="1"/>
    <col min="14613" max="14617" width="8.83203125" style="222"/>
    <col min="14618" max="14618" width="24.83203125" style="222" customWidth="1"/>
    <col min="14619" max="14626" width="8.83203125" style="222"/>
    <col min="14627" max="14627" width="14.5" style="222" customWidth="1"/>
    <col min="14628" max="14628" width="13.83203125" style="222" customWidth="1"/>
    <col min="14629" max="14629" width="13.33203125" style="222" customWidth="1"/>
    <col min="14630" max="14847" width="8.83203125" style="222"/>
    <col min="14848" max="14848" width="29.1640625" style="222" customWidth="1"/>
    <col min="14849" max="14850" width="21.83203125" style="222" customWidth="1"/>
    <col min="14851" max="14851" width="17.1640625" style="222" customWidth="1"/>
    <col min="14852" max="14852" width="24.1640625" style="222" customWidth="1"/>
    <col min="14853" max="14853" width="22.83203125" style="222" customWidth="1"/>
    <col min="14854" max="14856" width="11.33203125" style="222" customWidth="1"/>
    <col min="14857" max="14857" width="25.33203125" style="222" customWidth="1"/>
    <col min="14858" max="14858" width="13.33203125" style="222" customWidth="1"/>
    <col min="14859" max="14859" width="14.83203125" style="222" customWidth="1"/>
    <col min="14860" max="14866" width="11.33203125" style="222" customWidth="1"/>
    <col min="14867" max="14867" width="17" style="222" customWidth="1"/>
    <col min="14868" max="14868" width="8.6640625" style="222" customWidth="1"/>
    <col min="14869" max="14873" width="8.83203125" style="222"/>
    <col min="14874" max="14874" width="24.83203125" style="222" customWidth="1"/>
    <col min="14875" max="14882" width="8.83203125" style="222"/>
    <col min="14883" max="14883" width="14.5" style="222" customWidth="1"/>
    <col min="14884" max="14884" width="13.83203125" style="222" customWidth="1"/>
    <col min="14885" max="14885" width="13.33203125" style="222" customWidth="1"/>
    <col min="14886" max="15103" width="8.83203125" style="222"/>
    <col min="15104" max="15104" width="29.1640625" style="222" customWidth="1"/>
    <col min="15105" max="15106" width="21.83203125" style="222" customWidth="1"/>
    <col min="15107" max="15107" width="17.1640625" style="222" customWidth="1"/>
    <col min="15108" max="15108" width="24.1640625" style="222" customWidth="1"/>
    <col min="15109" max="15109" width="22.83203125" style="222" customWidth="1"/>
    <col min="15110" max="15112" width="11.33203125" style="222" customWidth="1"/>
    <col min="15113" max="15113" width="25.33203125" style="222" customWidth="1"/>
    <col min="15114" max="15114" width="13.33203125" style="222" customWidth="1"/>
    <col min="15115" max="15115" width="14.83203125" style="222" customWidth="1"/>
    <col min="15116" max="15122" width="11.33203125" style="222" customWidth="1"/>
    <col min="15123" max="15123" width="17" style="222" customWidth="1"/>
    <col min="15124" max="15124" width="8.6640625" style="222" customWidth="1"/>
    <col min="15125" max="15129" width="8.83203125" style="222"/>
    <col min="15130" max="15130" width="24.83203125" style="222" customWidth="1"/>
    <col min="15131" max="15138" width="8.83203125" style="222"/>
    <col min="15139" max="15139" width="14.5" style="222" customWidth="1"/>
    <col min="15140" max="15140" width="13.83203125" style="222" customWidth="1"/>
    <col min="15141" max="15141" width="13.33203125" style="222" customWidth="1"/>
    <col min="15142" max="15359" width="8.83203125" style="222"/>
    <col min="15360" max="15360" width="29.1640625" style="222" customWidth="1"/>
    <col min="15361" max="15362" width="21.83203125" style="222" customWidth="1"/>
    <col min="15363" max="15363" width="17.1640625" style="222" customWidth="1"/>
    <col min="15364" max="15364" width="24.1640625" style="222" customWidth="1"/>
    <col min="15365" max="15365" width="22.83203125" style="222" customWidth="1"/>
    <col min="15366" max="15368" width="11.33203125" style="222" customWidth="1"/>
    <col min="15369" max="15369" width="25.33203125" style="222" customWidth="1"/>
    <col min="15370" max="15370" width="13.33203125" style="222" customWidth="1"/>
    <col min="15371" max="15371" width="14.83203125" style="222" customWidth="1"/>
    <col min="15372" max="15378" width="11.33203125" style="222" customWidth="1"/>
    <col min="15379" max="15379" width="17" style="222" customWidth="1"/>
    <col min="15380" max="15380" width="8.6640625" style="222" customWidth="1"/>
    <col min="15381" max="15385" width="8.83203125" style="222"/>
    <col min="15386" max="15386" width="24.83203125" style="222" customWidth="1"/>
    <col min="15387" max="15394" width="8.83203125" style="222"/>
    <col min="15395" max="15395" width="14.5" style="222" customWidth="1"/>
    <col min="15396" max="15396" width="13.83203125" style="222" customWidth="1"/>
    <col min="15397" max="15397" width="13.33203125" style="222" customWidth="1"/>
    <col min="15398" max="15615" width="8.83203125" style="222"/>
    <col min="15616" max="15616" width="29.1640625" style="222" customWidth="1"/>
    <col min="15617" max="15618" width="21.83203125" style="222" customWidth="1"/>
    <col min="15619" max="15619" width="17.1640625" style="222" customWidth="1"/>
    <col min="15620" max="15620" width="24.1640625" style="222" customWidth="1"/>
    <col min="15621" max="15621" width="22.83203125" style="222" customWidth="1"/>
    <col min="15622" max="15624" width="11.33203125" style="222" customWidth="1"/>
    <col min="15625" max="15625" width="25.33203125" style="222" customWidth="1"/>
    <col min="15626" max="15626" width="13.33203125" style="222" customWidth="1"/>
    <col min="15627" max="15627" width="14.83203125" style="222" customWidth="1"/>
    <col min="15628" max="15634" width="11.33203125" style="222" customWidth="1"/>
    <col min="15635" max="15635" width="17" style="222" customWidth="1"/>
    <col min="15636" max="15636" width="8.6640625" style="222" customWidth="1"/>
    <col min="15637" max="15641" width="8.83203125" style="222"/>
    <col min="15642" max="15642" width="24.83203125" style="222" customWidth="1"/>
    <col min="15643" max="15650" width="8.83203125" style="222"/>
    <col min="15651" max="15651" width="14.5" style="222" customWidth="1"/>
    <col min="15652" max="15652" width="13.83203125" style="222" customWidth="1"/>
    <col min="15653" max="15653" width="13.33203125" style="222" customWidth="1"/>
    <col min="15654" max="15871" width="8.83203125" style="222"/>
    <col min="15872" max="15872" width="29.1640625" style="222" customWidth="1"/>
    <col min="15873" max="15874" width="21.83203125" style="222" customWidth="1"/>
    <col min="15875" max="15875" width="17.1640625" style="222" customWidth="1"/>
    <col min="15876" max="15876" width="24.1640625" style="222" customWidth="1"/>
    <col min="15877" max="15877" width="22.83203125" style="222" customWidth="1"/>
    <col min="15878" max="15880" width="11.33203125" style="222" customWidth="1"/>
    <col min="15881" max="15881" width="25.33203125" style="222" customWidth="1"/>
    <col min="15882" max="15882" width="13.33203125" style="222" customWidth="1"/>
    <col min="15883" max="15883" width="14.83203125" style="222" customWidth="1"/>
    <col min="15884" max="15890" width="11.33203125" style="222" customWidth="1"/>
    <col min="15891" max="15891" width="17" style="222" customWidth="1"/>
    <col min="15892" max="15892" width="8.6640625" style="222" customWidth="1"/>
    <col min="15893" max="15897" width="8.83203125" style="222"/>
    <col min="15898" max="15898" width="24.83203125" style="222" customWidth="1"/>
    <col min="15899" max="15906" width="8.83203125" style="222"/>
    <col min="15907" max="15907" width="14.5" style="222" customWidth="1"/>
    <col min="15908" max="15908" width="13.83203125" style="222" customWidth="1"/>
    <col min="15909" max="15909" width="13.33203125" style="222" customWidth="1"/>
    <col min="15910" max="16127" width="8.83203125" style="222"/>
    <col min="16128" max="16128" width="29.1640625" style="222" customWidth="1"/>
    <col min="16129" max="16130" width="21.83203125" style="222" customWidth="1"/>
    <col min="16131" max="16131" width="17.1640625" style="222" customWidth="1"/>
    <col min="16132" max="16132" width="24.1640625" style="222" customWidth="1"/>
    <col min="16133" max="16133" width="22.83203125" style="222" customWidth="1"/>
    <col min="16134" max="16136" width="11.33203125" style="222" customWidth="1"/>
    <col min="16137" max="16137" width="25.33203125" style="222" customWidth="1"/>
    <col min="16138" max="16138" width="13.33203125" style="222" customWidth="1"/>
    <col min="16139" max="16139" width="14.83203125" style="222" customWidth="1"/>
    <col min="16140" max="16146" width="11.33203125" style="222" customWidth="1"/>
    <col min="16147" max="16147" width="17" style="222" customWidth="1"/>
    <col min="16148" max="16148" width="8.6640625" style="222" customWidth="1"/>
    <col min="16149" max="16153" width="8.83203125" style="222"/>
    <col min="16154" max="16154" width="24.83203125" style="222" customWidth="1"/>
    <col min="16155" max="16162" width="8.83203125" style="222"/>
    <col min="16163" max="16163" width="14.5" style="222" customWidth="1"/>
    <col min="16164" max="16164" width="13.83203125" style="222" customWidth="1"/>
    <col min="16165" max="16165" width="13.33203125" style="222" customWidth="1"/>
    <col min="16166" max="16382" width="8.83203125" style="222"/>
    <col min="16383" max="16384" width="8.83203125" style="222" customWidth="1"/>
  </cols>
  <sheetData>
    <row r="1" spans="1:39" s="218" customFormat="1">
      <c r="A1" s="217" t="s">
        <v>877</v>
      </c>
      <c r="G1" s="219"/>
      <c r="H1" s="219"/>
      <c r="I1" s="219"/>
      <c r="J1" s="219"/>
      <c r="K1" s="219"/>
      <c r="L1" s="220"/>
      <c r="M1" s="414" t="s">
        <v>878</v>
      </c>
      <c r="N1" s="414"/>
      <c r="O1" s="414"/>
      <c r="P1" s="220"/>
      <c r="Q1" s="221" t="s">
        <v>879</v>
      </c>
      <c r="R1" s="221" t="s">
        <v>880</v>
      </c>
      <c r="S1" s="221" t="s">
        <v>881</v>
      </c>
      <c r="U1" s="222"/>
      <c r="V1" s="222"/>
      <c r="W1" s="222"/>
      <c r="X1" s="222"/>
      <c r="Y1" s="222"/>
      <c r="AJ1" s="218">
        <v>504</v>
      </c>
    </row>
    <row r="2" spans="1:39">
      <c r="A2" s="223" t="s">
        <v>882</v>
      </c>
      <c r="C2" s="222" t="s">
        <v>883</v>
      </c>
      <c r="G2" s="219" t="s">
        <v>884</v>
      </c>
      <c r="H2" s="224">
        <v>0.7</v>
      </c>
      <c r="I2" s="219" t="s">
        <v>885</v>
      </c>
      <c r="J2" s="219" t="s">
        <v>886</v>
      </c>
      <c r="K2" s="219"/>
      <c r="M2" s="222" t="s">
        <v>887</v>
      </c>
      <c r="N2" s="225">
        <v>10</v>
      </c>
      <c r="O2" s="222" t="s">
        <v>888</v>
      </c>
      <c r="Q2" s="255">
        <v>1</v>
      </c>
      <c r="R2" s="255"/>
      <c r="S2" s="255"/>
    </row>
    <row r="3" spans="1:39">
      <c r="G3" s="219" t="s">
        <v>889</v>
      </c>
      <c r="H3" s="226">
        <v>0.755</v>
      </c>
      <c r="I3" s="219" t="s">
        <v>890</v>
      </c>
      <c r="J3" s="219"/>
      <c r="K3" s="219"/>
      <c r="M3" s="222" t="s">
        <v>891</v>
      </c>
      <c r="N3" s="225">
        <v>35</v>
      </c>
      <c r="O3" s="222" t="s">
        <v>888</v>
      </c>
      <c r="Q3" s="255"/>
      <c r="R3" s="255"/>
      <c r="S3" s="255"/>
      <c r="AI3" s="222" t="s">
        <v>892</v>
      </c>
      <c r="AJ3" s="222">
        <v>105.4</v>
      </c>
    </row>
    <row r="4" spans="1:39">
      <c r="B4" s="222" t="s">
        <v>893</v>
      </c>
      <c r="C4" s="222" t="s">
        <v>894</v>
      </c>
      <c r="G4" s="219"/>
      <c r="H4" s="227">
        <v>0.28999999999999998</v>
      </c>
      <c r="I4" s="219" t="s">
        <v>895</v>
      </c>
      <c r="J4" s="219">
        <f>H4*0.66</f>
        <v>0.19139999999999999</v>
      </c>
      <c r="K4" s="219" t="s">
        <v>896</v>
      </c>
      <c r="M4" s="222" t="s">
        <v>897</v>
      </c>
      <c r="N4" s="225">
        <v>1</v>
      </c>
      <c r="Q4" s="255"/>
      <c r="R4" s="255"/>
      <c r="S4" s="255"/>
      <c r="AI4" s="222" t="s">
        <v>898</v>
      </c>
      <c r="AJ4" s="222">
        <v>19.03</v>
      </c>
    </row>
    <row r="5" spans="1:39">
      <c r="A5" s="222" t="s">
        <v>899</v>
      </c>
      <c r="B5" s="228"/>
      <c r="C5" s="229">
        <v>0.95</v>
      </c>
      <c r="G5" s="219"/>
      <c r="H5" s="336">
        <f>DCFROR!H3/'CAPEX CALC'!H4/7880</f>
        <v>9.4553808213700101</v>
      </c>
      <c r="I5" s="219" t="s">
        <v>905</v>
      </c>
      <c r="J5" s="219"/>
      <c r="K5" s="219"/>
      <c r="M5" s="222" t="s">
        <v>900</v>
      </c>
      <c r="N5" s="225">
        <v>7</v>
      </c>
      <c r="Q5" s="255"/>
      <c r="R5" s="255"/>
      <c r="S5" s="255"/>
      <c r="AI5" s="222" t="s">
        <v>901</v>
      </c>
      <c r="AJ5" s="222">
        <v>0</v>
      </c>
    </row>
    <row r="6" spans="1:39">
      <c r="A6" s="222" t="s">
        <v>902</v>
      </c>
      <c r="B6" s="228"/>
      <c r="C6" s="230"/>
      <c r="G6" s="219"/>
      <c r="H6" s="335">
        <f>'TEA data'!J12/7880*0.755</f>
        <v>214.34837965638422</v>
      </c>
      <c r="I6" s="219" t="s">
        <v>1023</v>
      </c>
      <c r="J6" s="219"/>
      <c r="K6" s="219"/>
      <c r="L6" s="231"/>
      <c r="M6" s="222" t="s">
        <v>903</v>
      </c>
      <c r="N6" s="232">
        <v>0.5</v>
      </c>
      <c r="Q6" s="255"/>
      <c r="R6" s="255"/>
      <c r="S6" s="255"/>
      <c r="AI6" s="222" t="s">
        <v>904</v>
      </c>
      <c r="AJ6" s="222">
        <v>38291.161999999997</v>
      </c>
    </row>
    <row r="7" spans="1:39">
      <c r="A7" s="222" t="s">
        <v>1117</v>
      </c>
      <c r="B7" s="233">
        <f>H5</f>
        <v>9.4553808213700101</v>
      </c>
      <c r="C7" s="229">
        <v>0.05</v>
      </c>
      <c r="G7" s="219"/>
      <c r="J7" s="219"/>
      <c r="K7" s="219"/>
      <c r="M7" s="222" t="s">
        <v>906</v>
      </c>
      <c r="N7" s="233">
        <f>(N5-N4)/N6</f>
        <v>12</v>
      </c>
      <c r="Q7" s="255"/>
      <c r="R7" s="255"/>
      <c r="S7" s="255"/>
      <c r="AI7" s="222" t="s">
        <v>907</v>
      </c>
      <c r="AJ7" s="222">
        <v>703196.13300000003</v>
      </c>
    </row>
    <row r="8" spans="1:39">
      <c r="A8" s="222" t="s">
        <v>908</v>
      </c>
      <c r="B8" s="234">
        <v>35</v>
      </c>
      <c r="C8" s="222" t="s">
        <v>909</v>
      </c>
      <c r="G8" s="235"/>
      <c r="H8" s="256"/>
      <c r="I8" s="235"/>
      <c r="J8" s="235"/>
      <c r="K8" s="219"/>
      <c r="Q8" s="255"/>
      <c r="R8" s="255"/>
      <c r="S8" s="255"/>
      <c r="AI8" s="222" t="s">
        <v>910</v>
      </c>
      <c r="AJ8" s="222">
        <v>11503.441999999999</v>
      </c>
    </row>
    <row r="9" spans="1:39" ht="20" customHeight="1">
      <c r="A9" s="222" t="s">
        <v>880</v>
      </c>
      <c r="B9" s="236">
        <v>20</v>
      </c>
      <c r="C9" s="222" t="s">
        <v>888</v>
      </c>
      <c r="D9" s="415" t="s">
        <v>911</v>
      </c>
      <c r="E9" s="415"/>
      <c r="F9" s="415"/>
      <c r="G9" s="235"/>
      <c r="H9" s="257"/>
      <c r="I9" s="235"/>
      <c r="J9" s="235"/>
      <c r="K9" s="219"/>
      <c r="Q9" s="255"/>
      <c r="R9" s="255"/>
      <c r="S9" s="255"/>
      <c r="AI9" s="222" t="s">
        <v>912</v>
      </c>
      <c r="AJ9" s="222">
        <v>-4705.4049999999997</v>
      </c>
    </row>
    <row r="10" spans="1:39">
      <c r="A10" s="222" t="s">
        <v>913</v>
      </c>
      <c r="B10" s="237">
        <f>MIN(L31,0.95)</f>
        <v>0.95</v>
      </c>
      <c r="C10" s="222" t="s">
        <v>1019</v>
      </c>
      <c r="G10" s="235"/>
      <c r="H10" s="256"/>
      <c r="I10" s="235"/>
      <c r="J10" s="256"/>
      <c r="K10" s="219"/>
      <c r="Q10" s="255"/>
      <c r="R10" s="255"/>
      <c r="S10" s="255"/>
      <c r="AI10" s="222" t="s">
        <v>907</v>
      </c>
      <c r="AJ10" s="222" t="s">
        <v>809</v>
      </c>
    </row>
    <row r="11" spans="1:39">
      <c r="A11" s="222" t="s">
        <v>914</v>
      </c>
      <c r="B11" s="238">
        <f>B7*24*0.75/B10</f>
        <v>179.15458398385283</v>
      </c>
      <c r="C11" s="222" t="s">
        <v>915</v>
      </c>
      <c r="G11" s="235"/>
      <c r="H11" s="258"/>
      <c r="I11" s="235"/>
      <c r="J11" s="235"/>
      <c r="K11" s="219"/>
      <c r="Q11" s="255"/>
      <c r="R11" s="255"/>
      <c r="S11" s="255"/>
      <c r="AI11" s="222" t="s">
        <v>916</v>
      </c>
      <c r="AJ11" s="222">
        <v>688274.00600000005</v>
      </c>
      <c r="AK11" s="239">
        <f>SUM(AJ12:AJ93)</f>
        <v>14880.238000000001</v>
      </c>
      <c r="AL11" s="222">
        <f>735718-703196-AJ185-AJ191</f>
        <v>14602.830999999998</v>
      </c>
      <c r="AM11" s="240">
        <f>AK11+AL11</f>
        <v>29483.069</v>
      </c>
    </row>
    <row r="12" spans="1:39">
      <c r="B12" s="358">
        <f>B11*264.2/1000000</f>
        <v>4.7332641088533911E-2</v>
      </c>
      <c r="C12" s="222" t="s">
        <v>917</v>
      </c>
      <c r="G12" s="235"/>
      <c r="H12" s="258"/>
      <c r="I12" s="235"/>
      <c r="J12" s="259"/>
      <c r="K12" s="219"/>
      <c r="Q12" s="255"/>
      <c r="R12" s="255"/>
      <c r="S12" s="255"/>
      <c r="AI12" s="222" t="s">
        <v>918</v>
      </c>
      <c r="AJ12" s="222">
        <v>0</v>
      </c>
    </row>
    <row r="13" spans="1:39">
      <c r="A13" s="222" t="s">
        <v>919</v>
      </c>
      <c r="B13" s="241">
        <v>31</v>
      </c>
      <c r="C13" s="222" t="s">
        <v>920</v>
      </c>
      <c r="D13" s="242"/>
      <c r="E13" s="243"/>
      <c r="G13" s="235"/>
      <c r="H13" s="256"/>
      <c r="I13" s="235"/>
      <c r="J13" s="235"/>
      <c r="K13" s="219"/>
      <c r="Q13" s="255"/>
      <c r="R13" s="255"/>
      <c r="S13" s="255"/>
      <c r="AI13" s="222" t="s">
        <v>921</v>
      </c>
      <c r="AJ13" s="222">
        <v>2512.5940000000001</v>
      </c>
    </row>
    <row r="14" spans="1:39">
      <c r="B14" s="357">
        <f>B12/ROUNDUP(B12/B13,0)</f>
        <v>4.7332641088533911E-2</v>
      </c>
      <c r="C14" s="244" t="s">
        <v>922</v>
      </c>
      <c r="D14" s="223"/>
      <c r="F14" s="230"/>
      <c r="G14" s="235"/>
      <c r="H14" s="259"/>
      <c r="I14" s="235"/>
      <c r="J14" s="235"/>
      <c r="K14" s="219"/>
      <c r="Q14" s="255"/>
      <c r="R14" s="255"/>
      <c r="S14" s="255"/>
      <c r="AI14" s="222" t="s">
        <v>923</v>
      </c>
      <c r="AJ14" s="222">
        <v>99.831999999999994</v>
      </c>
    </row>
    <row r="15" spans="1:39">
      <c r="A15" s="262" t="s">
        <v>1021</v>
      </c>
      <c r="B15" s="329">
        <v>9457800</v>
      </c>
      <c r="C15" s="330">
        <f>664828733/10^6</f>
        <v>664.82873300000006</v>
      </c>
      <c r="D15" s="331">
        <v>0.6</v>
      </c>
      <c r="E15" s="364">
        <f>B14/B9*0.75</f>
        <v>1.7749740408200215E-3</v>
      </c>
      <c r="F15" s="332">
        <f>(E15/C15)^D15*B15</f>
        <v>4282.3233896523961</v>
      </c>
      <c r="G15" s="259"/>
      <c r="H15" s="235"/>
      <c r="I15" s="235"/>
      <c r="J15" s="219"/>
      <c r="P15" s="255"/>
      <c r="Q15" s="255"/>
      <c r="R15" s="255"/>
      <c r="S15" s="222"/>
    </row>
    <row r="16" spans="1:39" s="260" customFormat="1" ht="12">
      <c r="A16" s="263" t="s">
        <v>1020</v>
      </c>
      <c r="B16" s="332">
        <v>6750000</v>
      </c>
      <c r="C16" s="261">
        <v>31</v>
      </c>
      <c r="D16" s="333">
        <v>0.6</v>
      </c>
      <c r="E16" s="333">
        <f>B14</f>
        <v>4.7332641088533911E-2</v>
      </c>
      <c r="F16" s="332">
        <f>(E16/C16)^D16*B16</f>
        <v>137906.01192961651</v>
      </c>
    </row>
    <row r="17" spans="1:36" s="260" customFormat="1" ht="12">
      <c r="A17" s="263" t="s">
        <v>1022</v>
      </c>
      <c r="B17" s="332">
        <v>5770000</v>
      </c>
      <c r="C17" s="261">
        <v>99794</v>
      </c>
      <c r="D17" s="333">
        <v>0.8</v>
      </c>
      <c r="E17" s="333">
        <f>H6/0.35</f>
        <v>612.42394187538355</v>
      </c>
      <c r="F17" s="332">
        <f>(E17/C17)^D17*B17</f>
        <v>98069.508125183362</v>
      </c>
    </row>
    <row r="18" spans="1:36" s="260" customFormat="1" ht="12">
      <c r="A18" s="263" t="s">
        <v>1118</v>
      </c>
      <c r="B18" s="332">
        <v>1116000</v>
      </c>
      <c r="C18" s="261">
        <v>1083</v>
      </c>
      <c r="D18" s="333">
        <v>0.65</v>
      </c>
      <c r="E18" s="333">
        <f>H6*0.01%</f>
        <v>2.1434837965638425E-2</v>
      </c>
      <c r="F18" s="332">
        <f>MAX(100000, (E18/C18)^D18*B18)</f>
        <v>100000</v>
      </c>
    </row>
    <row r="19" spans="1:36">
      <c r="A19" s="263" t="s">
        <v>1122</v>
      </c>
      <c r="B19" s="332">
        <v>10800000</v>
      </c>
      <c r="C19" s="333">
        <v>1.27</v>
      </c>
      <c r="D19" s="333">
        <v>0.6</v>
      </c>
      <c r="E19" s="333">
        <f>DCFROR!H4</f>
        <v>2.1607436252994747E-2</v>
      </c>
      <c r="F19" s="332">
        <f>MAX(100000, (E19/C19)^D19*B19)</f>
        <v>937353.63340641302</v>
      </c>
      <c r="G19" s="219" t="s">
        <v>1125</v>
      </c>
      <c r="H19" s="222" t="s">
        <v>1124</v>
      </c>
      <c r="I19" s="219"/>
      <c r="J19" s="219"/>
      <c r="K19" s="219"/>
      <c r="Q19" s="255"/>
      <c r="R19" s="255"/>
      <c r="S19" s="255"/>
    </row>
    <row r="20" spans="1:36" hidden="1">
      <c r="A20" s="222" t="s">
        <v>925</v>
      </c>
      <c r="C20" s="222" t="s">
        <v>926</v>
      </c>
      <c r="G20" s="222" t="s">
        <v>927</v>
      </c>
      <c r="Q20" s="255"/>
      <c r="R20" s="255"/>
      <c r="S20" s="255"/>
      <c r="AI20" s="222" t="s">
        <v>928</v>
      </c>
      <c r="AJ20" s="222">
        <v>1394.422</v>
      </c>
    </row>
    <row r="21" spans="1:36" hidden="1">
      <c r="G21" s="222" t="s">
        <v>929</v>
      </c>
      <c r="Q21" s="255"/>
      <c r="R21" s="255"/>
      <c r="S21" s="255"/>
      <c r="AI21" s="222" t="s">
        <v>930</v>
      </c>
      <c r="AJ21" s="222">
        <v>169.93</v>
      </c>
    </row>
    <row r="22" spans="1:36" hidden="1">
      <c r="B22" s="222" t="s">
        <v>931</v>
      </c>
      <c r="C22" s="222" t="s">
        <v>932</v>
      </c>
      <c r="F22" s="222" t="s">
        <v>933</v>
      </c>
      <c r="G22" s="222">
        <v>10</v>
      </c>
      <c r="H22" s="222">
        <v>12</v>
      </c>
      <c r="I22" s="222">
        <v>15</v>
      </c>
      <c r="J22" s="222">
        <v>20</v>
      </c>
      <c r="L22" s="222">
        <f>B9</f>
        <v>20</v>
      </c>
      <c r="Q22" s="255"/>
      <c r="R22" s="255"/>
      <c r="S22" s="255"/>
      <c r="AI22" s="222" t="s">
        <v>934</v>
      </c>
      <c r="AJ22" s="222">
        <v>28.02</v>
      </c>
    </row>
    <row r="23" spans="1:36" hidden="1">
      <c r="B23" s="222">
        <v>18</v>
      </c>
      <c r="C23" s="222">
        <v>28</v>
      </c>
      <c r="F23" s="222">
        <v>4</v>
      </c>
      <c r="G23" s="222">
        <v>3.06</v>
      </c>
      <c r="H23" s="222">
        <v>2.5499999999999998</v>
      </c>
      <c r="I23" s="222">
        <v>2.04</v>
      </c>
      <c r="J23" s="222">
        <v>1.53</v>
      </c>
      <c r="L23" s="222">
        <f>TREND($G23:$J23,$G$22:$J$22,L$22)</f>
        <v>1.44237885462555</v>
      </c>
      <c r="Q23" s="255"/>
      <c r="R23" s="255"/>
      <c r="S23" s="255"/>
      <c r="AI23" s="222" t="s">
        <v>935</v>
      </c>
      <c r="AJ23" s="222">
        <v>0</v>
      </c>
    </row>
    <row r="24" spans="1:36" hidden="1">
      <c r="B24" s="222">
        <v>24</v>
      </c>
      <c r="C24" s="222">
        <v>20</v>
      </c>
      <c r="F24" s="222">
        <v>5</v>
      </c>
      <c r="G24" s="222">
        <v>3.83</v>
      </c>
      <c r="H24" s="222">
        <v>3.19</v>
      </c>
      <c r="I24" s="222">
        <v>2.5499999999999998</v>
      </c>
      <c r="J24" s="222">
        <v>1.91</v>
      </c>
      <c r="L24" s="222">
        <f t="shared" ref="L24:L29" si="0">TREND($G24:$J24,$G$22:$J$22,L$22)</f>
        <v>1.8000440528634369</v>
      </c>
      <c r="Q24" s="255"/>
      <c r="R24" s="255"/>
      <c r="S24" s="255"/>
      <c r="AI24" s="222" t="s">
        <v>936</v>
      </c>
      <c r="AJ24" s="222">
        <v>95.900999999999996</v>
      </c>
    </row>
    <row r="25" spans="1:36" hidden="1">
      <c r="B25" s="222">
        <v>30</v>
      </c>
      <c r="C25" s="222">
        <v>14</v>
      </c>
      <c r="F25" s="222">
        <v>6</v>
      </c>
      <c r="G25" s="222">
        <v>4.59</v>
      </c>
      <c r="H25" s="222">
        <v>3.83</v>
      </c>
      <c r="I25" s="222">
        <v>3.06</v>
      </c>
      <c r="J25" s="222">
        <v>2.2999999999999998</v>
      </c>
      <c r="L25" s="222">
        <f t="shared" si="0"/>
        <v>2.1678414096916301</v>
      </c>
      <c r="Q25" s="255"/>
      <c r="R25" s="255"/>
      <c r="S25" s="255"/>
      <c r="AI25" s="222" t="s">
        <v>937</v>
      </c>
      <c r="AJ25" s="222">
        <v>2.42</v>
      </c>
    </row>
    <row r="26" spans="1:36" hidden="1">
      <c r="B26" s="222">
        <v>35</v>
      </c>
      <c r="C26" s="222">
        <v>10</v>
      </c>
      <c r="F26" s="222">
        <v>7</v>
      </c>
      <c r="G26" s="222">
        <v>5.36</v>
      </c>
      <c r="H26" s="222">
        <v>4.46</v>
      </c>
      <c r="I26" s="222">
        <v>3.57</v>
      </c>
      <c r="J26" s="222">
        <v>2.68</v>
      </c>
      <c r="L26" s="222">
        <f t="shared" si="0"/>
        <v>2.5252863436123345</v>
      </c>
      <c r="Q26" s="255"/>
      <c r="R26" s="255"/>
      <c r="S26" s="255"/>
      <c r="AI26" s="222" t="s">
        <v>938</v>
      </c>
      <c r="AJ26" s="222">
        <v>1.0149999999999999</v>
      </c>
    </row>
    <row r="27" spans="1:36" hidden="1">
      <c r="B27" s="222">
        <v>40</v>
      </c>
      <c r="C27" s="222">
        <v>10</v>
      </c>
      <c r="F27" s="222">
        <v>8</v>
      </c>
      <c r="G27" s="222">
        <v>6.12</v>
      </c>
      <c r="H27" s="222">
        <v>5.0999999999999996</v>
      </c>
      <c r="I27" s="222">
        <v>4.08</v>
      </c>
      <c r="J27" s="222">
        <v>3.06</v>
      </c>
      <c r="L27" s="222">
        <f t="shared" si="0"/>
        <v>2.8847577092511001</v>
      </c>
      <c r="N27" s="222" t="s">
        <v>939</v>
      </c>
      <c r="Q27" s="255"/>
      <c r="R27" s="255"/>
      <c r="S27" s="255"/>
      <c r="AI27" s="222" t="s">
        <v>940</v>
      </c>
      <c r="AJ27" s="222">
        <v>33.052999999999997</v>
      </c>
    </row>
    <row r="28" spans="1:36" hidden="1">
      <c r="F28" s="222">
        <v>9</v>
      </c>
      <c r="G28" s="222">
        <v>6.89</v>
      </c>
      <c r="H28" s="222">
        <v>5.74</v>
      </c>
      <c r="I28" s="222">
        <v>4.59</v>
      </c>
      <c r="J28" s="222">
        <v>3.44</v>
      </c>
      <c r="L28" s="222">
        <f t="shared" si="0"/>
        <v>3.2424229074889865</v>
      </c>
      <c r="N28" s="245" t="s">
        <v>941</v>
      </c>
      <c r="Q28" s="255"/>
      <c r="R28" s="255"/>
      <c r="S28" s="255"/>
      <c r="AI28" s="222" t="s">
        <v>942</v>
      </c>
      <c r="AJ28" s="222">
        <v>4.0279999999999996</v>
      </c>
    </row>
    <row r="29" spans="1:36" hidden="1">
      <c r="F29" s="222">
        <v>10</v>
      </c>
      <c r="G29" s="222">
        <v>7.65</v>
      </c>
      <c r="H29" s="222">
        <v>6.38</v>
      </c>
      <c r="I29" s="222">
        <v>5.0999999999999996</v>
      </c>
      <c r="J29" s="222">
        <v>3.83</v>
      </c>
      <c r="L29" s="222">
        <f t="shared" si="0"/>
        <v>3.6102202643171788</v>
      </c>
      <c r="N29" s="246" t="s">
        <v>943</v>
      </c>
      <c r="Q29" s="255"/>
      <c r="R29" s="255"/>
      <c r="S29" s="255"/>
      <c r="AI29" s="222" t="s">
        <v>944</v>
      </c>
      <c r="AJ29" s="222">
        <v>1033.0920000000001</v>
      </c>
    </row>
    <row r="30" spans="1:36" hidden="1">
      <c r="N30" s="247" t="s">
        <v>945</v>
      </c>
      <c r="Q30" s="255"/>
      <c r="R30" s="255"/>
      <c r="S30" s="255"/>
      <c r="AI30" s="222" t="s">
        <v>946</v>
      </c>
      <c r="AJ30" s="222">
        <v>55.567999999999998</v>
      </c>
    </row>
    <row r="31" spans="1:36" hidden="1">
      <c r="F31" s="222">
        <f>C7*100</f>
        <v>5</v>
      </c>
      <c r="G31" s="222">
        <f>TREND(G$23:G$29,$F$23:$F$29,$F31)</f>
        <v>3.8271428571428565</v>
      </c>
      <c r="H31" s="222">
        <f>TREND(H$23:H$29,$F$23:$F$29,$F31)</f>
        <v>3.1885714285714286</v>
      </c>
      <c r="I31" s="222">
        <f>TREND(I$23:I$29,$F$23:$F$29,$F31)</f>
        <v>2.5500000000000003</v>
      </c>
      <c r="J31" s="222">
        <f>TREND(J$23:J$29,$F$23:$F$29,$F31)</f>
        <v>1.9128571428571426</v>
      </c>
      <c r="L31" s="248">
        <f>TREND(L$23:L$29,$F$23:$F$29,$F31)</f>
        <v>1.8029074889867847</v>
      </c>
      <c r="M31" s="249"/>
      <c r="N31" s="249"/>
      <c r="O31" s="249"/>
      <c r="P31" s="249"/>
      <c r="Q31" s="255"/>
      <c r="R31" s="255"/>
      <c r="S31" s="255"/>
      <c r="AI31" s="222" t="s">
        <v>947</v>
      </c>
      <c r="AJ31" s="222">
        <v>31.338999999999999</v>
      </c>
    </row>
    <row r="32" spans="1:36" hidden="1">
      <c r="A32" s="250" t="s">
        <v>948</v>
      </c>
      <c r="B32" s="251" t="s">
        <v>949</v>
      </c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55"/>
      <c r="R32" s="255"/>
      <c r="S32" s="255"/>
      <c r="AI32" s="222" t="s">
        <v>950</v>
      </c>
      <c r="AJ32" s="222">
        <v>56.235999999999997</v>
      </c>
    </row>
    <row r="33" spans="1:36" hidden="1">
      <c r="F33" s="249"/>
      <c r="G33" s="249"/>
      <c r="H33" s="249"/>
      <c r="I33" s="249"/>
      <c r="J33" s="249"/>
      <c r="K33" s="249"/>
      <c r="L33" s="249"/>
      <c r="M33" s="249"/>
      <c r="N33" s="249"/>
      <c r="O33" s="249"/>
      <c r="P33" s="249"/>
      <c r="Q33" s="255"/>
      <c r="R33" s="255"/>
      <c r="S33" s="255"/>
      <c r="AI33" s="222" t="s">
        <v>951</v>
      </c>
      <c r="AJ33" s="222">
        <v>5.516</v>
      </c>
    </row>
    <row r="34" spans="1:36" hidden="1">
      <c r="A34" s="251" t="s">
        <v>952</v>
      </c>
      <c r="B34" s="228">
        <f>B14*1000000</f>
        <v>47332.641088533914</v>
      </c>
      <c r="C34" s="251" t="s">
        <v>953</v>
      </c>
      <c r="D34" s="242"/>
      <c r="E34" s="243"/>
      <c r="F34" s="252"/>
      <c r="G34" s="249"/>
      <c r="H34" s="249"/>
      <c r="I34" s="249"/>
      <c r="J34" s="249"/>
      <c r="K34" s="249"/>
      <c r="L34" s="249" t="e">
        <f>ABS(#REF!-L31)</f>
        <v>#REF!</v>
      </c>
      <c r="M34" s="249"/>
      <c r="N34" s="249"/>
      <c r="O34" s="249"/>
      <c r="P34" s="249"/>
      <c r="Q34" s="255"/>
      <c r="R34" s="255"/>
      <c r="S34" s="255"/>
      <c r="AI34" s="222" t="s">
        <v>954</v>
      </c>
      <c r="AJ34" s="222">
        <v>0</v>
      </c>
    </row>
    <row r="35" spans="1:36" hidden="1">
      <c r="A35" s="251" t="s">
        <v>955</v>
      </c>
      <c r="B35" s="236">
        <f>ROUND(B12*1000000/B34,0)</f>
        <v>1</v>
      </c>
      <c r="F35" s="249"/>
      <c r="G35" s="249"/>
      <c r="H35" s="249"/>
      <c r="I35" s="249"/>
      <c r="J35" s="249"/>
      <c r="K35" s="249"/>
      <c r="L35" s="249"/>
      <c r="M35" s="249"/>
      <c r="O35" s="249"/>
      <c r="P35" s="249"/>
      <c r="Q35" s="255"/>
      <c r="R35" s="255"/>
      <c r="S35" s="255"/>
      <c r="AI35" s="222" t="s">
        <v>956</v>
      </c>
      <c r="AJ35" s="222">
        <v>0</v>
      </c>
    </row>
    <row r="36" spans="1:36" hidden="1">
      <c r="F36" s="249"/>
      <c r="Q36" s="255"/>
      <c r="R36" s="255"/>
      <c r="S36" s="255"/>
      <c r="AI36" s="222" t="s">
        <v>957</v>
      </c>
      <c r="AJ36" s="222">
        <v>847.07399999999996</v>
      </c>
    </row>
    <row r="37" spans="1:36" hidden="1">
      <c r="F37" s="249"/>
      <c r="Q37" s="255"/>
      <c r="R37" s="255"/>
      <c r="S37" s="255"/>
      <c r="AI37" s="222" t="s">
        <v>958</v>
      </c>
      <c r="AJ37" s="222">
        <v>0</v>
      </c>
    </row>
    <row r="38" spans="1:36" hidden="1">
      <c r="Q38" s="255"/>
      <c r="R38" s="255"/>
      <c r="S38" s="255"/>
      <c r="AI38" s="222" t="s">
        <v>959</v>
      </c>
      <c r="AJ38" s="222">
        <v>3.0000000000000001E-3</v>
      </c>
    </row>
    <row r="39" spans="1:36" hidden="1">
      <c r="Q39" s="255"/>
      <c r="R39" s="255"/>
      <c r="S39" s="255"/>
      <c r="AI39" s="222" t="s">
        <v>960</v>
      </c>
      <c r="AJ39" s="222">
        <v>0</v>
      </c>
    </row>
    <row r="40" spans="1:36" hidden="1">
      <c r="Q40" s="255"/>
      <c r="R40" s="255"/>
      <c r="S40" s="255"/>
      <c r="AI40" s="222" t="s">
        <v>961</v>
      </c>
      <c r="AJ40" s="222">
        <v>0.02</v>
      </c>
    </row>
    <row r="41" spans="1:36" hidden="1">
      <c r="Q41" s="255"/>
      <c r="R41" s="255"/>
      <c r="S41" s="255"/>
      <c r="AI41" s="222" t="s">
        <v>962</v>
      </c>
      <c r="AJ41" s="222">
        <v>158.078</v>
      </c>
    </row>
    <row r="42" spans="1:36" hidden="1">
      <c r="Q42" s="255"/>
      <c r="R42" s="255"/>
      <c r="S42" s="255"/>
      <c r="AI42" s="222" t="s">
        <v>963</v>
      </c>
      <c r="AJ42" s="222">
        <v>0</v>
      </c>
    </row>
    <row r="43" spans="1:36" hidden="1">
      <c r="Q43" s="255"/>
      <c r="R43" s="255"/>
      <c r="S43" s="255"/>
      <c r="AI43" s="222" t="s">
        <v>967</v>
      </c>
      <c r="AJ43" s="222">
        <v>0</v>
      </c>
    </row>
    <row r="44" spans="1:36" hidden="1">
      <c r="Q44" s="255"/>
      <c r="R44" s="255"/>
      <c r="S44" s="255"/>
      <c r="AI44" s="222" t="s">
        <v>968</v>
      </c>
      <c r="AJ44" s="222">
        <v>0</v>
      </c>
    </row>
    <row r="45" spans="1:36" hidden="1">
      <c r="Q45" s="255"/>
      <c r="R45" s="255"/>
      <c r="S45" s="255"/>
      <c r="AI45" s="222" t="s">
        <v>969</v>
      </c>
      <c r="AJ45" s="222">
        <v>0</v>
      </c>
    </row>
    <row r="46" spans="1:36" hidden="1">
      <c r="H46" s="253"/>
      <c r="I46" s="253"/>
      <c r="J46" s="253"/>
      <c r="K46" s="253"/>
      <c r="L46" s="253"/>
      <c r="M46" s="253"/>
      <c r="O46" s="253"/>
      <c r="P46" s="253"/>
      <c r="Q46" s="255"/>
      <c r="R46" s="255"/>
      <c r="S46" s="255"/>
      <c r="AI46" s="222" t="s">
        <v>970</v>
      </c>
      <c r="AJ46" s="222">
        <v>0</v>
      </c>
    </row>
    <row r="47" spans="1:36" hidden="1">
      <c r="F47" s="249"/>
      <c r="I47" s="222">
        <f>0.46*0.25</f>
        <v>0.115</v>
      </c>
      <c r="J47" s="222">
        <f>0.25*0.34</f>
        <v>8.5000000000000006E-2</v>
      </c>
      <c r="Q47" s="255"/>
      <c r="R47" s="255"/>
      <c r="S47" s="255"/>
      <c r="AI47" s="222" t="s">
        <v>971</v>
      </c>
      <c r="AJ47" s="222">
        <v>5.7000000000000002E-2</v>
      </c>
    </row>
    <row r="48" spans="1:36" hidden="1">
      <c r="F48" s="249"/>
      <c r="I48" s="222">
        <f>I47+0.46</f>
        <v>0.57500000000000007</v>
      </c>
      <c r="J48" s="222">
        <f>0.34+J47</f>
        <v>0.42500000000000004</v>
      </c>
      <c r="Q48" s="255"/>
      <c r="R48" s="255"/>
      <c r="S48" s="255"/>
      <c r="AI48" s="222" t="s">
        <v>972</v>
      </c>
      <c r="AJ48" s="222">
        <v>9.8000000000000004E-2</v>
      </c>
    </row>
    <row r="49" spans="6:36" hidden="1">
      <c r="F49" s="249"/>
      <c r="I49" s="222">
        <f>0.46-I47</f>
        <v>0.34500000000000003</v>
      </c>
      <c r="J49" s="222">
        <f>0.34-J47</f>
        <v>0.255</v>
      </c>
      <c r="Q49" s="255"/>
      <c r="R49" s="255"/>
      <c r="S49" s="255"/>
      <c r="AI49" s="222" t="s">
        <v>973</v>
      </c>
      <c r="AJ49" s="222">
        <v>0</v>
      </c>
    </row>
    <row r="50" spans="6:36" hidden="1">
      <c r="F50" s="249"/>
      <c r="Q50" s="255"/>
      <c r="R50" s="255"/>
      <c r="S50" s="255"/>
      <c r="AI50" s="222" t="s">
        <v>974</v>
      </c>
      <c r="AJ50" s="222">
        <v>0</v>
      </c>
    </row>
    <row r="51" spans="6:36">
      <c r="F51" s="249"/>
      <c r="Q51" s="255"/>
      <c r="R51" s="255"/>
      <c r="S51" s="255"/>
      <c r="AI51" s="222" t="s">
        <v>975</v>
      </c>
      <c r="AJ51" s="222">
        <v>0</v>
      </c>
    </row>
    <row r="52" spans="6:36">
      <c r="F52" s="249"/>
      <c r="Q52" s="255"/>
      <c r="R52" s="255"/>
      <c r="S52" s="255"/>
      <c r="AI52" s="222" t="s">
        <v>976</v>
      </c>
      <c r="AJ52" s="222">
        <v>521.79600000000005</v>
      </c>
    </row>
    <row r="53" spans="6:36">
      <c r="F53" s="249"/>
      <c r="Q53" s="255"/>
      <c r="R53" s="255"/>
      <c r="S53" s="255"/>
      <c r="AI53" s="222" t="s">
        <v>977</v>
      </c>
      <c r="AJ53" s="222">
        <v>35.747</v>
      </c>
    </row>
    <row r="54" spans="6:36">
      <c r="F54" s="249"/>
      <c r="G54" s="249"/>
      <c r="H54" s="249"/>
      <c r="I54" s="249"/>
      <c r="J54" s="249"/>
      <c r="K54" s="249"/>
      <c r="L54" s="249"/>
      <c r="M54" s="249"/>
      <c r="O54" s="249"/>
      <c r="P54" s="249"/>
      <c r="Q54" s="255"/>
      <c r="R54" s="255"/>
      <c r="S54" s="255"/>
      <c r="AI54" s="222" t="s">
        <v>978</v>
      </c>
      <c r="AJ54" s="222">
        <v>0</v>
      </c>
    </row>
    <row r="55" spans="6:36">
      <c r="F55" s="249"/>
      <c r="G55" s="249"/>
      <c r="H55" s="249"/>
      <c r="I55" s="249"/>
      <c r="J55" s="249"/>
      <c r="K55" s="249"/>
      <c r="L55" s="249"/>
      <c r="M55" s="249"/>
      <c r="O55" s="249"/>
      <c r="P55" s="249"/>
      <c r="Q55" s="255"/>
      <c r="R55" s="255"/>
      <c r="S55" s="255"/>
      <c r="AI55" s="222" t="s">
        <v>979</v>
      </c>
      <c r="AJ55" s="222">
        <v>0</v>
      </c>
    </row>
    <row r="56" spans="6:36">
      <c r="F56" s="249"/>
      <c r="G56" s="249"/>
      <c r="H56" s="249"/>
      <c r="I56" s="249"/>
      <c r="J56" s="249"/>
      <c r="K56" s="249"/>
      <c r="L56" s="249"/>
      <c r="M56" s="249"/>
      <c r="O56" s="249"/>
      <c r="P56" s="249"/>
      <c r="Q56" s="255"/>
      <c r="R56" s="255"/>
      <c r="S56" s="255"/>
      <c r="AI56" s="222" t="s">
        <v>980</v>
      </c>
      <c r="AJ56" s="222">
        <v>0</v>
      </c>
    </row>
    <row r="57" spans="6:36">
      <c r="F57" s="249"/>
      <c r="G57" s="249"/>
      <c r="H57" s="249"/>
      <c r="I57" s="249"/>
      <c r="J57" s="249"/>
      <c r="K57" s="249"/>
      <c r="L57" s="249"/>
      <c r="M57" s="249"/>
      <c r="O57" s="249"/>
      <c r="P57" s="249"/>
      <c r="Q57" s="255"/>
      <c r="R57" s="255"/>
      <c r="S57" s="255"/>
      <c r="AI57" s="222" t="s">
        <v>981</v>
      </c>
      <c r="AJ57" s="222">
        <v>0</v>
      </c>
    </row>
    <row r="58" spans="6:36">
      <c r="F58" s="249"/>
      <c r="G58" s="249"/>
      <c r="H58" s="249"/>
      <c r="I58" s="249"/>
      <c r="J58" s="249"/>
      <c r="K58" s="249"/>
      <c r="L58" s="249"/>
      <c r="M58" s="249"/>
      <c r="O58" s="249"/>
      <c r="P58" s="249"/>
      <c r="Q58" s="255"/>
      <c r="R58" s="255"/>
      <c r="S58" s="255"/>
      <c r="AI58" s="222" t="s">
        <v>982</v>
      </c>
      <c r="AJ58" s="222">
        <v>0</v>
      </c>
    </row>
    <row r="59" spans="6:36">
      <c r="F59" s="249"/>
      <c r="G59" s="249"/>
      <c r="H59" s="249"/>
      <c r="I59" s="249"/>
      <c r="J59" s="249"/>
      <c r="K59" s="249"/>
      <c r="L59" s="249"/>
      <c r="M59" s="249"/>
      <c r="O59" s="249"/>
      <c r="P59" s="249"/>
      <c r="Q59" s="255"/>
      <c r="R59" s="255"/>
      <c r="S59" s="255"/>
      <c r="AI59" s="222" t="s">
        <v>983</v>
      </c>
      <c r="AJ59" s="222">
        <v>0</v>
      </c>
    </row>
    <row r="60" spans="6:36">
      <c r="F60" s="249"/>
      <c r="G60" s="249"/>
      <c r="H60" s="249"/>
      <c r="I60" s="249"/>
      <c r="J60" s="249"/>
      <c r="K60" s="249"/>
      <c r="L60" s="249"/>
      <c r="M60" s="249"/>
      <c r="O60" s="249"/>
      <c r="P60" s="249"/>
      <c r="Q60" s="255"/>
      <c r="R60" s="255"/>
      <c r="S60" s="255"/>
      <c r="AI60" s="222" t="s">
        <v>984</v>
      </c>
      <c r="AJ60" s="222">
        <v>0</v>
      </c>
    </row>
    <row r="61" spans="6:36">
      <c r="F61" s="249"/>
      <c r="G61" s="249"/>
      <c r="H61" s="249"/>
      <c r="I61" s="249"/>
      <c r="J61" s="249"/>
      <c r="K61" s="249"/>
      <c r="L61" s="249"/>
      <c r="M61" s="249"/>
      <c r="O61" s="249"/>
      <c r="P61" s="249"/>
      <c r="Q61" s="255"/>
      <c r="R61" s="255"/>
      <c r="S61" s="255"/>
      <c r="AI61" s="222" t="s">
        <v>985</v>
      </c>
      <c r="AJ61" s="222">
        <v>0</v>
      </c>
    </row>
    <row r="62" spans="6:36">
      <c r="F62" s="249"/>
      <c r="G62" s="249"/>
      <c r="H62" s="249"/>
      <c r="I62" s="249"/>
      <c r="J62" s="249"/>
      <c r="K62" s="249"/>
      <c r="L62" s="249"/>
      <c r="M62" s="249"/>
      <c r="O62" s="249"/>
      <c r="P62" s="249"/>
      <c r="Q62" s="255"/>
      <c r="R62" s="255"/>
      <c r="S62" s="255"/>
      <c r="AI62" s="222" t="s">
        <v>986</v>
      </c>
      <c r="AJ62" s="222">
        <v>0</v>
      </c>
    </row>
    <row r="63" spans="6:36">
      <c r="F63" s="249"/>
      <c r="G63" s="249"/>
      <c r="H63" s="249"/>
      <c r="I63" s="249"/>
      <c r="J63" s="249"/>
      <c r="K63" s="249"/>
      <c r="L63" s="249"/>
      <c r="M63" s="249"/>
      <c r="O63" s="249"/>
      <c r="P63" s="249"/>
      <c r="Q63" s="255"/>
      <c r="R63" s="255"/>
      <c r="S63" s="255"/>
      <c r="AI63" s="222" t="s">
        <v>987</v>
      </c>
      <c r="AJ63" s="222">
        <v>0</v>
      </c>
    </row>
    <row r="64" spans="6:36">
      <c r="F64" s="249"/>
      <c r="G64" s="249"/>
      <c r="H64" s="249"/>
      <c r="I64" s="249"/>
      <c r="J64" s="249"/>
      <c r="K64" s="249"/>
      <c r="L64" s="249"/>
      <c r="M64" s="249"/>
      <c r="O64" s="249"/>
      <c r="P64" s="249"/>
      <c r="Q64" s="255"/>
      <c r="R64" s="255"/>
      <c r="S64" s="255"/>
      <c r="AI64" s="222" t="s">
        <v>988</v>
      </c>
      <c r="AJ64" s="222">
        <v>0</v>
      </c>
    </row>
    <row r="65" spans="6:36">
      <c r="F65" s="249"/>
      <c r="G65" s="249"/>
      <c r="H65" s="249"/>
      <c r="I65" s="249"/>
      <c r="J65" s="249"/>
      <c r="K65" s="249"/>
      <c r="L65" s="249"/>
      <c r="M65" s="249"/>
      <c r="O65" s="249"/>
      <c r="P65" s="249"/>
      <c r="Q65" s="255"/>
      <c r="R65" s="255"/>
      <c r="S65" s="255"/>
      <c r="AI65" s="222" t="s">
        <v>989</v>
      </c>
      <c r="AJ65" s="222">
        <v>0</v>
      </c>
    </row>
    <row r="66" spans="6:36">
      <c r="F66" s="249"/>
      <c r="G66" s="249"/>
      <c r="H66" s="249"/>
      <c r="I66" s="249"/>
      <c r="J66" s="249"/>
      <c r="K66" s="249"/>
      <c r="L66" s="249"/>
      <c r="M66" s="249"/>
      <c r="O66" s="249"/>
      <c r="P66" s="249"/>
      <c r="Q66" s="255"/>
      <c r="R66" s="255"/>
      <c r="S66" s="255"/>
      <c r="AI66" s="222" t="s">
        <v>990</v>
      </c>
      <c r="AJ66" s="222">
        <v>0</v>
      </c>
    </row>
    <row r="67" spans="6:36">
      <c r="F67" s="249"/>
      <c r="G67" s="249"/>
      <c r="H67" s="249"/>
      <c r="I67" s="249"/>
      <c r="J67" s="249"/>
      <c r="K67" s="249"/>
      <c r="L67" s="249"/>
      <c r="M67" s="249"/>
      <c r="O67" s="249"/>
      <c r="P67" s="249"/>
      <c r="Q67" s="255"/>
      <c r="R67" s="255"/>
      <c r="S67" s="255"/>
      <c r="AI67" s="222" t="s">
        <v>991</v>
      </c>
      <c r="AJ67" s="222">
        <v>0</v>
      </c>
    </row>
    <row r="68" spans="6:36">
      <c r="F68" s="249"/>
      <c r="G68" s="249"/>
      <c r="H68" s="249"/>
      <c r="I68" s="249"/>
      <c r="J68" s="249"/>
      <c r="K68" s="249"/>
      <c r="L68" s="249"/>
      <c r="M68" s="249"/>
      <c r="O68" s="249"/>
      <c r="P68" s="249"/>
      <c r="Q68" s="255"/>
      <c r="R68" s="255"/>
      <c r="S68" s="255"/>
      <c r="AI68" s="222" t="s">
        <v>992</v>
      </c>
      <c r="AJ68" s="222">
        <v>0</v>
      </c>
    </row>
    <row r="69" spans="6:36">
      <c r="F69" s="249"/>
      <c r="G69" s="249"/>
      <c r="H69" s="249"/>
      <c r="I69" s="249"/>
      <c r="J69" s="249"/>
      <c r="K69" s="249"/>
      <c r="L69" s="249"/>
      <c r="M69" s="249"/>
      <c r="O69" s="249"/>
      <c r="P69" s="249"/>
      <c r="Q69" s="255"/>
      <c r="R69" s="255"/>
      <c r="S69" s="255"/>
      <c r="AI69" s="222" t="s">
        <v>993</v>
      </c>
      <c r="AJ69" s="222">
        <v>0</v>
      </c>
    </row>
    <row r="70" spans="6:36">
      <c r="F70" s="249"/>
      <c r="G70" s="249"/>
      <c r="H70" s="249"/>
      <c r="I70" s="249"/>
      <c r="J70" s="249"/>
      <c r="K70" s="249"/>
      <c r="L70" s="249"/>
      <c r="M70" s="249"/>
      <c r="O70" s="249"/>
      <c r="P70" s="249"/>
      <c r="Q70" s="255"/>
      <c r="R70" s="255"/>
      <c r="S70" s="255"/>
      <c r="AI70" s="222" t="s">
        <v>994</v>
      </c>
      <c r="AJ70" s="222">
        <v>0</v>
      </c>
    </row>
    <row r="71" spans="6:36">
      <c r="F71" s="249"/>
      <c r="G71" s="249"/>
      <c r="H71" s="249"/>
      <c r="I71" s="249"/>
      <c r="J71" s="249"/>
      <c r="K71" s="249"/>
      <c r="L71" s="249"/>
      <c r="M71" s="249"/>
      <c r="O71" s="249"/>
      <c r="P71" s="249"/>
      <c r="Q71" s="255"/>
      <c r="R71" s="255"/>
      <c r="S71" s="255"/>
      <c r="AI71" s="222" t="s">
        <v>995</v>
      </c>
      <c r="AJ71" s="222">
        <v>0</v>
      </c>
    </row>
    <row r="72" spans="6:36">
      <c r="F72" s="249"/>
      <c r="G72" s="249"/>
      <c r="H72" s="249"/>
      <c r="I72" s="249"/>
      <c r="J72" s="249"/>
      <c r="K72" s="249"/>
      <c r="L72" s="249"/>
      <c r="M72" s="249"/>
      <c r="O72" s="249"/>
      <c r="P72" s="249"/>
      <c r="Q72" s="255"/>
      <c r="R72" s="255"/>
      <c r="S72" s="255"/>
      <c r="AI72" s="222" t="s">
        <v>996</v>
      </c>
      <c r="AJ72" s="222">
        <v>0</v>
      </c>
    </row>
    <row r="73" spans="6:36">
      <c r="F73" s="249"/>
      <c r="G73" s="249"/>
      <c r="H73" s="249"/>
      <c r="I73" s="249"/>
      <c r="J73" s="249"/>
      <c r="K73" s="249"/>
      <c r="L73" s="249"/>
      <c r="M73" s="249"/>
      <c r="N73" s="249"/>
      <c r="O73" s="249"/>
      <c r="P73" s="249"/>
      <c r="Q73" s="255"/>
      <c r="R73" s="255"/>
      <c r="S73" s="255"/>
      <c r="AI73" s="222" t="s">
        <v>997</v>
      </c>
      <c r="AJ73" s="222">
        <v>0</v>
      </c>
    </row>
    <row r="74" spans="6:36">
      <c r="F74" s="249"/>
      <c r="G74" s="249"/>
      <c r="H74" s="249"/>
      <c r="I74" s="249"/>
      <c r="J74" s="249"/>
      <c r="K74" s="249"/>
      <c r="L74" s="249"/>
      <c r="M74" s="249"/>
      <c r="N74" s="249"/>
      <c r="O74" s="249"/>
      <c r="P74" s="249"/>
      <c r="Q74" s="255"/>
      <c r="R74" s="255"/>
      <c r="S74" s="255"/>
      <c r="AI74" s="222" t="s">
        <v>998</v>
      </c>
      <c r="AJ74" s="222">
        <v>0</v>
      </c>
    </row>
    <row r="75" spans="6:36">
      <c r="F75" s="249"/>
      <c r="G75" s="249"/>
      <c r="H75" s="249"/>
      <c r="I75" s="249"/>
      <c r="J75" s="249"/>
      <c r="K75" s="249"/>
      <c r="L75" s="249"/>
      <c r="M75" s="249"/>
      <c r="N75" s="249"/>
      <c r="O75" s="249"/>
      <c r="P75" s="249"/>
      <c r="Q75" s="255"/>
      <c r="R75" s="255"/>
      <c r="S75" s="255"/>
      <c r="AI75" s="222" t="s">
        <v>999</v>
      </c>
      <c r="AJ75" s="222">
        <v>0</v>
      </c>
    </row>
    <row r="76" spans="6:36">
      <c r="F76" s="249"/>
      <c r="G76" s="249"/>
      <c r="H76" s="249"/>
      <c r="I76" s="249"/>
      <c r="J76" s="249"/>
      <c r="K76" s="249"/>
      <c r="L76" s="249"/>
      <c r="M76" s="249"/>
      <c r="N76" s="249"/>
      <c r="O76" s="249"/>
      <c r="P76" s="249"/>
      <c r="Q76" s="255"/>
      <c r="R76" s="255"/>
      <c r="S76" s="255"/>
      <c r="AI76" s="222" t="s">
        <v>1000</v>
      </c>
      <c r="AJ76" s="222">
        <v>0</v>
      </c>
    </row>
    <row r="77" spans="6:36">
      <c r="F77" s="249"/>
      <c r="G77" s="249"/>
      <c r="H77" s="249"/>
      <c r="I77" s="249"/>
      <c r="J77" s="249"/>
      <c r="K77" s="249"/>
      <c r="L77" s="249"/>
      <c r="M77" s="249"/>
      <c r="N77" s="249"/>
      <c r="O77" s="249"/>
      <c r="P77" s="249"/>
      <c r="Q77" s="255"/>
      <c r="R77" s="255"/>
      <c r="S77" s="255"/>
      <c r="AI77" s="222" t="s">
        <v>1001</v>
      </c>
      <c r="AJ77" s="222">
        <v>0</v>
      </c>
    </row>
    <row r="78" spans="6:36">
      <c r="F78" s="249"/>
      <c r="G78" s="249"/>
      <c r="H78" s="249"/>
      <c r="I78" s="249"/>
      <c r="J78" s="249"/>
      <c r="K78" s="249"/>
      <c r="L78" s="249"/>
      <c r="M78" s="249"/>
      <c r="N78" s="249"/>
      <c r="O78" s="249"/>
      <c r="P78" s="249"/>
      <c r="Q78" s="255"/>
      <c r="R78" s="255"/>
      <c r="S78" s="255"/>
      <c r="AI78" s="222" t="s">
        <v>1002</v>
      </c>
      <c r="AJ78" s="222">
        <v>0</v>
      </c>
    </row>
    <row r="79" spans="6:36">
      <c r="F79" s="249"/>
      <c r="G79" s="249"/>
      <c r="H79" s="249"/>
      <c r="I79" s="249"/>
      <c r="J79" s="249"/>
      <c r="K79" s="249"/>
      <c r="L79" s="249"/>
      <c r="M79" s="249"/>
      <c r="N79" s="249"/>
      <c r="O79" s="249"/>
      <c r="P79" s="249"/>
      <c r="Q79" s="255"/>
      <c r="R79" s="255"/>
      <c r="S79" s="255"/>
      <c r="AI79" s="222" t="s">
        <v>1003</v>
      </c>
      <c r="AJ79" s="222">
        <v>0</v>
      </c>
    </row>
    <row r="80" spans="6:36">
      <c r="F80" s="249"/>
      <c r="G80" s="249"/>
      <c r="H80" s="249"/>
      <c r="I80" s="249"/>
      <c r="J80" s="249"/>
      <c r="K80" s="249"/>
      <c r="L80" s="249"/>
      <c r="M80" s="249"/>
      <c r="N80" s="249"/>
      <c r="O80" s="249"/>
      <c r="P80" s="249"/>
      <c r="Q80" s="255"/>
      <c r="R80" s="255"/>
      <c r="S80" s="255"/>
      <c r="AI80" s="222" t="s">
        <v>1004</v>
      </c>
      <c r="AJ80" s="222">
        <v>0</v>
      </c>
    </row>
    <row r="81" spans="6:36">
      <c r="F81" s="249"/>
      <c r="G81" s="249"/>
      <c r="H81" s="249"/>
      <c r="I81" s="249"/>
      <c r="J81" s="249"/>
      <c r="K81" s="249"/>
      <c r="L81" s="249"/>
      <c r="M81" s="249"/>
      <c r="N81" s="249"/>
      <c r="O81" s="249"/>
      <c r="P81" s="249"/>
      <c r="Q81" s="255"/>
      <c r="R81" s="255"/>
      <c r="S81" s="255"/>
      <c r="AI81" s="222" t="s">
        <v>1005</v>
      </c>
      <c r="AJ81" s="222">
        <v>0</v>
      </c>
    </row>
    <row r="82" spans="6:36">
      <c r="F82" s="249"/>
      <c r="G82" s="249"/>
      <c r="H82" s="249"/>
      <c r="I82" s="249"/>
      <c r="J82" s="249"/>
      <c r="K82" s="249"/>
      <c r="L82" s="249"/>
      <c r="M82" s="249"/>
      <c r="N82" s="249"/>
      <c r="O82" s="249"/>
      <c r="P82" s="249"/>
      <c r="Q82" s="255"/>
      <c r="R82" s="255"/>
      <c r="S82" s="255"/>
      <c r="AI82" s="222" t="s">
        <v>1006</v>
      </c>
      <c r="AJ82" s="222">
        <v>0</v>
      </c>
    </row>
    <row r="83" spans="6:36">
      <c r="F83" s="249"/>
      <c r="G83" s="249"/>
      <c r="H83" s="249"/>
      <c r="I83" s="249"/>
      <c r="J83" s="249"/>
      <c r="K83" s="249"/>
      <c r="L83" s="249"/>
      <c r="M83" s="249"/>
      <c r="N83" s="249"/>
      <c r="O83" s="249"/>
      <c r="P83" s="249"/>
      <c r="Q83" s="255"/>
      <c r="R83" s="255"/>
      <c r="S83" s="255"/>
      <c r="AI83" s="222" t="s">
        <v>1007</v>
      </c>
      <c r="AJ83" s="222">
        <v>0</v>
      </c>
    </row>
    <row r="84" spans="6:36">
      <c r="F84" s="249"/>
      <c r="G84" s="249"/>
      <c r="H84" s="249"/>
      <c r="I84" s="249"/>
      <c r="J84" s="249"/>
      <c r="K84" s="249"/>
      <c r="L84" s="249"/>
      <c r="M84" s="249"/>
      <c r="N84" s="249"/>
      <c r="O84" s="249"/>
      <c r="P84" s="249"/>
      <c r="Q84" s="255"/>
      <c r="R84" s="255"/>
      <c r="S84" s="255"/>
      <c r="AI84" s="222" t="s">
        <v>1008</v>
      </c>
      <c r="AJ84" s="222">
        <v>0</v>
      </c>
    </row>
    <row r="85" spans="6:36">
      <c r="F85" s="249"/>
      <c r="G85" s="249"/>
      <c r="H85" s="249"/>
      <c r="I85" s="249"/>
      <c r="J85" s="249"/>
      <c r="K85" s="249"/>
      <c r="L85" s="249"/>
      <c r="M85" s="249"/>
      <c r="N85" s="249"/>
      <c r="O85" s="249"/>
      <c r="P85" s="249"/>
      <c r="Q85" s="255"/>
      <c r="R85" s="255"/>
      <c r="S85" s="255"/>
      <c r="AI85" s="222" t="s">
        <v>1009</v>
      </c>
      <c r="AJ85" s="222">
        <v>0</v>
      </c>
    </row>
    <row r="86" spans="6:36">
      <c r="F86" s="249"/>
      <c r="G86" s="249"/>
      <c r="H86" s="249"/>
      <c r="I86" s="249"/>
      <c r="J86" s="249"/>
      <c r="K86" s="249"/>
      <c r="L86" s="249"/>
      <c r="M86" s="249"/>
      <c r="N86" s="249"/>
      <c r="O86" s="249"/>
      <c r="P86" s="249"/>
      <c r="Q86" s="255"/>
      <c r="R86" s="255"/>
      <c r="S86" s="255"/>
      <c r="AI86" s="222" t="s">
        <v>1010</v>
      </c>
      <c r="AJ86" s="222">
        <v>0</v>
      </c>
    </row>
    <row r="87" spans="6:36">
      <c r="F87" s="249"/>
      <c r="G87" s="249"/>
      <c r="H87" s="249"/>
      <c r="I87" s="249"/>
      <c r="J87" s="249"/>
      <c r="K87" s="249"/>
      <c r="L87" s="249"/>
      <c r="M87" s="249"/>
      <c r="N87" s="249"/>
      <c r="O87" s="249"/>
      <c r="P87" s="249"/>
      <c r="Q87" s="255"/>
      <c r="R87" s="255"/>
      <c r="S87" s="255"/>
      <c r="AI87" s="222" t="s">
        <v>1011</v>
      </c>
      <c r="AJ87" s="222">
        <v>0</v>
      </c>
    </row>
    <row r="88" spans="6:36">
      <c r="F88" s="249"/>
      <c r="G88" s="249"/>
      <c r="H88" s="249"/>
      <c r="I88" s="249"/>
      <c r="J88" s="249"/>
      <c r="K88" s="249"/>
      <c r="L88" s="249"/>
      <c r="M88" s="249"/>
      <c r="N88" s="249"/>
      <c r="O88" s="249"/>
      <c r="P88" s="249"/>
      <c r="Q88" s="255"/>
      <c r="R88" s="255"/>
      <c r="S88" s="255"/>
      <c r="AI88" s="222" t="s">
        <v>1012</v>
      </c>
      <c r="AJ88" s="222">
        <v>0</v>
      </c>
    </row>
    <row r="89" spans="6:36">
      <c r="F89" s="249"/>
      <c r="G89" s="249"/>
      <c r="H89" s="249"/>
      <c r="I89" s="249"/>
      <c r="J89" s="249"/>
      <c r="K89" s="249"/>
      <c r="L89" s="249"/>
      <c r="M89" s="249"/>
      <c r="N89" s="249"/>
      <c r="O89" s="249"/>
      <c r="P89" s="249"/>
      <c r="Q89" s="255"/>
      <c r="R89" s="255"/>
      <c r="S89" s="255"/>
      <c r="AI89" s="222" t="s">
        <v>1013</v>
      </c>
      <c r="AJ89" s="222">
        <v>7794.2690000000002</v>
      </c>
    </row>
    <row r="90" spans="6:36">
      <c r="F90" s="249"/>
      <c r="G90" s="249"/>
      <c r="H90" s="249"/>
      <c r="I90" s="249"/>
      <c r="J90" s="249"/>
      <c r="K90" s="249"/>
      <c r="L90" s="249"/>
      <c r="M90" s="249"/>
      <c r="N90" s="249"/>
      <c r="O90" s="249"/>
      <c r="P90" s="249"/>
      <c r="Q90" s="255"/>
      <c r="R90" s="255"/>
      <c r="S90" s="255"/>
      <c r="AI90" s="222" t="s">
        <v>1014</v>
      </c>
      <c r="AJ90" s="222">
        <v>2E-3</v>
      </c>
    </row>
    <row r="91" spans="6:36">
      <c r="F91" s="249"/>
      <c r="G91" s="249"/>
      <c r="H91" s="249"/>
      <c r="I91" s="249"/>
      <c r="J91" s="249"/>
      <c r="K91" s="249"/>
      <c r="L91" s="249"/>
      <c r="M91" s="249"/>
      <c r="N91" s="249"/>
      <c r="O91" s="249"/>
      <c r="P91" s="249"/>
      <c r="Q91" s="255"/>
      <c r="R91" s="255"/>
      <c r="S91" s="255"/>
      <c r="AI91" s="222" t="s">
        <v>1015</v>
      </c>
      <c r="AJ91" s="222">
        <v>0</v>
      </c>
    </row>
    <row r="92" spans="6:36">
      <c r="F92" s="249"/>
      <c r="G92" s="249"/>
      <c r="H92" s="249"/>
      <c r="I92" s="249"/>
      <c r="J92" s="249"/>
      <c r="K92" s="249"/>
      <c r="L92" s="249"/>
      <c r="M92" s="249"/>
      <c r="N92" s="249"/>
      <c r="O92" s="249"/>
      <c r="P92" s="249"/>
      <c r="Q92" s="255"/>
      <c r="R92" s="255"/>
      <c r="S92" s="255"/>
      <c r="AI92" s="222" t="s">
        <v>1016</v>
      </c>
      <c r="AJ92" s="222">
        <v>0.128</v>
      </c>
    </row>
    <row r="93" spans="6:36">
      <c r="F93" s="249"/>
      <c r="G93" s="249"/>
      <c r="H93" s="249"/>
      <c r="I93" s="249"/>
      <c r="J93" s="249"/>
      <c r="K93" s="249"/>
      <c r="L93" s="249"/>
      <c r="M93" s="249"/>
      <c r="N93" s="249"/>
      <c r="O93" s="249"/>
      <c r="P93" s="249"/>
      <c r="Q93" s="255"/>
      <c r="R93" s="255"/>
      <c r="S93" s="255"/>
      <c r="AI93" s="222" t="s">
        <v>1017</v>
      </c>
      <c r="AJ93" s="222">
        <v>0</v>
      </c>
    </row>
    <row r="94" spans="6:36">
      <c r="G94" s="249"/>
      <c r="H94" s="249"/>
      <c r="I94" s="249"/>
      <c r="J94" s="249"/>
      <c r="K94" s="249"/>
      <c r="L94" s="249"/>
      <c r="M94" s="249"/>
      <c r="N94" s="249"/>
      <c r="O94" s="249"/>
      <c r="P94" s="249"/>
      <c r="Q94" s="255"/>
      <c r="R94" s="255"/>
      <c r="S94" s="255"/>
      <c r="AI94" s="222" t="s">
        <v>907</v>
      </c>
      <c r="AJ94" s="222" t="s">
        <v>809</v>
      </c>
    </row>
    <row r="95" spans="6:36">
      <c r="G95" s="249"/>
      <c r="H95" s="249"/>
      <c r="I95" s="249"/>
      <c r="J95" s="249"/>
      <c r="K95" s="249"/>
      <c r="L95" s="249"/>
      <c r="M95" s="249"/>
      <c r="N95" s="249"/>
      <c r="O95" s="249"/>
      <c r="P95" s="249"/>
      <c r="Q95" s="255"/>
      <c r="R95" s="255"/>
      <c r="S95" s="255"/>
      <c r="AI95" s="222" t="s">
        <v>916</v>
      </c>
      <c r="AJ95" s="222">
        <v>688274.00600000005</v>
      </c>
    </row>
    <row r="96" spans="6:36">
      <c r="G96" s="249"/>
      <c r="H96" s="249"/>
      <c r="I96" s="249"/>
      <c r="J96" s="249"/>
      <c r="K96" s="249"/>
      <c r="L96" s="249"/>
      <c r="M96" s="249"/>
      <c r="N96" s="249"/>
      <c r="O96" s="249"/>
      <c r="P96" s="249"/>
      <c r="Q96" s="255"/>
      <c r="R96" s="255"/>
      <c r="S96" s="255"/>
      <c r="AI96" s="222" t="s">
        <v>918</v>
      </c>
      <c r="AJ96" s="222">
        <v>0</v>
      </c>
    </row>
    <row r="97" spans="7:36">
      <c r="G97" s="249"/>
      <c r="H97" s="249"/>
      <c r="I97" s="249"/>
      <c r="J97" s="249"/>
      <c r="K97" s="249"/>
      <c r="L97" s="249"/>
      <c r="M97" s="249"/>
      <c r="N97" s="249"/>
      <c r="O97" s="249"/>
      <c r="P97" s="249"/>
      <c r="Q97" s="255"/>
      <c r="R97" s="255"/>
      <c r="S97" s="255"/>
      <c r="AI97" s="222" t="s">
        <v>921</v>
      </c>
      <c r="AJ97" s="222">
        <v>2512.5940000000001</v>
      </c>
    </row>
    <row r="98" spans="7:36">
      <c r="Q98" s="255"/>
      <c r="R98" s="255"/>
      <c r="S98" s="255"/>
      <c r="AI98" s="222" t="s">
        <v>923</v>
      </c>
      <c r="AJ98" s="222">
        <v>99.831999999999994</v>
      </c>
    </row>
    <row r="99" spans="7:36">
      <c r="Q99" s="255"/>
      <c r="R99" s="255"/>
      <c r="S99" s="255"/>
      <c r="AI99" s="222" t="s">
        <v>924</v>
      </c>
      <c r="AJ99" s="222">
        <v>41.887999999999998</v>
      </c>
    </row>
    <row r="100" spans="7:36">
      <c r="Q100" s="255"/>
      <c r="R100" s="255"/>
      <c r="S100" s="255"/>
      <c r="AI100" s="222" t="s">
        <v>928</v>
      </c>
      <c r="AJ100" s="222">
        <v>1394.422</v>
      </c>
    </row>
    <row r="101" spans="7:36">
      <c r="Q101" s="255"/>
      <c r="R101" s="255"/>
      <c r="S101" s="255"/>
      <c r="AI101" s="222" t="s">
        <v>930</v>
      </c>
      <c r="AJ101" s="222">
        <v>169.93</v>
      </c>
    </row>
    <row r="102" spans="7:36">
      <c r="Q102" s="255"/>
      <c r="R102" s="255"/>
      <c r="S102" s="255"/>
      <c r="AI102" s="222" t="s">
        <v>934</v>
      </c>
      <c r="AJ102" s="222">
        <v>28.02</v>
      </c>
    </row>
    <row r="103" spans="7:36">
      <c r="Q103" s="255"/>
      <c r="R103" s="255"/>
      <c r="S103" s="255"/>
      <c r="AI103" s="222" t="s">
        <v>935</v>
      </c>
      <c r="AJ103" s="222">
        <v>0</v>
      </c>
    </row>
    <row r="104" spans="7:36">
      <c r="Q104" s="255"/>
      <c r="R104" s="255"/>
      <c r="S104" s="255"/>
      <c r="AI104" s="222" t="s">
        <v>936</v>
      </c>
      <c r="AJ104" s="222">
        <v>95.900999999999996</v>
      </c>
    </row>
    <row r="105" spans="7:36">
      <c r="Q105" s="255"/>
      <c r="R105" s="255"/>
      <c r="S105" s="255"/>
      <c r="AI105" s="222" t="s">
        <v>937</v>
      </c>
      <c r="AJ105" s="222">
        <v>2.42</v>
      </c>
    </row>
    <row r="106" spans="7:36">
      <c r="Q106" s="255"/>
      <c r="R106" s="255"/>
      <c r="S106" s="255"/>
      <c r="AI106" s="222" t="s">
        <v>938</v>
      </c>
      <c r="AJ106" s="222">
        <v>1.0149999999999999</v>
      </c>
    </row>
    <row r="107" spans="7:36">
      <c r="Q107" s="255"/>
      <c r="R107" s="255"/>
      <c r="S107" s="255"/>
      <c r="AI107" s="222" t="s">
        <v>940</v>
      </c>
      <c r="AJ107" s="222">
        <v>33.052999999999997</v>
      </c>
    </row>
    <row r="108" spans="7:36">
      <c r="Q108" s="255"/>
      <c r="R108" s="255"/>
      <c r="S108" s="255"/>
      <c r="AI108" s="222" t="s">
        <v>942</v>
      </c>
      <c r="AJ108" s="222">
        <v>4.0279999999999996</v>
      </c>
    </row>
    <row r="109" spans="7:36">
      <c r="Q109" s="255"/>
      <c r="R109" s="255"/>
      <c r="S109" s="255"/>
      <c r="AI109" s="222" t="s">
        <v>944</v>
      </c>
      <c r="AJ109" s="222">
        <v>1033.0920000000001</v>
      </c>
    </row>
    <row r="110" spans="7:36">
      <c r="Q110" s="255"/>
      <c r="R110" s="255"/>
      <c r="S110" s="255"/>
      <c r="AI110" s="222" t="s">
        <v>946</v>
      </c>
      <c r="AJ110" s="222">
        <v>55.567999999999998</v>
      </c>
    </row>
    <row r="111" spans="7:36">
      <c r="Q111" s="255"/>
      <c r="R111" s="255"/>
      <c r="S111" s="255"/>
      <c r="AI111" s="222" t="s">
        <v>947</v>
      </c>
      <c r="AJ111" s="222">
        <v>31.338999999999999</v>
      </c>
    </row>
    <row r="112" spans="7:36">
      <c r="Q112" s="255"/>
      <c r="R112" s="255"/>
      <c r="S112" s="255"/>
      <c r="AI112" s="222" t="s">
        <v>950</v>
      </c>
      <c r="AJ112" s="222">
        <v>56.235999999999997</v>
      </c>
    </row>
    <row r="113" spans="17:36">
      <c r="Q113" s="255"/>
      <c r="R113" s="255"/>
      <c r="S113" s="255"/>
      <c r="AI113" s="222" t="s">
        <v>951</v>
      </c>
      <c r="AJ113" s="222">
        <v>5.516</v>
      </c>
    </row>
    <row r="114" spans="17:36">
      <c r="Q114" s="255"/>
      <c r="R114" s="255"/>
      <c r="S114" s="255"/>
      <c r="AI114" s="222" t="s">
        <v>954</v>
      </c>
      <c r="AJ114" s="222">
        <v>0</v>
      </c>
    </row>
    <row r="115" spans="17:36">
      <c r="Q115" s="255"/>
      <c r="R115" s="255"/>
      <c r="S115" s="255"/>
      <c r="AI115" s="222" t="s">
        <v>956</v>
      </c>
      <c r="AJ115" s="222">
        <v>0</v>
      </c>
    </row>
    <row r="116" spans="17:36">
      <c r="Q116" s="255"/>
      <c r="R116" s="255"/>
      <c r="S116" s="255"/>
      <c r="AI116" s="222" t="s">
        <v>957</v>
      </c>
      <c r="AJ116" s="222">
        <v>847.07399999999996</v>
      </c>
    </row>
    <row r="117" spans="17:36">
      <c r="Q117" s="255"/>
      <c r="R117" s="255"/>
      <c r="S117" s="255"/>
      <c r="AI117" s="222" t="s">
        <v>958</v>
      </c>
      <c r="AJ117" s="222">
        <v>0</v>
      </c>
    </row>
    <row r="118" spans="17:36">
      <c r="Q118" s="255"/>
      <c r="R118" s="255"/>
      <c r="S118" s="255"/>
      <c r="AI118" s="222" t="s">
        <v>959</v>
      </c>
      <c r="AJ118" s="222">
        <v>3.0000000000000001E-3</v>
      </c>
    </row>
    <row r="119" spans="17:36">
      <c r="Q119" s="255"/>
      <c r="R119" s="255"/>
      <c r="S119" s="255"/>
      <c r="AI119" s="222" t="s">
        <v>960</v>
      </c>
      <c r="AJ119" s="222">
        <v>0</v>
      </c>
    </row>
    <row r="120" spans="17:36">
      <c r="Q120" s="255"/>
      <c r="R120" s="255"/>
      <c r="S120" s="255"/>
      <c r="AI120" s="222" t="s">
        <v>961</v>
      </c>
      <c r="AJ120" s="222">
        <v>0.02</v>
      </c>
    </row>
    <row r="121" spans="17:36">
      <c r="Q121" s="255"/>
      <c r="R121" s="255"/>
      <c r="S121" s="255"/>
      <c r="AI121" s="222" t="s">
        <v>962</v>
      </c>
      <c r="AJ121" s="222">
        <v>158.078</v>
      </c>
    </row>
    <row r="122" spans="17:36">
      <c r="Q122" s="255"/>
      <c r="R122" s="255"/>
      <c r="S122" s="255"/>
      <c r="AI122" s="222" t="s">
        <v>963</v>
      </c>
      <c r="AJ122" s="222">
        <v>0</v>
      </c>
    </row>
    <row r="123" spans="17:36">
      <c r="Q123" s="255"/>
      <c r="R123" s="255"/>
      <c r="S123" s="255"/>
      <c r="AI123" s="222" t="s">
        <v>964</v>
      </c>
      <c r="AJ123" s="222">
        <v>0</v>
      </c>
    </row>
    <row r="124" spans="17:36">
      <c r="Q124" s="255"/>
      <c r="R124" s="255"/>
      <c r="S124" s="255"/>
      <c r="AI124" s="222" t="s">
        <v>965</v>
      </c>
      <c r="AJ124" s="222">
        <v>0</v>
      </c>
    </row>
    <row r="125" spans="17:36">
      <c r="Q125" s="255"/>
      <c r="R125" s="255"/>
      <c r="S125" s="255"/>
      <c r="AI125" s="222" t="s">
        <v>966</v>
      </c>
      <c r="AJ125" s="222">
        <v>0</v>
      </c>
    </row>
    <row r="126" spans="17:36">
      <c r="Q126" s="255"/>
      <c r="R126" s="255"/>
      <c r="S126" s="255"/>
      <c r="AI126" s="222" t="s">
        <v>967</v>
      </c>
      <c r="AJ126" s="222">
        <v>0</v>
      </c>
    </row>
    <row r="127" spans="17:36">
      <c r="Q127" s="255"/>
      <c r="R127" s="255"/>
      <c r="S127" s="255"/>
      <c r="AI127" s="222" t="s">
        <v>968</v>
      </c>
      <c r="AJ127" s="222">
        <v>0</v>
      </c>
    </row>
    <row r="128" spans="17:36">
      <c r="Q128" s="255"/>
      <c r="R128" s="255"/>
      <c r="S128" s="255"/>
      <c r="AI128" s="222" t="s">
        <v>969</v>
      </c>
      <c r="AJ128" s="222">
        <v>0</v>
      </c>
    </row>
    <row r="129" spans="17:36">
      <c r="Q129" s="255"/>
      <c r="R129" s="255"/>
      <c r="S129" s="255"/>
      <c r="AI129" s="222" t="s">
        <v>970</v>
      </c>
      <c r="AJ129" s="222">
        <v>0</v>
      </c>
    </row>
    <row r="130" spans="17:36">
      <c r="Q130" s="255"/>
      <c r="R130" s="255"/>
      <c r="S130" s="255"/>
      <c r="AI130" s="222" t="s">
        <v>971</v>
      </c>
      <c r="AJ130" s="222">
        <v>5.7000000000000002E-2</v>
      </c>
    </row>
    <row r="131" spans="17:36">
      <c r="Q131" s="255"/>
      <c r="R131" s="255"/>
      <c r="S131" s="255"/>
      <c r="AI131" s="222" t="s">
        <v>972</v>
      </c>
      <c r="AJ131" s="222">
        <v>9.8000000000000004E-2</v>
      </c>
    </row>
    <row r="132" spans="17:36">
      <c r="Q132" s="255"/>
      <c r="R132" s="255"/>
      <c r="S132" s="255"/>
      <c r="AI132" s="222" t="s">
        <v>973</v>
      </c>
      <c r="AJ132" s="222">
        <v>0</v>
      </c>
    </row>
    <row r="133" spans="17:36">
      <c r="Q133" s="255"/>
      <c r="R133" s="255"/>
      <c r="S133" s="255"/>
      <c r="AI133" s="222" t="s">
        <v>974</v>
      </c>
      <c r="AJ133" s="222">
        <v>0</v>
      </c>
    </row>
    <row r="134" spans="17:36">
      <c r="Q134" s="255"/>
      <c r="R134" s="255"/>
      <c r="S134" s="255"/>
      <c r="AI134" s="222" t="s">
        <v>975</v>
      </c>
      <c r="AJ134" s="222">
        <v>0</v>
      </c>
    </row>
    <row r="135" spans="17:36">
      <c r="Q135" s="255"/>
      <c r="R135" s="255"/>
      <c r="S135" s="255"/>
      <c r="AI135" s="222" t="s">
        <v>976</v>
      </c>
      <c r="AJ135" s="222">
        <v>521.79600000000005</v>
      </c>
    </row>
    <row r="136" spans="17:36">
      <c r="Q136" s="255"/>
      <c r="R136" s="255"/>
      <c r="S136" s="255"/>
      <c r="AI136" s="222" t="s">
        <v>977</v>
      </c>
      <c r="AJ136" s="222">
        <v>35.747</v>
      </c>
    </row>
    <row r="137" spans="17:36">
      <c r="Q137" s="255"/>
      <c r="R137" s="255"/>
      <c r="S137" s="255"/>
      <c r="AI137" s="222" t="s">
        <v>978</v>
      </c>
      <c r="AJ137" s="222">
        <v>0</v>
      </c>
    </row>
    <row r="138" spans="17:36">
      <c r="Q138" s="255"/>
      <c r="R138" s="255"/>
      <c r="S138" s="255"/>
      <c r="AI138" s="222" t="s">
        <v>979</v>
      </c>
      <c r="AJ138" s="222">
        <v>0</v>
      </c>
    </row>
    <row r="139" spans="17:36">
      <c r="Q139" s="255"/>
      <c r="R139" s="255"/>
      <c r="S139" s="255"/>
      <c r="AI139" s="222" t="s">
        <v>980</v>
      </c>
      <c r="AJ139" s="222">
        <v>0</v>
      </c>
    </row>
    <row r="140" spans="17:36">
      <c r="Q140" s="255"/>
      <c r="R140" s="255"/>
      <c r="S140" s="255"/>
      <c r="AI140" s="222" t="s">
        <v>981</v>
      </c>
      <c r="AJ140" s="222">
        <v>0</v>
      </c>
    </row>
    <row r="141" spans="17:36">
      <c r="Q141" s="255"/>
      <c r="R141" s="255"/>
      <c r="S141" s="255"/>
      <c r="AI141" s="222" t="s">
        <v>982</v>
      </c>
      <c r="AJ141" s="222">
        <v>0</v>
      </c>
    </row>
    <row r="142" spans="17:36">
      <c r="Q142" s="255"/>
      <c r="R142" s="255"/>
      <c r="S142" s="255"/>
      <c r="AI142" s="222" t="s">
        <v>983</v>
      </c>
      <c r="AJ142" s="222">
        <v>0</v>
      </c>
    </row>
    <row r="143" spans="17:36">
      <c r="Q143" s="255"/>
      <c r="R143" s="255"/>
      <c r="S143" s="255"/>
      <c r="AI143" s="222" t="s">
        <v>984</v>
      </c>
      <c r="AJ143" s="222">
        <v>0</v>
      </c>
    </row>
    <row r="144" spans="17:36">
      <c r="Q144" s="255"/>
      <c r="R144" s="255"/>
      <c r="S144" s="255"/>
      <c r="AI144" s="222" t="s">
        <v>985</v>
      </c>
      <c r="AJ144" s="222">
        <v>0</v>
      </c>
    </row>
    <row r="145" spans="7:36">
      <c r="Q145" s="255"/>
      <c r="R145" s="255"/>
      <c r="S145" s="255"/>
      <c r="AI145" s="222" t="s">
        <v>986</v>
      </c>
      <c r="AJ145" s="222">
        <v>0</v>
      </c>
    </row>
    <row r="146" spans="7:36">
      <c r="Q146" s="255"/>
      <c r="R146" s="255"/>
      <c r="S146" s="255"/>
      <c r="AI146" s="222" t="s">
        <v>987</v>
      </c>
      <c r="AJ146" s="222">
        <v>0</v>
      </c>
    </row>
    <row r="147" spans="7:36">
      <c r="Q147" s="255"/>
      <c r="R147" s="255"/>
      <c r="S147" s="255"/>
      <c r="AI147" s="222" t="s">
        <v>988</v>
      </c>
      <c r="AJ147" s="222">
        <v>0</v>
      </c>
    </row>
    <row r="148" spans="7:36">
      <c r="Q148" s="255"/>
      <c r="R148" s="255"/>
      <c r="S148" s="255"/>
      <c r="AI148" s="222" t="s">
        <v>989</v>
      </c>
      <c r="AJ148" s="222">
        <v>0</v>
      </c>
    </row>
    <row r="149" spans="7:36">
      <c r="Q149" s="255"/>
      <c r="R149" s="255"/>
      <c r="S149" s="255"/>
      <c r="AI149" s="222" t="s">
        <v>990</v>
      </c>
      <c r="AJ149" s="222">
        <v>0</v>
      </c>
    </row>
    <row r="150" spans="7:36">
      <c r="Q150" s="255"/>
      <c r="R150" s="255"/>
      <c r="S150" s="255"/>
      <c r="AI150" s="222" t="s">
        <v>991</v>
      </c>
      <c r="AJ150" s="222">
        <v>0</v>
      </c>
    </row>
    <row r="151" spans="7:36">
      <c r="G151" s="254"/>
      <c r="H151" s="254"/>
      <c r="I151" s="254"/>
      <c r="J151" s="254"/>
      <c r="K151" s="254"/>
      <c r="L151" s="254"/>
      <c r="M151" s="254"/>
      <c r="N151" s="254"/>
      <c r="O151" s="254"/>
      <c r="P151" s="254"/>
      <c r="Q151" s="255"/>
      <c r="R151" s="255"/>
      <c r="S151" s="255"/>
      <c r="AI151" s="222" t="s">
        <v>992</v>
      </c>
      <c r="AJ151" s="222">
        <v>0</v>
      </c>
    </row>
    <row r="152" spans="7:36">
      <c r="G152" s="254"/>
      <c r="H152" s="254"/>
      <c r="I152" s="254"/>
      <c r="J152" s="254"/>
      <c r="K152" s="254"/>
      <c r="L152" s="254"/>
      <c r="M152" s="254"/>
      <c r="N152" s="254"/>
      <c r="O152" s="254"/>
      <c r="P152" s="254"/>
      <c r="Q152" s="255"/>
      <c r="R152" s="255"/>
      <c r="S152" s="255"/>
      <c r="AI152" s="222" t="s">
        <v>993</v>
      </c>
      <c r="AJ152" s="222">
        <v>0</v>
      </c>
    </row>
    <row r="153" spans="7:36">
      <c r="G153" s="254"/>
      <c r="H153" s="254"/>
      <c r="I153" s="254"/>
      <c r="J153" s="254"/>
      <c r="K153" s="254"/>
      <c r="L153" s="254"/>
      <c r="M153" s="254"/>
      <c r="N153" s="254"/>
      <c r="O153" s="254"/>
      <c r="P153" s="254"/>
      <c r="Q153" s="255"/>
      <c r="R153" s="255"/>
      <c r="S153" s="255"/>
      <c r="AI153" s="222" t="s">
        <v>994</v>
      </c>
      <c r="AJ153" s="222">
        <v>0</v>
      </c>
    </row>
    <row r="154" spans="7:36">
      <c r="G154" s="254"/>
      <c r="H154" s="254"/>
      <c r="I154" s="254"/>
      <c r="J154" s="254"/>
      <c r="K154" s="254"/>
      <c r="L154" s="254"/>
      <c r="M154" s="254"/>
      <c r="N154" s="254"/>
      <c r="O154" s="254"/>
      <c r="P154" s="254"/>
      <c r="Q154" s="255"/>
      <c r="R154" s="255"/>
      <c r="S154" s="255"/>
      <c r="AI154" s="222" t="s">
        <v>995</v>
      </c>
      <c r="AJ154" s="222">
        <v>0</v>
      </c>
    </row>
    <row r="155" spans="7:36">
      <c r="G155" s="254"/>
      <c r="H155" s="254"/>
      <c r="I155" s="254"/>
      <c r="J155" s="254"/>
      <c r="K155" s="254"/>
      <c r="L155" s="254"/>
      <c r="M155" s="254"/>
      <c r="N155" s="254"/>
      <c r="O155" s="254"/>
      <c r="P155" s="254"/>
      <c r="Q155" s="255"/>
      <c r="R155" s="255"/>
      <c r="S155" s="255"/>
      <c r="AI155" s="222" t="s">
        <v>996</v>
      </c>
      <c r="AJ155" s="222">
        <v>0</v>
      </c>
    </row>
    <row r="156" spans="7:36">
      <c r="G156" s="254"/>
      <c r="H156" s="254"/>
      <c r="I156" s="254"/>
      <c r="J156" s="254"/>
      <c r="K156" s="254"/>
      <c r="L156" s="254"/>
      <c r="M156" s="254"/>
      <c r="N156" s="254"/>
      <c r="O156" s="254"/>
      <c r="P156" s="254"/>
      <c r="Q156" s="255"/>
      <c r="R156" s="255"/>
      <c r="S156" s="255"/>
      <c r="AI156" s="222" t="s">
        <v>997</v>
      </c>
      <c r="AJ156" s="222">
        <v>0</v>
      </c>
    </row>
    <row r="157" spans="7:36">
      <c r="G157" s="254"/>
      <c r="H157" s="254"/>
      <c r="I157" s="254"/>
      <c r="J157" s="254"/>
      <c r="K157" s="254"/>
      <c r="L157" s="254"/>
      <c r="M157" s="254"/>
      <c r="N157" s="254"/>
      <c r="O157" s="254"/>
      <c r="P157" s="254"/>
      <c r="Q157" s="255"/>
      <c r="R157" s="255"/>
      <c r="S157" s="255"/>
      <c r="AI157" s="222" t="s">
        <v>998</v>
      </c>
      <c r="AJ157" s="222">
        <v>0</v>
      </c>
    </row>
    <row r="158" spans="7:36">
      <c r="G158" s="254"/>
      <c r="H158" s="254"/>
      <c r="I158" s="254"/>
      <c r="J158" s="254"/>
      <c r="K158" s="254"/>
      <c r="L158" s="254"/>
      <c r="M158" s="254"/>
      <c r="N158" s="254"/>
      <c r="O158" s="254"/>
      <c r="P158" s="254"/>
      <c r="Q158" s="255"/>
      <c r="R158" s="255"/>
      <c r="S158" s="255"/>
      <c r="AI158" s="222" t="s">
        <v>999</v>
      </c>
      <c r="AJ158" s="222">
        <v>0</v>
      </c>
    </row>
    <row r="159" spans="7:36">
      <c r="G159" s="254"/>
      <c r="H159" s="254"/>
      <c r="I159" s="254"/>
      <c r="J159" s="254"/>
      <c r="K159" s="254"/>
      <c r="L159" s="254"/>
      <c r="M159" s="254"/>
      <c r="N159" s="254"/>
      <c r="O159" s="254"/>
      <c r="P159" s="254"/>
      <c r="Q159" s="255"/>
      <c r="R159" s="255"/>
      <c r="S159" s="255"/>
      <c r="AI159" s="222" t="s">
        <v>1000</v>
      </c>
      <c r="AJ159" s="222">
        <v>0</v>
      </c>
    </row>
    <row r="160" spans="7:36">
      <c r="G160" s="254"/>
      <c r="H160" s="254"/>
      <c r="I160" s="254"/>
      <c r="J160" s="254"/>
      <c r="K160" s="254"/>
      <c r="L160" s="254"/>
      <c r="M160" s="254"/>
      <c r="N160" s="254"/>
      <c r="O160" s="254"/>
      <c r="P160" s="254"/>
      <c r="Q160" s="255"/>
      <c r="R160" s="255"/>
      <c r="S160" s="255"/>
      <c r="AI160" s="222" t="s">
        <v>1001</v>
      </c>
      <c r="AJ160" s="222">
        <v>0</v>
      </c>
    </row>
    <row r="161" spans="7:36">
      <c r="G161" s="254"/>
      <c r="H161" s="254"/>
      <c r="I161" s="254"/>
      <c r="J161" s="254"/>
      <c r="K161" s="254"/>
      <c r="L161" s="254"/>
      <c r="M161" s="254"/>
      <c r="N161" s="254"/>
      <c r="O161" s="254"/>
      <c r="P161" s="254"/>
      <c r="Q161" s="255"/>
      <c r="R161" s="255"/>
      <c r="S161" s="255"/>
      <c r="AI161" s="222" t="s">
        <v>1002</v>
      </c>
      <c r="AJ161" s="222">
        <v>0</v>
      </c>
    </row>
    <row r="162" spans="7:36">
      <c r="G162" s="254"/>
      <c r="H162" s="254"/>
      <c r="I162" s="254"/>
      <c r="J162" s="254"/>
      <c r="K162" s="254"/>
      <c r="L162" s="254"/>
      <c r="M162" s="254"/>
      <c r="N162" s="254"/>
      <c r="O162" s="254"/>
      <c r="P162" s="254"/>
      <c r="Q162" s="255"/>
      <c r="R162" s="255"/>
      <c r="S162" s="255"/>
      <c r="AI162" s="222" t="s">
        <v>1003</v>
      </c>
      <c r="AJ162" s="222">
        <v>0</v>
      </c>
    </row>
    <row r="163" spans="7:36">
      <c r="Q163" s="255"/>
      <c r="R163" s="255"/>
      <c r="S163" s="255"/>
      <c r="AI163" s="222" t="s">
        <v>1004</v>
      </c>
      <c r="AJ163" s="222">
        <v>0</v>
      </c>
    </row>
    <row r="164" spans="7:36">
      <c r="Q164" s="255"/>
      <c r="R164" s="255"/>
      <c r="S164" s="255"/>
      <c r="AI164" s="222" t="s">
        <v>1005</v>
      </c>
      <c r="AJ164" s="222">
        <v>0</v>
      </c>
    </row>
    <row r="165" spans="7:36">
      <c r="Q165" s="255"/>
      <c r="R165" s="255"/>
      <c r="S165" s="255"/>
      <c r="AI165" s="222" t="s">
        <v>1006</v>
      </c>
      <c r="AJ165" s="222">
        <v>0</v>
      </c>
    </row>
    <row r="166" spans="7:36">
      <c r="Q166" s="255"/>
      <c r="R166" s="255"/>
      <c r="S166" s="255"/>
      <c r="AI166" s="222" t="s">
        <v>1007</v>
      </c>
      <c r="AJ166" s="222">
        <v>0</v>
      </c>
    </row>
    <row r="167" spans="7:36">
      <c r="Q167" s="255"/>
      <c r="R167" s="255"/>
      <c r="S167" s="255"/>
      <c r="AI167" s="222" t="s">
        <v>1008</v>
      </c>
      <c r="AJ167" s="222">
        <v>0</v>
      </c>
    </row>
    <row r="168" spans="7:36">
      <c r="Q168" s="255"/>
      <c r="R168" s="255"/>
      <c r="S168" s="255"/>
      <c r="AI168" s="222" t="s">
        <v>1009</v>
      </c>
      <c r="AJ168" s="222">
        <v>0</v>
      </c>
    </row>
    <row r="169" spans="7:36">
      <c r="Q169" s="255"/>
      <c r="R169" s="255"/>
      <c r="S169" s="255"/>
      <c r="AI169" s="222" t="s">
        <v>1010</v>
      </c>
      <c r="AJ169" s="222">
        <v>0</v>
      </c>
    </row>
    <row r="170" spans="7:36">
      <c r="Q170" s="255"/>
      <c r="R170" s="255"/>
      <c r="S170" s="255"/>
      <c r="AI170" s="222" t="s">
        <v>1011</v>
      </c>
      <c r="AJ170" s="222">
        <v>0</v>
      </c>
    </row>
    <row r="171" spans="7:36">
      <c r="Q171" s="255"/>
      <c r="R171" s="255"/>
      <c r="S171" s="255"/>
      <c r="AI171" s="222" t="s">
        <v>1012</v>
      </c>
      <c r="AJ171" s="222">
        <v>0</v>
      </c>
    </row>
    <row r="172" spans="7:36">
      <c r="Q172" s="255"/>
      <c r="R172" s="255"/>
      <c r="S172" s="255"/>
      <c r="AI172" s="222" t="s">
        <v>1013</v>
      </c>
      <c r="AJ172" s="222">
        <v>7794.2690000000002</v>
      </c>
    </row>
    <row r="173" spans="7:36">
      <c r="Q173" s="255"/>
      <c r="R173" s="255"/>
      <c r="S173" s="255"/>
      <c r="AI173" s="222" t="s">
        <v>1014</v>
      </c>
      <c r="AJ173" s="222">
        <v>2E-3</v>
      </c>
    </row>
    <row r="174" spans="7:36">
      <c r="Q174" s="255"/>
      <c r="R174" s="255"/>
      <c r="S174" s="255"/>
      <c r="AI174" s="222" t="s">
        <v>1015</v>
      </c>
      <c r="AJ174" s="222">
        <v>0</v>
      </c>
    </row>
    <row r="175" spans="7:36">
      <c r="Q175" s="255"/>
      <c r="R175" s="255"/>
      <c r="S175" s="255"/>
      <c r="AI175" s="222" t="s">
        <v>1016</v>
      </c>
      <c r="AJ175" s="222">
        <v>0.128</v>
      </c>
    </row>
    <row r="176" spans="7:36">
      <c r="Q176" s="255"/>
      <c r="R176" s="255"/>
      <c r="S176" s="255"/>
      <c r="AI176" s="222" t="s">
        <v>1017</v>
      </c>
      <c r="AJ176" s="222">
        <v>0</v>
      </c>
    </row>
    <row r="177" spans="17:36">
      <c r="Q177" s="255"/>
      <c r="R177" s="255"/>
      <c r="S177" s="255"/>
      <c r="AI177" s="222" t="s">
        <v>980</v>
      </c>
      <c r="AJ177" s="222">
        <v>106.18300000000001</v>
      </c>
    </row>
    <row r="178" spans="17:36">
      <c r="Q178" s="255"/>
      <c r="R178" s="255"/>
      <c r="S178" s="255"/>
      <c r="AI178" s="222" t="s">
        <v>981</v>
      </c>
      <c r="AJ178" s="222">
        <v>2.6219999999999999</v>
      </c>
    </row>
    <row r="179" spans="17:36">
      <c r="Q179" s="255"/>
      <c r="R179" s="255"/>
      <c r="S179" s="255"/>
      <c r="AI179" s="222" t="s">
        <v>982</v>
      </c>
      <c r="AJ179" s="222">
        <v>1.1000000000000001</v>
      </c>
    </row>
    <row r="180" spans="17:36">
      <c r="Q180" s="255"/>
      <c r="R180" s="255"/>
      <c r="S180" s="255"/>
      <c r="AI180" s="222" t="s">
        <v>983</v>
      </c>
      <c r="AJ180" s="222">
        <v>35.808</v>
      </c>
    </row>
    <row r="181" spans="17:36">
      <c r="Q181" s="255"/>
      <c r="R181" s="255"/>
      <c r="S181" s="255"/>
      <c r="AI181" s="222" t="s">
        <v>984</v>
      </c>
      <c r="AJ181" s="222">
        <v>4.3639999999999999</v>
      </c>
    </row>
    <row r="182" spans="17:36">
      <c r="Q182" s="255"/>
      <c r="R182" s="255"/>
      <c r="S182" s="255"/>
      <c r="AI182" s="222" t="s">
        <v>985</v>
      </c>
      <c r="AJ182" s="222">
        <v>1055.799</v>
      </c>
    </row>
    <row r="183" spans="17:36">
      <c r="Q183" s="255"/>
      <c r="R183" s="255"/>
      <c r="S183" s="255"/>
      <c r="AI183" s="222" t="s">
        <v>986</v>
      </c>
      <c r="AJ183" s="222">
        <v>0</v>
      </c>
    </row>
    <row r="184" spans="17:36">
      <c r="Q184" s="255"/>
      <c r="R184" s="255"/>
      <c r="S184" s="255"/>
      <c r="AI184" s="222" t="s">
        <v>987</v>
      </c>
      <c r="AJ184" s="222">
        <v>13397.199000000001</v>
      </c>
    </row>
    <row r="185" spans="17:36">
      <c r="Q185" s="255"/>
      <c r="R185" s="255"/>
      <c r="S185" s="255"/>
      <c r="AI185" s="222" t="s">
        <v>988</v>
      </c>
      <c r="AJ185" s="222">
        <v>17901.936000000002</v>
      </c>
    </row>
    <row r="186" spans="17:36">
      <c r="Q186" s="255"/>
      <c r="R186" s="255"/>
      <c r="S186" s="255"/>
      <c r="AI186" s="222" t="s">
        <v>989</v>
      </c>
      <c r="AJ186" s="222">
        <v>0</v>
      </c>
    </row>
    <row r="187" spans="17:36">
      <c r="Q187" s="255"/>
      <c r="R187" s="255"/>
      <c r="S187" s="255"/>
      <c r="AI187" s="222" t="s">
        <v>990</v>
      </c>
      <c r="AJ187" s="222">
        <v>0</v>
      </c>
    </row>
    <row r="188" spans="17:36">
      <c r="Q188" s="255"/>
      <c r="R188" s="255"/>
      <c r="S188" s="255"/>
      <c r="AI188" s="222" t="s">
        <v>991</v>
      </c>
      <c r="AJ188" s="222">
        <v>0</v>
      </c>
    </row>
    <row r="189" spans="17:36">
      <c r="Q189" s="255"/>
      <c r="R189" s="255"/>
      <c r="S189" s="255"/>
      <c r="AI189" s="222" t="s">
        <v>992</v>
      </c>
      <c r="AJ189" s="222">
        <v>0</v>
      </c>
    </row>
    <row r="190" spans="17:36">
      <c r="Q190" s="255"/>
      <c r="R190" s="255"/>
      <c r="S190" s="255"/>
      <c r="AI190" s="222" t="s">
        <v>993</v>
      </c>
      <c r="AJ190" s="222">
        <v>0</v>
      </c>
    </row>
    <row r="191" spans="17:36">
      <c r="Q191" s="255"/>
      <c r="R191" s="255"/>
      <c r="S191" s="255"/>
      <c r="AI191" s="222" t="s">
        <v>994</v>
      </c>
      <c r="AJ191" s="222">
        <v>17.233000000000001</v>
      </c>
    </row>
    <row r="192" spans="17:36">
      <c r="Q192" s="255"/>
      <c r="R192" s="255"/>
      <c r="S192" s="255"/>
      <c r="AI192" s="222" t="s">
        <v>995</v>
      </c>
      <c r="AJ192" s="222">
        <v>0</v>
      </c>
    </row>
    <row r="193" spans="17:36">
      <c r="Q193" s="255"/>
      <c r="R193" s="255"/>
      <c r="S193" s="255"/>
      <c r="AI193" s="222" t="s">
        <v>996</v>
      </c>
      <c r="AJ193" s="222">
        <v>0</v>
      </c>
    </row>
    <row r="194" spans="17:36">
      <c r="Q194" s="255"/>
      <c r="R194" s="255"/>
      <c r="S194" s="255"/>
      <c r="AI194" s="222" t="s">
        <v>997</v>
      </c>
      <c r="AJ194" s="222">
        <v>0</v>
      </c>
    </row>
    <row r="195" spans="17:36">
      <c r="Q195" s="255"/>
      <c r="R195" s="255"/>
      <c r="S195" s="255"/>
      <c r="AI195" s="222" t="s">
        <v>998</v>
      </c>
      <c r="AJ195" s="222">
        <v>0</v>
      </c>
    </row>
    <row r="196" spans="17:36">
      <c r="Q196" s="255"/>
      <c r="R196" s="255"/>
      <c r="S196" s="255"/>
      <c r="AI196" s="222" t="s">
        <v>999</v>
      </c>
      <c r="AJ196" s="222">
        <v>0</v>
      </c>
    </row>
    <row r="197" spans="17:36">
      <c r="Q197" s="255"/>
      <c r="R197" s="255"/>
      <c r="S197" s="255"/>
      <c r="AI197" s="222" t="s">
        <v>1000</v>
      </c>
      <c r="AJ197" s="222">
        <v>0</v>
      </c>
    </row>
    <row r="198" spans="17:36">
      <c r="Q198" s="255"/>
      <c r="R198" s="255"/>
      <c r="S198" s="255"/>
      <c r="AI198" s="222" t="s">
        <v>1001</v>
      </c>
      <c r="AJ198" s="222">
        <v>0</v>
      </c>
    </row>
    <row r="199" spans="17:36">
      <c r="Q199" s="255"/>
      <c r="R199" s="255"/>
      <c r="S199" s="255"/>
      <c r="AI199" s="222" t="s">
        <v>1002</v>
      </c>
      <c r="AJ199" s="222">
        <v>0</v>
      </c>
    </row>
    <row r="200" spans="17:36">
      <c r="Q200" s="255"/>
      <c r="R200" s="255"/>
      <c r="S200" s="255"/>
      <c r="AI200" s="222" t="s">
        <v>1003</v>
      </c>
      <c r="AJ200" s="222">
        <v>0</v>
      </c>
    </row>
    <row r="201" spans="17:36">
      <c r="Q201" s="255"/>
      <c r="R201" s="255"/>
      <c r="S201" s="255"/>
      <c r="AI201" s="222" t="s">
        <v>1004</v>
      </c>
      <c r="AJ201" s="222">
        <v>0</v>
      </c>
    </row>
    <row r="202" spans="17:36">
      <c r="Q202" s="255"/>
      <c r="R202" s="255"/>
      <c r="S202" s="255"/>
      <c r="AI202" s="222" t="s">
        <v>1005</v>
      </c>
      <c r="AJ202" s="222">
        <v>0</v>
      </c>
    </row>
    <row r="203" spans="17:36">
      <c r="Q203" s="255"/>
      <c r="R203" s="255"/>
      <c r="S203" s="255"/>
      <c r="AI203" s="222" t="s">
        <v>1006</v>
      </c>
      <c r="AJ203" s="222">
        <v>0</v>
      </c>
    </row>
    <row r="204" spans="17:36">
      <c r="Q204" s="255"/>
      <c r="R204" s="255"/>
      <c r="S204" s="255"/>
      <c r="AI204" s="222" t="s">
        <v>1007</v>
      </c>
      <c r="AJ204" s="222">
        <v>0</v>
      </c>
    </row>
    <row r="205" spans="17:36">
      <c r="Q205" s="255"/>
      <c r="R205" s="255"/>
      <c r="S205" s="255"/>
      <c r="AI205" s="222" t="s">
        <v>1008</v>
      </c>
      <c r="AJ205" s="222">
        <v>0</v>
      </c>
    </row>
    <row r="206" spans="17:36">
      <c r="Q206" s="255"/>
      <c r="R206" s="255"/>
      <c r="S206" s="255"/>
      <c r="AI206" s="222" t="s">
        <v>1009</v>
      </c>
      <c r="AJ206" s="222">
        <v>0</v>
      </c>
    </row>
    <row r="207" spans="17:36">
      <c r="Q207" s="255"/>
      <c r="R207" s="255"/>
      <c r="S207" s="255"/>
      <c r="AI207" s="222" t="s">
        <v>1010</v>
      </c>
      <c r="AJ207" s="222">
        <v>0</v>
      </c>
    </row>
    <row r="208" spans="17:36">
      <c r="Q208" s="255"/>
      <c r="R208" s="255"/>
      <c r="S208" s="255"/>
      <c r="AI208" s="222" t="s">
        <v>1011</v>
      </c>
      <c r="AJ208" s="222">
        <v>0</v>
      </c>
    </row>
    <row r="209" spans="17:36">
      <c r="Q209" s="255"/>
      <c r="R209" s="255"/>
      <c r="S209" s="255"/>
      <c r="AI209" s="222" t="s">
        <v>1012</v>
      </c>
      <c r="AJ209" s="222">
        <v>0</v>
      </c>
    </row>
    <row r="210" spans="17:36">
      <c r="Q210" s="255"/>
      <c r="R210" s="255"/>
      <c r="S210" s="255"/>
      <c r="AI210" s="222" t="s">
        <v>1013</v>
      </c>
      <c r="AJ210" s="222">
        <v>0</v>
      </c>
    </row>
    <row r="211" spans="17:36">
      <c r="Q211" s="255"/>
      <c r="R211" s="255"/>
      <c r="S211" s="255"/>
      <c r="AI211" s="222" t="s">
        <v>1014</v>
      </c>
      <c r="AJ211" s="222">
        <v>0</v>
      </c>
    </row>
    <row r="212" spans="17:36">
      <c r="Q212" s="255"/>
      <c r="R212" s="255"/>
      <c r="S212" s="255"/>
      <c r="AI212" s="222" t="s">
        <v>1015</v>
      </c>
      <c r="AJ212" s="222">
        <v>0</v>
      </c>
    </row>
    <row r="213" spans="17:36">
      <c r="Q213" s="255"/>
      <c r="R213" s="255"/>
      <c r="S213" s="255"/>
      <c r="AI213" s="222" t="s">
        <v>1016</v>
      </c>
      <c r="AJ213" s="222">
        <v>0</v>
      </c>
    </row>
    <row r="214" spans="17:36">
      <c r="Q214" s="255"/>
      <c r="R214" s="255"/>
      <c r="S214" s="255"/>
      <c r="AI214" s="222" t="s">
        <v>1017</v>
      </c>
      <c r="AJ214" s="222">
        <v>0</v>
      </c>
    </row>
    <row r="215" spans="17:36">
      <c r="Q215" s="255"/>
      <c r="R215" s="255"/>
      <c r="S215" s="255"/>
      <c r="AI215" s="222" t="s">
        <v>907</v>
      </c>
      <c r="AJ215" s="222" t="s">
        <v>809</v>
      </c>
    </row>
    <row r="216" spans="17:36">
      <c r="Q216" s="255"/>
      <c r="R216" s="255"/>
      <c r="S216" s="255"/>
      <c r="AI216" s="222" t="s">
        <v>916</v>
      </c>
      <c r="AJ216" s="222">
        <v>0</v>
      </c>
    </row>
    <row r="217" spans="17:36">
      <c r="Q217" s="255"/>
      <c r="R217" s="255"/>
      <c r="S217" s="255"/>
      <c r="AI217" s="222" t="s">
        <v>918</v>
      </c>
      <c r="AJ217" s="222">
        <v>0</v>
      </c>
    </row>
    <row r="218" spans="17:36">
      <c r="Q218" s="255"/>
      <c r="R218" s="255"/>
      <c r="S218" s="255"/>
      <c r="AI218" s="222" t="s">
        <v>921</v>
      </c>
      <c r="AJ218" s="222">
        <v>0</v>
      </c>
    </row>
    <row r="219" spans="17:36">
      <c r="Q219" s="255"/>
      <c r="R219" s="255"/>
      <c r="S219" s="255"/>
      <c r="AI219" s="222" t="s">
        <v>923</v>
      </c>
      <c r="AJ219" s="222">
        <v>0</v>
      </c>
    </row>
    <row r="220" spans="17:36">
      <c r="Q220" s="255"/>
      <c r="R220" s="255"/>
      <c r="S220" s="255"/>
      <c r="AI220" s="222" t="s">
        <v>924</v>
      </c>
      <c r="AJ220" s="222">
        <v>0</v>
      </c>
    </row>
    <row r="221" spans="17:36">
      <c r="Q221" s="255"/>
      <c r="R221" s="255"/>
      <c r="S221" s="255"/>
      <c r="AI221" s="222" t="s">
        <v>928</v>
      </c>
      <c r="AJ221" s="222">
        <v>0</v>
      </c>
    </row>
    <row r="222" spans="17:36">
      <c r="Q222" s="255"/>
      <c r="R222" s="255"/>
      <c r="S222" s="255"/>
      <c r="AI222" s="222" t="s">
        <v>930</v>
      </c>
      <c r="AJ222" s="222">
        <v>0</v>
      </c>
    </row>
    <row r="223" spans="17:36">
      <c r="Q223" s="255"/>
      <c r="R223" s="255"/>
      <c r="S223" s="255"/>
      <c r="AI223" s="222" t="s">
        <v>934</v>
      </c>
      <c r="AJ223" s="222">
        <v>0</v>
      </c>
    </row>
    <row r="224" spans="17:36">
      <c r="Q224" s="255"/>
      <c r="R224" s="255"/>
      <c r="S224" s="255"/>
      <c r="AI224" s="222" t="s">
        <v>935</v>
      </c>
      <c r="AJ224" s="222">
        <v>0</v>
      </c>
    </row>
    <row r="225" spans="17:36">
      <c r="Q225" s="255"/>
      <c r="R225" s="255"/>
      <c r="S225" s="255"/>
      <c r="AI225" s="222" t="s">
        <v>936</v>
      </c>
      <c r="AJ225" s="222">
        <v>0</v>
      </c>
    </row>
    <row r="226" spans="17:36">
      <c r="Q226" s="255"/>
      <c r="R226" s="255"/>
      <c r="S226" s="255"/>
      <c r="AI226" s="222" t="s">
        <v>937</v>
      </c>
      <c r="AJ226" s="222">
        <v>0</v>
      </c>
    </row>
    <row r="227" spans="17:36">
      <c r="Q227" s="255"/>
      <c r="R227" s="255"/>
      <c r="S227" s="255"/>
      <c r="AI227" s="222" t="s">
        <v>938</v>
      </c>
      <c r="AJ227" s="222">
        <v>0</v>
      </c>
    </row>
    <row r="228" spans="17:36">
      <c r="Q228" s="255"/>
      <c r="R228" s="255"/>
      <c r="S228" s="255"/>
      <c r="AI228" s="222" t="s">
        <v>940</v>
      </c>
      <c r="AJ228" s="222">
        <v>0</v>
      </c>
    </row>
    <row r="229" spans="17:36">
      <c r="Q229" s="255"/>
      <c r="R229" s="255"/>
      <c r="S229" s="255"/>
      <c r="AI229" s="222" t="s">
        <v>942</v>
      </c>
      <c r="AJ229" s="222">
        <v>0</v>
      </c>
    </row>
    <row r="230" spans="17:36">
      <c r="Q230" s="255"/>
      <c r="R230" s="255"/>
      <c r="S230" s="255"/>
      <c r="AI230" s="222" t="s">
        <v>944</v>
      </c>
      <c r="AJ230" s="222">
        <v>0</v>
      </c>
    </row>
    <row r="231" spans="17:36">
      <c r="Q231" s="255"/>
      <c r="R231" s="255"/>
      <c r="S231" s="255"/>
      <c r="AI231" s="222" t="s">
        <v>946</v>
      </c>
      <c r="AJ231" s="222">
        <v>0</v>
      </c>
    </row>
    <row r="232" spans="17:36">
      <c r="Q232" s="255"/>
      <c r="R232" s="255"/>
      <c r="S232" s="255"/>
      <c r="AI232" s="222" t="s">
        <v>947</v>
      </c>
      <c r="AJ232" s="222">
        <v>0</v>
      </c>
    </row>
    <row r="233" spans="17:36">
      <c r="Q233" s="255"/>
      <c r="R233" s="255"/>
      <c r="S233" s="255"/>
      <c r="AI233" s="222" t="s">
        <v>950</v>
      </c>
      <c r="AJ233" s="222">
        <v>0</v>
      </c>
    </row>
    <row r="234" spans="17:36">
      <c r="Q234" s="255"/>
      <c r="R234" s="255"/>
      <c r="S234" s="255"/>
      <c r="AI234" s="222" t="s">
        <v>951</v>
      </c>
      <c r="AJ234" s="222">
        <v>0</v>
      </c>
    </row>
    <row r="235" spans="17:36">
      <c r="Q235" s="255"/>
      <c r="R235" s="255"/>
      <c r="S235" s="255"/>
      <c r="AI235" s="222" t="s">
        <v>954</v>
      </c>
      <c r="AJ235" s="222">
        <v>0</v>
      </c>
    </row>
    <row r="236" spans="17:36">
      <c r="Q236" s="255"/>
      <c r="R236" s="255"/>
      <c r="S236" s="255"/>
      <c r="AI236" s="222" t="s">
        <v>956</v>
      </c>
      <c r="AJ236" s="222">
        <v>0</v>
      </c>
    </row>
    <row r="237" spans="17:36">
      <c r="Q237" s="255"/>
      <c r="R237" s="255"/>
      <c r="S237" s="255"/>
      <c r="AI237" s="222" t="s">
        <v>957</v>
      </c>
      <c r="AJ237" s="222">
        <v>0</v>
      </c>
    </row>
    <row r="238" spans="17:36">
      <c r="Q238" s="255"/>
      <c r="R238" s="255"/>
      <c r="S238" s="255"/>
      <c r="AI238" s="222" t="s">
        <v>958</v>
      </c>
      <c r="AJ238" s="222">
        <v>0</v>
      </c>
    </row>
    <row r="239" spans="17:36">
      <c r="Q239" s="255"/>
      <c r="R239" s="255"/>
      <c r="S239" s="255"/>
      <c r="AI239" s="222" t="s">
        <v>959</v>
      </c>
      <c r="AJ239" s="222">
        <v>0</v>
      </c>
    </row>
    <row r="240" spans="17:36">
      <c r="Q240" s="255"/>
      <c r="R240" s="255"/>
      <c r="S240" s="255"/>
      <c r="AI240" s="222" t="s">
        <v>960</v>
      </c>
      <c r="AJ240" s="222">
        <v>0</v>
      </c>
    </row>
    <row r="241" spans="17:36">
      <c r="Q241" s="255"/>
      <c r="R241" s="255"/>
      <c r="S241" s="255"/>
      <c r="AI241" s="222" t="s">
        <v>961</v>
      </c>
      <c r="AJ241" s="222">
        <v>0</v>
      </c>
    </row>
    <row r="242" spans="17:36">
      <c r="Q242" s="255"/>
      <c r="R242" s="255"/>
      <c r="S242" s="255"/>
      <c r="AI242" s="222" t="s">
        <v>962</v>
      </c>
      <c r="AJ242" s="222">
        <v>0</v>
      </c>
    </row>
    <row r="243" spans="17:36">
      <c r="Q243" s="255"/>
      <c r="R243" s="255"/>
      <c r="S243" s="255"/>
      <c r="AI243" s="222" t="s">
        <v>963</v>
      </c>
      <c r="AJ243" s="222">
        <v>0</v>
      </c>
    </row>
    <row r="244" spans="17:36">
      <c r="Q244" s="255"/>
      <c r="R244" s="255"/>
      <c r="S244" s="255"/>
      <c r="AI244" s="222" t="s">
        <v>964</v>
      </c>
      <c r="AJ244" s="222">
        <v>0</v>
      </c>
    </row>
    <row r="245" spans="17:36">
      <c r="Q245" s="255"/>
      <c r="R245" s="255"/>
      <c r="S245" s="255"/>
      <c r="AI245" s="222" t="s">
        <v>965</v>
      </c>
      <c r="AJ245" s="222">
        <v>0</v>
      </c>
    </row>
    <row r="246" spans="17:36">
      <c r="Q246" s="255"/>
      <c r="R246" s="255"/>
      <c r="S246" s="255"/>
      <c r="AI246" s="222" t="s">
        <v>966</v>
      </c>
      <c r="AJ246" s="222">
        <v>0</v>
      </c>
    </row>
    <row r="247" spans="17:36">
      <c r="Q247" s="255"/>
      <c r="R247" s="255"/>
      <c r="S247" s="255"/>
      <c r="AI247" s="222" t="s">
        <v>967</v>
      </c>
      <c r="AJ247" s="222">
        <v>0</v>
      </c>
    </row>
    <row r="248" spans="17:36">
      <c r="Q248" s="255"/>
      <c r="R248" s="255"/>
      <c r="S248" s="255"/>
      <c r="AI248" s="222" t="s">
        <v>968</v>
      </c>
      <c r="AJ248" s="222">
        <v>0</v>
      </c>
    </row>
    <row r="249" spans="17:36">
      <c r="Q249" s="255"/>
      <c r="R249" s="255"/>
      <c r="S249" s="255"/>
      <c r="AI249" s="222" t="s">
        <v>969</v>
      </c>
      <c r="AJ249" s="222">
        <v>0</v>
      </c>
    </row>
    <row r="250" spans="17:36">
      <c r="Q250" s="255"/>
      <c r="R250" s="255"/>
      <c r="S250" s="255"/>
      <c r="AI250" s="222" t="s">
        <v>970</v>
      </c>
      <c r="AJ250" s="222">
        <v>0</v>
      </c>
    </row>
    <row r="251" spans="17:36">
      <c r="Q251" s="255"/>
      <c r="R251" s="255"/>
      <c r="S251" s="255"/>
      <c r="AI251" s="222" t="s">
        <v>971</v>
      </c>
      <c r="AJ251" s="222">
        <v>0</v>
      </c>
    </row>
    <row r="252" spans="17:36">
      <c r="Q252" s="255"/>
      <c r="R252" s="255"/>
      <c r="S252" s="255"/>
      <c r="AI252" s="222" t="s">
        <v>972</v>
      </c>
      <c r="AJ252" s="222">
        <v>0</v>
      </c>
    </row>
    <row r="253" spans="17:36">
      <c r="Q253" s="255"/>
      <c r="R253" s="255"/>
      <c r="S253" s="255"/>
      <c r="AI253" s="222" t="s">
        <v>973</v>
      </c>
      <c r="AJ253" s="222">
        <v>0</v>
      </c>
    </row>
    <row r="254" spans="17:36">
      <c r="Q254" s="255"/>
      <c r="R254" s="255"/>
      <c r="S254" s="255"/>
      <c r="AI254" s="222" t="s">
        <v>974</v>
      </c>
      <c r="AJ254" s="222">
        <v>0</v>
      </c>
    </row>
    <row r="255" spans="17:36">
      <c r="Q255" s="255"/>
      <c r="R255" s="255"/>
      <c r="S255" s="255"/>
      <c r="AI255" s="222" t="s">
        <v>975</v>
      </c>
      <c r="AJ255" s="222">
        <v>0</v>
      </c>
    </row>
    <row r="256" spans="17:36">
      <c r="Q256" s="255"/>
      <c r="R256" s="255"/>
      <c r="S256" s="255"/>
      <c r="AI256" s="222" t="s">
        <v>976</v>
      </c>
      <c r="AJ256" s="222">
        <v>0</v>
      </c>
    </row>
    <row r="257" spans="17:36">
      <c r="Q257" s="255"/>
      <c r="R257" s="255"/>
      <c r="S257" s="255"/>
      <c r="AI257" s="222" t="s">
        <v>977</v>
      </c>
      <c r="AJ257" s="222">
        <v>0</v>
      </c>
    </row>
    <row r="258" spans="17:36">
      <c r="Q258" s="255"/>
      <c r="R258" s="255"/>
      <c r="S258" s="255"/>
      <c r="AI258" s="222" t="s">
        <v>978</v>
      </c>
      <c r="AJ258" s="222">
        <v>0</v>
      </c>
    </row>
    <row r="259" spans="17:36">
      <c r="Q259" s="255"/>
      <c r="R259" s="255"/>
      <c r="S259" s="255"/>
      <c r="AI259" s="222" t="s">
        <v>979</v>
      </c>
      <c r="AJ259" s="222">
        <v>0</v>
      </c>
    </row>
    <row r="260" spans="17:36">
      <c r="Q260" s="255"/>
      <c r="R260" s="255"/>
      <c r="S260" s="255"/>
      <c r="AI260" s="222" t="s">
        <v>980</v>
      </c>
      <c r="AJ260" s="222">
        <v>106.18300000000001</v>
      </c>
    </row>
    <row r="261" spans="17:36">
      <c r="Q261" s="255"/>
      <c r="R261" s="255"/>
      <c r="S261" s="255"/>
      <c r="AI261" s="222" t="s">
        <v>981</v>
      </c>
      <c r="AJ261" s="222">
        <v>2.6219999999999999</v>
      </c>
    </row>
    <row r="262" spans="17:36">
      <c r="Q262" s="255"/>
      <c r="R262" s="255"/>
      <c r="S262" s="255"/>
      <c r="AI262" s="222" t="s">
        <v>982</v>
      </c>
      <c r="AJ262" s="222">
        <v>1.1000000000000001</v>
      </c>
    </row>
    <row r="263" spans="17:36">
      <c r="Q263" s="255"/>
      <c r="R263" s="255"/>
      <c r="S263" s="255"/>
      <c r="AI263" s="222" t="s">
        <v>983</v>
      </c>
      <c r="AJ263" s="222">
        <v>35.808</v>
      </c>
    </row>
    <row r="264" spans="17:36">
      <c r="Q264" s="255"/>
      <c r="R264" s="255"/>
      <c r="S264" s="255"/>
      <c r="AI264" s="222" t="s">
        <v>984</v>
      </c>
      <c r="AJ264" s="222">
        <v>4.3639999999999999</v>
      </c>
    </row>
    <row r="265" spans="17:36">
      <c r="Q265" s="255"/>
      <c r="R265" s="255"/>
      <c r="S265" s="255"/>
      <c r="AI265" s="222" t="s">
        <v>985</v>
      </c>
      <c r="AJ265" s="222">
        <v>1055.799</v>
      </c>
    </row>
    <row r="266" spans="17:36">
      <c r="Q266" s="255"/>
      <c r="R266" s="255"/>
      <c r="S266" s="255"/>
      <c r="AI266" s="222" t="s">
        <v>986</v>
      </c>
      <c r="AJ266" s="222">
        <v>0</v>
      </c>
    </row>
    <row r="267" spans="17:36">
      <c r="Q267" s="255"/>
      <c r="R267" s="255"/>
      <c r="S267" s="255"/>
      <c r="AI267" s="222" t="s">
        <v>987</v>
      </c>
      <c r="AJ267" s="222">
        <v>13397.199000000001</v>
      </c>
    </row>
    <row r="268" spans="17:36">
      <c r="Q268" s="255"/>
      <c r="R268" s="255"/>
      <c r="S268" s="255"/>
      <c r="AI268" s="222" t="s">
        <v>988</v>
      </c>
      <c r="AJ268" s="222">
        <v>17901.936000000002</v>
      </c>
    </row>
    <row r="269" spans="17:36">
      <c r="Q269" s="255"/>
      <c r="R269" s="255"/>
      <c r="S269" s="255"/>
      <c r="AI269" s="222" t="s">
        <v>989</v>
      </c>
      <c r="AJ269" s="222">
        <v>0</v>
      </c>
    </row>
    <row r="270" spans="17:36">
      <c r="Q270" s="255"/>
      <c r="R270" s="255"/>
      <c r="S270" s="255"/>
      <c r="AI270" s="222" t="s">
        <v>990</v>
      </c>
      <c r="AJ270" s="222">
        <v>0</v>
      </c>
    </row>
    <row r="271" spans="17:36">
      <c r="Q271" s="255"/>
      <c r="R271" s="255"/>
      <c r="S271" s="255"/>
      <c r="AI271" s="222" t="s">
        <v>991</v>
      </c>
      <c r="AJ271" s="222">
        <v>0</v>
      </c>
    </row>
    <row r="272" spans="17:36">
      <c r="Q272" s="255"/>
      <c r="R272" s="255"/>
      <c r="S272" s="255"/>
      <c r="AI272" s="222" t="s">
        <v>992</v>
      </c>
      <c r="AJ272" s="222">
        <v>0</v>
      </c>
    </row>
    <row r="273" spans="17:36">
      <c r="Q273" s="255"/>
      <c r="R273" s="255"/>
      <c r="S273" s="255"/>
      <c r="AI273" s="222" t="s">
        <v>993</v>
      </c>
      <c r="AJ273" s="222">
        <v>0</v>
      </c>
    </row>
    <row r="274" spans="17:36">
      <c r="Q274" s="255"/>
      <c r="R274" s="255"/>
      <c r="S274" s="255"/>
      <c r="AI274" s="222" t="s">
        <v>994</v>
      </c>
      <c r="AJ274" s="222">
        <v>17.233000000000001</v>
      </c>
    </row>
    <row r="275" spans="17:36">
      <c r="Q275" s="255"/>
      <c r="R275" s="255"/>
      <c r="S275" s="255"/>
      <c r="AI275" s="222" t="s">
        <v>995</v>
      </c>
      <c r="AJ275" s="222">
        <v>0</v>
      </c>
    </row>
    <row r="276" spans="17:36">
      <c r="Q276" s="255"/>
      <c r="R276" s="255"/>
      <c r="S276" s="255"/>
      <c r="AI276" s="222" t="s">
        <v>996</v>
      </c>
      <c r="AJ276" s="222">
        <v>0</v>
      </c>
    </row>
    <row r="277" spans="17:36">
      <c r="Q277" s="255"/>
      <c r="R277" s="255"/>
      <c r="S277" s="255"/>
      <c r="AI277" s="222" t="s">
        <v>997</v>
      </c>
      <c r="AJ277" s="222">
        <v>0</v>
      </c>
    </row>
    <row r="278" spans="17:36">
      <c r="Q278" s="255"/>
      <c r="R278" s="255"/>
      <c r="S278" s="255"/>
      <c r="AI278" s="222" t="s">
        <v>998</v>
      </c>
      <c r="AJ278" s="222">
        <v>0</v>
      </c>
    </row>
    <row r="279" spans="17:36">
      <c r="Q279" s="255"/>
      <c r="R279" s="255"/>
      <c r="S279" s="255"/>
      <c r="AI279" s="222" t="s">
        <v>999</v>
      </c>
      <c r="AJ279" s="222">
        <v>0</v>
      </c>
    </row>
    <row r="280" spans="17:36">
      <c r="Q280" s="255"/>
      <c r="R280" s="255"/>
      <c r="S280" s="255"/>
      <c r="AI280" s="222" t="s">
        <v>1000</v>
      </c>
      <c r="AJ280" s="222">
        <v>0</v>
      </c>
    </row>
    <row r="281" spans="17:36">
      <c r="Q281" s="255"/>
      <c r="R281" s="255"/>
      <c r="S281" s="255"/>
      <c r="AI281" s="222" t="s">
        <v>1001</v>
      </c>
      <c r="AJ281" s="222">
        <v>0</v>
      </c>
    </row>
    <row r="282" spans="17:36">
      <c r="Q282" s="255"/>
      <c r="R282" s="255"/>
      <c r="S282" s="255"/>
      <c r="AI282" s="222" t="s">
        <v>1002</v>
      </c>
      <c r="AJ282" s="222">
        <v>0</v>
      </c>
    </row>
    <row r="283" spans="17:36">
      <c r="Q283" s="255"/>
      <c r="R283" s="255"/>
      <c r="S283" s="255"/>
      <c r="AI283" s="222" t="s">
        <v>1003</v>
      </c>
      <c r="AJ283" s="222">
        <v>0</v>
      </c>
    </row>
    <row r="284" spans="17:36">
      <c r="Q284" s="255"/>
      <c r="R284" s="255"/>
      <c r="S284" s="255"/>
      <c r="AI284" s="222" t="s">
        <v>1004</v>
      </c>
      <c r="AJ284" s="222">
        <v>0</v>
      </c>
    </row>
    <row r="285" spans="17:36">
      <c r="Q285" s="255"/>
      <c r="R285" s="255"/>
      <c r="S285" s="255"/>
      <c r="AI285" s="222" t="s">
        <v>1005</v>
      </c>
      <c r="AJ285" s="222">
        <v>0</v>
      </c>
    </row>
    <row r="286" spans="17:36">
      <c r="Q286" s="255"/>
      <c r="R286" s="255"/>
      <c r="S286" s="255"/>
      <c r="AI286" s="222" t="s">
        <v>1006</v>
      </c>
      <c r="AJ286" s="222">
        <v>0</v>
      </c>
    </row>
    <row r="287" spans="17:36">
      <c r="Q287" s="255"/>
      <c r="R287" s="255"/>
      <c r="S287" s="255"/>
      <c r="AI287" s="222" t="s">
        <v>1007</v>
      </c>
      <c r="AJ287" s="222">
        <v>0</v>
      </c>
    </row>
    <row r="288" spans="17:36">
      <c r="Q288" s="255"/>
      <c r="R288" s="255"/>
      <c r="S288" s="255"/>
      <c r="AI288" s="222" t="s">
        <v>1008</v>
      </c>
      <c r="AJ288" s="222">
        <v>0</v>
      </c>
    </row>
    <row r="289" spans="17:36">
      <c r="Q289" s="255"/>
      <c r="R289" s="255"/>
      <c r="S289" s="255"/>
      <c r="AI289" s="222" t="s">
        <v>1009</v>
      </c>
      <c r="AJ289" s="222">
        <v>0</v>
      </c>
    </row>
    <row r="290" spans="17:36">
      <c r="Q290" s="255"/>
      <c r="R290" s="255"/>
      <c r="S290" s="255"/>
      <c r="AI290" s="222" t="s">
        <v>1010</v>
      </c>
      <c r="AJ290" s="222">
        <v>0</v>
      </c>
    </row>
    <row r="291" spans="17:36">
      <c r="Q291" s="255"/>
      <c r="R291" s="255"/>
      <c r="S291" s="255"/>
      <c r="AI291" s="222" t="s">
        <v>1011</v>
      </c>
      <c r="AJ291" s="222">
        <v>0</v>
      </c>
    </row>
    <row r="292" spans="17:36">
      <c r="Q292" s="255"/>
      <c r="R292" s="255"/>
      <c r="S292" s="255"/>
      <c r="AI292" s="222" t="s">
        <v>1012</v>
      </c>
      <c r="AJ292" s="222">
        <v>0</v>
      </c>
    </row>
    <row r="293" spans="17:36">
      <c r="Q293" s="255"/>
      <c r="R293" s="255"/>
      <c r="S293" s="255"/>
      <c r="AI293" s="222" t="s">
        <v>1013</v>
      </c>
      <c r="AJ293" s="222">
        <v>0</v>
      </c>
    </row>
    <row r="294" spans="17:36">
      <c r="Q294" s="255"/>
      <c r="R294" s="255"/>
      <c r="S294" s="255"/>
      <c r="AI294" s="222" t="s">
        <v>1014</v>
      </c>
      <c r="AJ294" s="222">
        <v>0</v>
      </c>
    </row>
    <row r="295" spans="17:36">
      <c r="Q295" s="255"/>
      <c r="R295" s="255"/>
      <c r="S295" s="255"/>
      <c r="AI295" s="222" t="s">
        <v>1015</v>
      </c>
      <c r="AJ295" s="222">
        <v>0</v>
      </c>
    </row>
    <row r="296" spans="17:36">
      <c r="Q296" s="255"/>
      <c r="R296" s="255"/>
      <c r="S296" s="255"/>
      <c r="AI296" s="222" t="s">
        <v>1016</v>
      </c>
      <c r="AJ296" s="222">
        <v>0</v>
      </c>
    </row>
    <row r="297" spans="17:36">
      <c r="Q297" s="255"/>
      <c r="R297" s="255"/>
      <c r="S297" s="255"/>
      <c r="AI297" s="222" t="s">
        <v>1017</v>
      </c>
      <c r="AJ297" s="222">
        <v>0</v>
      </c>
    </row>
    <row r="298" spans="17:36">
      <c r="Q298" s="255"/>
      <c r="R298" s="255"/>
      <c r="S298" s="255"/>
      <c r="AI298" s="222" t="s">
        <v>1018</v>
      </c>
      <c r="AJ298" s="222" t="s">
        <v>809</v>
      </c>
    </row>
    <row r="299" spans="17:36">
      <c r="Q299" s="255"/>
      <c r="R299" s="255"/>
      <c r="S299" s="255"/>
      <c r="AI299" s="222" t="s">
        <v>916</v>
      </c>
      <c r="AJ299" s="222">
        <v>0</v>
      </c>
    </row>
    <row r="300" spans="17:36">
      <c r="Q300" s="255"/>
      <c r="R300" s="255"/>
      <c r="S300" s="255"/>
      <c r="AI300" s="222" t="s">
        <v>918</v>
      </c>
      <c r="AJ300" s="222">
        <v>0</v>
      </c>
    </row>
    <row r="301" spans="17:36">
      <c r="Q301" s="255"/>
      <c r="R301" s="255"/>
      <c r="S301" s="255"/>
      <c r="AI301" s="222" t="s">
        <v>921</v>
      </c>
      <c r="AJ301" s="222">
        <v>0</v>
      </c>
    </row>
    <row r="302" spans="17:36">
      <c r="Q302" s="255"/>
      <c r="R302" s="255"/>
      <c r="S302" s="255"/>
      <c r="AI302" s="222" t="s">
        <v>923</v>
      </c>
      <c r="AJ302" s="222">
        <v>0</v>
      </c>
    </row>
    <row r="303" spans="17:36">
      <c r="Q303" s="255"/>
      <c r="R303" s="255"/>
      <c r="S303" s="255"/>
      <c r="AI303" s="222" t="s">
        <v>924</v>
      </c>
      <c r="AJ303" s="222">
        <v>0</v>
      </c>
    </row>
    <row r="304" spans="17:36">
      <c r="Q304" s="255"/>
      <c r="R304" s="255"/>
      <c r="S304" s="255"/>
      <c r="AI304" s="222" t="s">
        <v>928</v>
      </c>
      <c r="AJ304" s="222">
        <v>0</v>
      </c>
    </row>
    <row r="305" spans="17:36">
      <c r="Q305" s="255"/>
      <c r="R305" s="255"/>
      <c r="S305" s="255"/>
      <c r="AI305" s="222" t="s">
        <v>930</v>
      </c>
      <c r="AJ305" s="222">
        <v>0</v>
      </c>
    </row>
    <row r="306" spans="17:36">
      <c r="Q306" s="255"/>
      <c r="R306" s="255"/>
      <c r="S306" s="255"/>
      <c r="AI306" s="222" t="s">
        <v>934</v>
      </c>
      <c r="AJ306" s="222">
        <v>0</v>
      </c>
    </row>
    <row r="307" spans="17:36">
      <c r="Q307" s="255"/>
      <c r="R307" s="255"/>
      <c r="S307" s="255"/>
      <c r="AI307" s="222" t="s">
        <v>935</v>
      </c>
      <c r="AJ307" s="222">
        <v>0</v>
      </c>
    </row>
    <row r="308" spans="17:36">
      <c r="Q308" s="255"/>
      <c r="R308" s="255"/>
      <c r="S308" s="255"/>
      <c r="AI308" s="222" t="s">
        <v>936</v>
      </c>
      <c r="AJ308" s="222">
        <v>0</v>
      </c>
    </row>
    <row r="309" spans="17:36">
      <c r="Q309" s="255"/>
      <c r="R309" s="255"/>
      <c r="S309" s="255"/>
      <c r="AI309" s="222" t="s">
        <v>937</v>
      </c>
      <c r="AJ309" s="222">
        <v>0</v>
      </c>
    </row>
    <row r="310" spans="17:36">
      <c r="Q310" s="255"/>
      <c r="R310" s="255"/>
      <c r="S310" s="255"/>
      <c r="AI310" s="222" t="s">
        <v>938</v>
      </c>
      <c r="AJ310" s="222">
        <v>0</v>
      </c>
    </row>
    <row r="311" spans="17:36">
      <c r="Q311" s="255"/>
      <c r="R311" s="255"/>
      <c r="S311" s="255"/>
      <c r="AI311" s="222" t="s">
        <v>940</v>
      </c>
      <c r="AJ311" s="222">
        <v>0</v>
      </c>
    </row>
    <row r="312" spans="17:36">
      <c r="Q312" s="255"/>
      <c r="R312" s="255"/>
      <c r="S312" s="255"/>
      <c r="AI312" s="222" t="s">
        <v>942</v>
      </c>
      <c r="AJ312" s="222">
        <v>0</v>
      </c>
    </row>
    <row r="313" spans="17:36">
      <c r="Q313" s="255"/>
      <c r="R313" s="255"/>
      <c r="S313" s="255"/>
      <c r="AI313" s="222" t="s">
        <v>944</v>
      </c>
      <c r="AJ313" s="222">
        <v>0</v>
      </c>
    </row>
    <row r="314" spans="17:36">
      <c r="Q314" s="255"/>
      <c r="R314" s="255"/>
      <c r="S314" s="255"/>
      <c r="AI314" s="222" t="s">
        <v>946</v>
      </c>
      <c r="AJ314" s="222">
        <v>0</v>
      </c>
    </row>
    <row r="315" spans="17:36">
      <c r="Q315" s="255"/>
      <c r="R315" s="255"/>
      <c r="S315" s="255"/>
      <c r="AI315" s="222" t="s">
        <v>947</v>
      </c>
      <c r="AJ315" s="222">
        <v>0</v>
      </c>
    </row>
    <row r="316" spans="17:36">
      <c r="Q316" s="255"/>
      <c r="R316" s="255"/>
      <c r="S316" s="255"/>
      <c r="AI316" s="222" t="s">
        <v>950</v>
      </c>
      <c r="AJ316" s="222">
        <v>0</v>
      </c>
    </row>
    <row r="317" spans="17:36">
      <c r="Q317" s="255"/>
      <c r="R317" s="255"/>
      <c r="S317" s="255"/>
      <c r="AI317" s="222" t="s">
        <v>951</v>
      </c>
      <c r="AJ317" s="222">
        <v>0</v>
      </c>
    </row>
    <row r="318" spans="17:36">
      <c r="Q318" s="255"/>
      <c r="R318" s="255"/>
      <c r="S318" s="255"/>
      <c r="AI318" s="222" t="s">
        <v>954</v>
      </c>
      <c r="AJ318" s="222">
        <v>0</v>
      </c>
    </row>
    <row r="319" spans="17:36">
      <c r="Q319" s="255"/>
      <c r="R319" s="255"/>
      <c r="S319" s="255"/>
      <c r="AI319" s="222" t="s">
        <v>956</v>
      </c>
      <c r="AJ319" s="222">
        <v>0</v>
      </c>
    </row>
    <row r="320" spans="17:36">
      <c r="Q320" s="255"/>
      <c r="R320" s="255"/>
      <c r="S320" s="255"/>
      <c r="AI320" s="222" t="s">
        <v>957</v>
      </c>
      <c r="AJ320" s="222">
        <v>0</v>
      </c>
    </row>
    <row r="321" spans="17:36">
      <c r="Q321" s="255"/>
      <c r="R321" s="255"/>
      <c r="S321" s="255"/>
      <c r="AI321" s="222" t="s">
        <v>958</v>
      </c>
      <c r="AJ321" s="222">
        <v>0</v>
      </c>
    </row>
    <row r="322" spans="17:36">
      <c r="Q322" s="255"/>
      <c r="R322" s="255"/>
      <c r="S322" s="255"/>
      <c r="AI322" s="222" t="s">
        <v>959</v>
      </c>
      <c r="AJ322" s="222">
        <v>0</v>
      </c>
    </row>
    <row r="323" spans="17:36">
      <c r="Q323" s="255"/>
      <c r="R323" s="255"/>
      <c r="S323" s="255"/>
      <c r="AI323" s="222" t="s">
        <v>960</v>
      </c>
      <c r="AJ323" s="222">
        <v>0</v>
      </c>
    </row>
    <row r="324" spans="17:36">
      <c r="Q324" s="255"/>
      <c r="R324" s="255"/>
      <c r="S324" s="255"/>
      <c r="AI324" s="222" t="s">
        <v>961</v>
      </c>
      <c r="AJ324" s="222">
        <v>0</v>
      </c>
    </row>
    <row r="325" spans="17:36">
      <c r="Q325" s="255"/>
      <c r="R325" s="255"/>
      <c r="S325" s="255"/>
      <c r="AI325" s="222" t="s">
        <v>962</v>
      </c>
      <c r="AJ325" s="222">
        <v>0</v>
      </c>
    </row>
    <row r="326" spans="17:36">
      <c r="Q326" s="255"/>
      <c r="R326" s="255"/>
      <c r="S326" s="255"/>
      <c r="AI326" s="222" t="s">
        <v>963</v>
      </c>
      <c r="AJ326" s="222">
        <v>0</v>
      </c>
    </row>
    <row r="327" spans="17:36">
      <c r="Q327" s="255"/>
      <c r="R327" s="255"/>
      <c r="S327" s="255"/>
      <c r="AI327" s="222" t="s">
        <v>964</v>
      </c>
      <c r="AJ327" s="222">
        <v>0</v>
      </c>
    </row>
    <row r="328" spans="17:36">
      <c r="Q328" s="255"/>
      <c r="R328" s="255"/>
      <c r="S328" s="255"/>
      <c r="AI328" s="222" t="s">
        <v>965</v>
      </c>
      <c r="AJ328" s="222">
        <v>0</v>
      </c>
    </row>
    <row r="329" spans="17:36">
      <c r="Q329" s="255"/>
      <c r="R329" s="255"/>
      <c r="S329" s="255"/>
      <c r="AI329" s="222" t="s">
        <v>966</v>
      </c>
      <c r="AJ329" s="222">
        <v>0</v>
      </c>
    </row>
    <row r="330" spans="17:36">
      <c r="Q330" s="255"/>
      <c r="R330" s="255"/>
      <c r="S330" s="255"/>
      <c r="AI330" s="222" t="s">
        <v>967</v>
      </c>
      <c r="AJ330" s="222">
        <v>0</v>
      </c>
    </row>
    <row r="331" spans="17:36">
      <c r="Q331" s="255"/>
      <c r="R331" s="255"/>
      <c r="S331" s="255"/>
      <c r="AI331" s="222" t="s">
        <v>968</v>
      </c>
      <c r="AJ331" s="222">
        <v>0</v>
      </c>
    </row>
    <row r="332" spans="17:36">
      <c r="Q332" s="255"/>
      <c r="R332" s="255"/>
      <c r="S332" s="255"/>
      <c r="AI332" s="222" t="s">
        <v>969</v>
      </c>
      <c r="AJ332" s="222">
        <v>0</v>
      </c>
    </row>
    <row r="333" spans="17:36">
      <c r="Q333" s="255"/>
      <c r="R333" s="255"/>
      <c r="S333" s="255"/>
      <c r="AI333" s="222" t="s">
        <v>970</v>
      </c>
      <c r="AJ333" s="222">
        <v>0</v>
      </c>
    </row>
    <row r="334" spans="17:36">
      <c r="Q334" s="255"/>
      <c r="R334" s="255"/>
      <c r="S334" s="255"/>
      <c r="AI334" s="222" t="s">
        <v>971</v>
      </c>
      <c r="AJ334" s="222">
        <v>0</v>
      </c>
    </row>
    <row r="335" spans="17:36">
      <c r="Q335" s="255"/>
      <c r="R335" s="255"/>
      <c r="S335" s="255"/>
      <c r="AI335" s="222" t="s">
        <v>972</v>
      </c>
      <c r="AJ335" s="222">
        <v>0</v>
      </c>
    </row>
    <row r="336" spans="17:36">
      <c r="Q336" s="255"/>
      <c r="R336" s="255"/>
      <c r="S336" s="255"/>
      <c r="AI336" s="222" t="s">
        <v>973</v>
      </c>
      <c r="AJ336" s="222">
        <v>0</v>
      </c>
    </row>
    <row r="337" spans="17:36">
      <c r="Q337" s="255"/>
      <c r="R337" s="255"/>
      <c r="S337" s="255"/>
      <c r="AI337" s="222" t="s">
        <v>974</v>
      </c>
      <c r="AJ337" s="222">
        <v>0</v>
      </c>
    </row>
    <row r="338" spans="17:36">
      <c r="Q338" s="255"/>
      <c r="R338" s="255"/>
      <c r="S338" s="255"/>
      <c r="AI338" s="222" t="s">
        <v>975</v>
      </c>
      <c r="AJ338" s="222">
        <v>0</v>
      </c>
    </row>
    <row r="339" spans="17:36">
      <c r="Q339" s="255"/>
      <c r="R339" s="255"/>
      <c r="S339" s="255"/>
      <c r="AI339" s="222" t="s">
        <v>976</v>
      </c>
      <c r="AJ339" s="222">
        <v>0</v>
      </c>
    </row>
    <row r="340" spans="17:36">
      <c r="Q340" s="255"/>
      <c r="R340" s="255"/>
      <c r="S340" s="255"/>
      <c r="AI340" s="222" t="s">
        <v>977</v>
      </c>
      <c r="AJ340" s="222">
        <v>0</v>
      </c>
    </row>
    <row r="341" spans="17:36">
      <c r="Q341" s="255"/>
      <c r="R341" s="255"/>
      <c r="S341" s="255"/>
      <c r="AI341" s="222" t="s">
        <v>978</v>
      </c>
      <c r="AJ341" s="222">
        <v>0</v>
      </c>
    </row>
    <row r="342" spans="17:36">
      <c r="Q342" s="255"/>
      <c r="R342" s="255"/>
      <c r="S342" s="255"/>
      <c r="AI342" s="222" t="s">
        <v>979</v>
      </c>
      <c r="AJ342" s="222">
        <v>0</v>
      </c>
    </row>
    <row r="343" spans="17:36">
      <c r="Q343" s="255"/>
      <c r="R343" s="255"/>
      <c r="S343" s="255"/>
      <c r="AI343" s="222" t="s">
        <v>980</v>
      </c>
      <c r="AJ343" s="222">
        <v>1E-3</v>
      </c>
    </row>
    <row r="344" spans="17:36">
      <c r="Q344" s="255"/>
      <c r="R344" s="255"/>
      <c r="S344" s="255"/>
      <c r="AI344" s="222" t="s">
        <v>981</v>
      </c>
      <c r="AJ344" s="222">
        <v>0</v>
      </c>
    </row>
    <row r="345" spans="17:36">
      <c r="Q345" s="255"/>
      <c r="R345" s="255"/>
      <c r="S345" s="255"/>
      <c r="AI345" s="222" t="s">
        <v>982</v>
      </c>
      <c r="AJ345" s="222">
        <v>0</v>
      </c>
    </row>
    <row r="346" spans="17:36">
      <c r="Q346" s="255"/>
      <c r="R346" s="255"/>
      <c r="S346" s="255"/>
      <c r="AI346" s="222" t="s">
        <v>983</v>
      </c>
      <c r="AJ346" s="222">
        <v>0</v>
      </c>
    </row>
    <row r="347" spans="17:36">
      <c r="Q347" s="255"/>
      <c r="R347" s="255"/>
      <c r="S347" s="255"/>
      <c r="AI347" s="222" t="s">
        <v>984</v>
      </c>
      <c r="AJ347" s="222">
        <v>0</v>
      </c>
    </row>
    <row r="348" spans="17:36">
      <c r="Q348" s="255"/>
      <c r="R348" s="255"/>
      <c r="S348" s="255"/>
      <c r="AI348" s="222" t="s">
        <v>985</v>
      </c>
      <c r="AJ348" s="222">
        <v>8.9999999999999993E-3</v>
      </c>
    </row>
    <row r="349" spans="17:36">
      <c r="Q349" s="255"/>
      <c r="R349" s="255"/>
      <c r="S349" s="255"/>
      <c r="AI349" s="222" t="s">
        <v>986</v>
      </c>
      <c r="AJ349" s="222">
        <v>0</v>
      </c>
    </row>
    <row r="350" spans="17:36">
      <c r="Q350" s="255"/>
      <c r="R350" s="255"/>
      <c r="S350" s="255"/>
      <c r="AI350" s="222" t="s">
        <v>987</v>
      </c>
      <c r="AJ350" s="222">
        <v>0.59499999999999997</v>
      </c>
    </row>
    <row r="351" spans="17:36">
      <c r="Q351" s="255"/>
      <c r="R351" s="255"/>
      <c r="S351" s="255"/>
      <c r="AI351" s="222" t="s">
        <v>988</v>
      </c>
      <c r="AJ351" s="222">
        <v>0.39500000000000002</v>
      </c>
    </row>
    <row r="352" spans="17:36">
      <c r="Q352" s="255"/>
      <c r="R352" s="255"/>
      <c r="S352" s="255"/>
      <c r="AI352" s="222" t="s">
        <v>989</v>
      </c>
      <c r="AJ352" s="222">
        <v>0</v>
      </c>
    </row>
    <row r="353" spans="17:36">
      <c r="Q353" s="255"/>
      <c r="R353" s="255"/>
      <c r="S353" s="255"/>
      <c r="AI353" s="222" t="s">
        <v>990</v>
      </c>
      <c r="AJ353" s="222">
        <v>0</v>
      </c>
    </row>
    <row r="354" spans="17:36">
      <c r="Q354" s="255"/>
      <c r="R354" s="255"/>
      <c r="S354" s="255"/>
      <c r="AI354" s="222" t="s">
        <v>991</v>
      </c>
      <c r="AJ354" s="222">
        <v>0</v>
      </c>
    </row>
    <row r="355" spans="17:36">
      <c r="Q355" s="255"/>
      <c r="R355" s="255"/>
      <c r="S355" s="255"/>
      <c r="AI355" s="222" t="s">
        <v>992</v>
      </c>
      <c r="AJ355" s="222">
        <v>0</v>
      </c>
    </row>
    <row r="356" spans="17:36">
      <c r="Q356" s="255"/>
      <c r="R356" s="255"/>
      <c r="S356" s="255"/>
      <c r="AI356" s="222" t="s">
        <v>993</v>
      </c>
      <c r="AJ356" s="222">
        <v>0</v>
      </c>
    </row>
    <row r="357" spans="17:36">
      <c r="Q357" s="255"/>
      <c r="R357" s="255"/>
      <c r="S357" s="255"/>
      <c r="AI357" s="222" t="s">
        <v>994</v>
      </c>
      <c r="AJ357" s="222">
        <v>0</v>
      </c>
    </row>
    <row r="358" spans="17:36">
      <c r="Q358" s="255"/>
      <c r="R358" s="255"/>
      <c r="S358" s="255"/>
      <c r="AI358" s="222" t="s">
        <v>995</v>
      </c>
      <c r="AJ358" s="222">
        <v>0</v>
      </c>
    </row>
    <row r="359" spans="17:36">
      <c r="Q359" s="255"/>
      <c r="R359" s="255"/>
      <c r="S359" s="255"/>
      <c r="AI359" s="222" t="s">
        <v>996</v>
      </c>
      <c r="AJ359" s="222">
        <v>0</v>
      </c>
    </row>
    <row r="360" spans="17:36">
      <c r="Q360" s="255"/>
      <c r="R360" s="255"/>
      <c r="S360" s="255"/>
      <c r="AI360" s="222" t="s">
        <v>997</v>
      </c>
      <c r="AJ360" s="222">
        <v>0</v>
      </c>
    </row>
    <row r="361" spans="17:36">
      <c r="Q361" s="255"/>
      <c r="R361" s="255"/>
      <c r="S361" s="255"/>
      <c r="AI361" s="222" t="s">
        <v>998</v>
      </c>
      <c r="AJ361" s="222">
        <v>0</v>
      </c>
    </row>
    <row r="362" spans="17:36">
      <c r="Q362" s="255"/>
      <c r="R362" s="255"/>
      <c r="S362" s="255"/>
      <c r="AI362" s="222" t="s">
        <v>999</v>
      </c>
      <c r="AJ362" s="222">
        <v>0</v>
      </c>
    </row>
    <row r="363" spans="17:36">
      <c r="Q363" s="255"/>
      <c r="R363" s="255"/>
      <c r="S363" s="255"/>
      <c r="AI363" s="222" t="s">
        <v>1000</v>
      </c>
      <c r="AJ363" s="222">
        <v>0</v>
      </c>
    </row>
    <row r="364" spans="17:36">
      <c r="Q364" s="255"/>
      <c r="R364" s="255"/>
      <c r="S364" s="255"/>
      <c r="AI364" s="222" t="s">
        <v>1001</v>
      </c>
      <c r="AJ364" s="222">
        <v>0</v>
      </c>
    </row>
    <row r="365" spans="17:36">
      <c r="Q365" s="255"/>
      <c r="R365" s="255"/>
      <c r="S365" s="255"/>
      <c r="AI365" s="222" t="s">
        <v>1002</v>
      </c>
      <c r="AJ365" s="222">
        <v>0</v>
      </c>
    </row>
    <row r="366" spans="17:36">
      <c r="Q366" s="255"/>
      <c r="R366" s="255"/>
      <c r="S366" s="255"/>
      <c r="AI366" s="222" t="s">
        <v>1003</v>
      </c>
      <c r="AJ366" s="222">
        <v>0</v>
      </c>
    </row>
    <row r="367" spans="17:36">
      <c r="Q367" s="255"/>
      <c r="R367" s="255"/>
      <c r="S367" s="255"/>
      <c r="AI367" s="222" t="s">
        <v>1004</v>
      </c>
      <c r="AJ367" s="222">
        <v>0</v>
      </c>
    </row>
    <row r="368" spans="17:36">
      <c r="Q368" s="255"/>
      <c r="R368" s="255"/>
      <c r="S368" s="255"/>
      <c r="AI368" s="222" t="s">
        <v>1005</v>
      </c>
      <c r="AJ368" s="222">
        <v>0</v>
      </c>
    </row>
    <row r="369" spans="17:36">
      <c r="Q369" s="255"/>
      <c r="R369" s="255"/>
      <c r="S369" s="255"/>
      <c r="AI369" s="222" t="s">
        <v>1006</v>
      </c>
      <c r="AJ369" s="222">
        <v>0</v>
      </c>
    </row>
    <row r="370" spans="17:36">
      <c r="Q370" s="255"/>
      <c r="R370" s="255"/>
      <c r="S370" s="255"/>
      <c r="AI370" s="222" t="s">
        <v>1007</v>
      </c>
      <c r="AJ370" s="222">
        <v>0</v>
      </c>
    </row>
    <row r="371" spans="17:36">
      <c r="Q371" s="255"/>
      <c r="R371" s="255"/>
      <c r="S371" s="255"/>
      <c r="AI371" s="222" t="s">
        <v>1008</v>
      </c>
      <c r="AJ371" s="222">
        <v>0</v>
      </c>
    </row>
    <row r="372" spans="17:36">
      <c r="Q372" s="255"/>
      <c r="R372" s="255"/>
      <c r="S372" s="255"/>
      <c r="AI372" s="222" t="s">
        <v>1009</v>
      </c>
      <c r="AJ372" s="222">
        <v>0</v>
      </c>
    </row>
    <row r="373" spans="17:36">
      <c r="Q373" s="255"/>
      <c r="R373" s="255"/>
      <c r="S373" s="255"/>
      <c r="AI373" s="222" t="s">
        <v>1010</v>
      </c>
      <c r="AJ373" s="222">
        <v>0</v>
      </c>
    </row>
    <row r="374" spans="17:36">
      <c r="Q374" s="255"/>
      <c r="R374" s="255"/>
      <c r="S374" s="255"/>
      <c r="AI374" s="222" t="s">
        <v>1011</v>
      </c>
      <c r="AJ374" s="222">
        <v>0</v>
      </c>
    </row>
    <row r="375" spans="17:36">
      <c r="Q375" s="255"/>
      <c r="R375" s="255"/>
      <c r="S375" s="255"/>
      <c r="AI375" s="222" t="s">
        <v>1012</v>
      </c>
      <c r="AJ375" s="222">
        <v>0</v>
      </c>
    </row>
    <row r="376" spans="17:36">
      <c r="Q376" s="255"/>
      <c r="R376" s="255"/>
      <c r="S376" s="255"/>
      <c r="AI376" s="222" t="s">
        <v>1013</v>
      </c>
      <c r="AJ376" s="222">
        <v>0</v>
      </c>
    </row>
    <row r="377" spans="17:36">
      <c r="Q377" s="255"/>
      <c r="R377" s="255"/>
      <c r="S377" s="255"/>
      <c r="AI377" s="222" t="s">
        <v>1014</v>
      </c>
      <c r="AJ377" s="222">
        <v>0</v>
      </c>
    </row>
    <row r="378" spans="17:36">
      <c r="Q378" s="255"/>
      <c r="R378" s="255"/>
      <c r="S378" s="255"/>
      <c r="AI378" s="222" t="s">
        <v>1015</v>
      </c>
      <c r="AJ378" s="222">
        <v>0</v>
      </c>
    </row>
    <row r="379" spans="17:36">
      <c r="Q379" s="255"/>
      <c r="R379" s="255"/>
      <c r="S379" s="255"/>
      <c r="AI379" s="222" t="s">
        <v>1016</v>
      </c>
      <c r="AJ379" s="222">
        <v>0</v>
      </c>
    </row>
    <row r="380" spans="17:36">
      <c r="Q380" s="255"/>
      <c r="R380" s="255"/>
      <c r="S380" s="255"/>
      <c r="AI380" s="222" t="s">
        <v>1017</v>
      </c>
      <c r="AJ380" s="222">
        <v>0</v>
      </c>
    </row>
    <row r="381" spans="17:36">
      <c r="Q381" s="255"/>
      <c r="R381" s="255"/>
      <c r="S381" s="255"/>
    </row>
    <row r="382" spans="17:36">
      <c r="Q382" s="255"/>
      <c r="R382" s="255"/>
      <c r="S382" s="255"/>
    </row>
    <row r="383" spans="17:36">
      <c r="Q383" s="255"/>
      <c r="R383" s="255"/>
      <c r="S383" s="255"/>
    </row>
    <row r="384" spans="17:36">
      <c r="Q384" s="255"/>
      <c r="R384" s="255"/>
      <c r="S384" s="255"/>
    </row>
    <row r="385" spans="17:19">
      <c r="Q385" s="255"/>
      <c r="R385" s="255"/>
      <c r="S385" s="255"/>
    </row>
    <row r="386" spans="17:19">
      <c r="Q386" s="255"/>
      <c r="R386" s="255"/>
      <c r="S386" s="255"/>
    </row>
    <row r="387" spans="17:19">
      <c r="Q387" s="255"/>
      <c r="R387" s="255"/>
      <c r="S387" s="255"/>
    </row>
    <row r="388" spans="17:19">
      <c r="Q388" s="255"/>
      <c r="R388" s="255"/>
      <c r="S388" s="255"/>
    </row>
    <row r="389" spans="17:19">
      <c r="Q389" s="255"/>
      <c r="R389" s="255"/>
      <c r="S389" s="255"/>
    </row>
    <row r="390" spans="17:19">
      <c r="Q390" s="255"/>
      <c r="R390" s="255"/>
      <c r="S390" s="255"/>
    </row>
    <row r="391" spans="17:19">
      <c r="Q391" s="255"/>
      <c r="R391" s="255"/>
      <c r="S391" s="255"/>
    </row>
    <row r="392" spans="17:19">
      <c r="Q392" s="255"/>
      <c r="R392" s="255"/>
      <c r="S392" s="255"/>
    </row>
    <row r="393" spans="17:19">
      <c r="Q393" s="255"/>
      <c r="R393" s="255"/>
      <c r="S393" s="255"/>
    </row>
    <row r="394" spans="17:19">
      <c r="Q394" s="255"/>
      <c r="R394" s="255"/>
      <c r="S394" s="255"/>
    </row>
    <row r="395" spans="17:19">
      <c r="Q395" s="255"/>
      <c r="R395" s="255"/>
      <c r="S395" s="255"/>
    </row>
    <row r="396" spans="17:19">
      <c r="Q396" s="255"/>
      <c r="R396" s="255"/>
      <c r="S396" s="255"/>
    </row>
    <row r="397" spans="17:19">
      <c r="Q397" s="255"/>
      <c r="R397" s="255"/>
      <c r="S397" s="255"/>
    </row>
    <row r="398" spans="17:19">
      <c r="Q398" s="255"/>
      <c r="R398" s="255"/>
      <c r="S398" s="255"/>
    </row>
    <row r="399" spans="17:19">
      <c r="Q399" s="255"/>
      <c r="R399" s="255"/>
      <c r="S399" s="255"/>
    </row>
    <row r="400" spans="17:19">
      <c r="Q400" s="255"/>
      <c r="R400" s="255"/>
      <c r="S400" s="255"/>
    </row>
    <row r="401" spans="17:19">
      <c r="Q401" s="255"/>
      <c r="R401" s="255"/>
      <c r="S401" s="255"/>
    </row>
    <row r="402" spans="17:19">
      <c r="Q402" s="255"/>
      <c r="R402" s="255"/>
      <c r="S402" s="255"/>
    </row>
    <row r="403" spans="17:19">
      <c r="Q403" s="255"/>
      <c r="R403" s="255"/>
      <c r="S403" s="255"/>
    </row>
    <row r="404" spans="17:19">
      <c r="Q404" s="255"/>
      <c r="R404" s="255"/>
      <c r="S404" s="255"/>
    </row>
    <row r="405" spans="17:19">
      <c r="Q405" s="255"/>
      <c r="R405" s="255"/>
      <c r="S405" s="255"/>
    </row>
    <row r="406" spans="17:19">
      <c r="Q406" s="255"/>
      <c r="R406" s="255"/>
      <c r="S406" s="255"/>
    </row>
    <row r="407" spans="17:19">
      <c r="Q407" s="255"/>
      <c r="R407" s="255"/>
      <c r="S407" s="255"/>
    </row>
    <row r="408" spans="17:19">
      <c r="Q408" s="255"/>
      <c r="R408" s="255"/>
      <c r="S408" s="255"/>
    </row>
    <row r="409" spans="17:19">
      <c r="Q409" s="255"/>
      <c r="R409" s="255"/>
      <c r="S409" s="255"/>
    </row>
    <row r="410" spans="17:19">
      <c r="Q410" s="255"/>
      <c r="R410" s="255"/>
      <c r="S410" s="255"/>
    </row>
    <row r="411" spans="17:19">
      <c r="Q411" s="255"/>
      <c r="R411" s="255"/>
      <c r="S411" s="255"/>
    </row>
    <row r="412" spans="17:19">
      <c r="Q412" s="255"/>
      <c r="R412" s="255"/>
      <c r="S412" s="255"/>
    </row>
    <row r="413" spans="17:19">
      <c r="Q413" s="255"/>
      <c r="R413" s="255"/>
      <c r="S413" s="255"/>
    </row>
    <row r="414" spans="17:19">
      <c r="Q414" s="255"/>
      <c r="R414" s="255"/>
      <c r="S414" s="255"/>
    </row>
    <row r="415" spans="17:19">
      <c r="Q415" s="255"/>
      <c r="R415" s="255"/>
      <c r="S415" s="255"/>
    </row>
    <row r="416" spans="17:19">
      <c r="Q416" s="255"/>
      <c r="R416" s="255"/>
      <c r="S416" s="255"/>
    </row>
    <row r="417" spans="17:19">
      <c r="Q417" s="255"/>
      <c r="R417" s="255"/>
      <c r="S417" s="255"/>
    </row>
    <row r="418" spans="17:19">
      <c r="Q418" s="255"/>
      <c r="R418" s="255"/>
      <c r="S418" s="255"/>
    </row>
    <row r="419" spans="17:19">
      <c r="Q419" s="255"/>
      <c r="R419" s="255"/>
      <c r="S419" s="255"/>
    </row>
    <row r="420" spans="17:19">
      <c r="Q420" s="255"/>
      <c r="R420" s="255"/>
      <c r="S420" s="255"/>
    </row>
    <row r="421" spans="17:19">
      <c r="Q421" s="255"/>
      <c r="R421" s="255"/>
      <c r="S421" s="255"/>
    </row>
    <row r="422" spans="17:19">
      <c r="Q422" s="255"/>
      <c r="R422" s="255"/>
      <c r="S422" s="255"/>
    </row>
    <row r="423" spans="17:19">
      <c r="Q423" s="255"/>
      <c r="R423" s="255"/>
      <c r="S423" s="255"/>
    </row>
    <row r="424" spans="17:19">
      <c r="Q424" s="255"/>
      <c r="R424" s="255"/>
      <c r="S424" s="255"/>
    </row>
    <row r="425" spans="17:19">
      <c r="Q425" s="255"/>
      <c r="R425" s="255"/>
      <c r="S425" s="255"/>
    </row>
    <row r="426" spans="17:19">
      <c r="Q426" s="255"/>
      <c r="R426" s="255"/>
      <c r="S426" s="255"/>
    </row>
    <row r="427" spans="17:19">
      <c r="Q427" s="255"/>
      <c r="R427" s="255"/>
      <c r="S427" s="255"/>
    </row>
    <row r="428" spans="17:19">
      <c r="Q428" s="255"/>
      <c r="R428" s="255"/>
      <c r="S428" s="255"/>
    </row>
    <row r="429" spans="17:19">
      <c r="Q429" s="255"/>
      <c r="R429" s="255"/>
      <c r="S429" s="255"/>
    </row>
    <row r="430" spans="17:19">
      <c r="Q430" s="255"/>
      <c r="R430" s="255"/>
      <c r="S430" s="255"/>
    </row>
    <row r="431" spans="17:19">
      <c r="Q431" s="255"/>
      <c r="R431" s="255"/>
      <c r="S431" s="255"/>
    </row>
    <row r="432" spans="17:19">
      <c r="Q432" s="255"/>
      <c r="R432" s="255"/>
      <c r="S432" s="255"/>
    </row>
    <row r="433" spans="17:19">
      <c r="Q433" s="255"/>
      <c r="R433" s="255"/>
      <c r="S433" s="255"/>
    </row>
    <row r="434" spans="17:19">
      <c r="Q434" s="255"/>
      <c r="R434" s="255"/>
      <c r="S434" s="255"/>
    </row>
    <row r="435" spans="17:19">
      <c r="Q435" s="255"/>
      <c r="R435" s="255"/>
      <c r="S435" s="255"/>
    </row>
    <row r="436" spans="17:19">
      <c r="Q436" s="255"/>
      <c r="R436" s="255"/>
      <c r="S436" s="255"/>
    </row>
    <row r="437" spans="17:19">
      <c r="Q437" s="255"/>
      <c r="R437" s="255"/>
      <c r="S437" s="255"/>
    </row>
    <row r="438" spans="17:19">
      <c r="Q438" s="255"/>
      <c r="R438" s="255"/>
      <c r="S438" s="255"/>
    </row>
    <row r="439" spans="17:19">
      <c r="Q439" s="255"/>
      <c r="R439" s="255"/>
      <c r="S439" s="255"/>
    </row>
    <row r="440" spans="17:19">
      <c r="Q440" s="255"/>
      <c r="R440" s="255"/>
      <c r="S440" s="255"/>
    </row>
    <row r="441" spans="17:19">
      <c r="Q441" s="255"/>
      <c r="R441" s="255"/>
      <c r="S441" s="255"/>
    </row>
    <row r="442" spans="17:19">
      <c r="Q442" s="255"/>
      <c r="R442" s="255"/>
      <c r="S442" s="255"/>
    </row>
    <row r="443" spans="17:19">
      <c r="Q443" s="255"/>
      <c r="R443" s="255"/>
      <c r="S443" s="255"/>
    </row>
    <row r="444" spans="17:19">
      <c r="Q444" s="255"/>
      <c r="R444" s="255"/>
      <c r="S444" s="255"/>
    </row>
    <row r="445" spans="17:19">
      <c r="Q445" s="255"/>
      <c r="R445" s="255"/>
      <c r="S445" s="255"/>
    </row>
    <row r="446" spans="17:19">
      <c r="Q446" s="255"/>
      <c r="R446" s="255"/>
      <c r="S446" s="255"/>
    </row>
    <row r="447" spans="17:19">
      <c r="Q447" s="255"/>
      <c r="R447" s="255"/>
      <c r="S447" s="255"/>
    </row>
    <row r="448" spans="17:19">
      <c r="Q448" s="255"/>
      <c r="R448" s="255"/>
      <c r="S448" s="255"/>
    </row>
    <row r="449" spans="17:19">
      <c r="Q449" s="255"/>
      <c r="R449" s="255"/>
      <c r="S449" s="255"/>
    </row>
    <row r="450" spans="17:19">
      <c r="Q450" s="255"/>
      <c r="R450" s="255"/>
      <c r="S450" s="255"/>
    </row>
    <row r="451" spans="17:19">
      <c r="Q451" s="255"/>
      <c r="R451" s="255"/>
      <c r="S451" s="255"/>
    </row>
    <row r="452" spans="17:19">
      <c r="Q452" s="255"/>
      <c r="R452" s="255"/>
      <c r="S452" s="255"/>
    </row>
    <row r="453" spans="17:19">
      <c r="Q453" s="255"/>
      <c r="R453" s="255"/>
      <c r="S453" s="255"/>
    </row>
    <row r="454" spans="17:19">
      <c r="Q454" s="255"/>
      <c r="R454" s="255"/>
      <c r="S454" s="255"/>
    </row>
    <row r="455" spans="17:19">
      <c r="Q455" s="255"/>
      <c r="R455" s="255"/>
      <c r="S455" s="255"/>
    </row>
    <row r="456" spans="17:19">
      <c r="Q456" s="255"/>
      <c r="R456" s="255"/>
      <c r="S456" s="255"/>
    </row>
    <row r="457" spans="17:19">
      <c r="Q457" s="255"/>
      <c r="R457" s="255"/>
      <c r="S457" s="255"/>
    </row>
    <row r="458" spans="17:19">
      <c r="Q458" s="255"/>
      <c r="R458" s="255"/>
      <c r="S458" s="255"/>
    </row>
    <row r="459" spans="17:19">
      <c r="Q459" s="255"/>
      <c r="R459" s="255"/>
      <c r="S459" s="255"/>
    </row>
    <row r="460" spans="17:19">
      <c r="Q460" s="255"/>
      <c r="R460" s="255"/>
      <c r="S460" s="255"/>
    </row>
    <row r="461" spans="17:19">
      <c r="Q461" s="255"/>
      <c r="R461" s="255"/>
      <c r="S461" s="255"/>
    </row>
    <row r="462" spans="17:19">
      <c r="Q462" s="255"/>
      <c r="R462" s="255"/>
      <c r="S462" s="255"/>
    </row>
    <row r="463" spans="17:19">
      <c r="Q463" s="255"/>
      <c r="R463" s="255"/>
      <c r="S463" s="255"/>
    </row>
    <row r="464" spans="17:19">
      <c r="Q464" s="255"/>
      <c r="R464" s="255"/>
      <c r="S464" s="255"/>
    </row>
    <row r="465" spans="17:19">
      <c r="Q465" s="255"/>
      <c r="R465" s="255"/>
      <c r="S465" s="255"/>
    </row>
    <row r="466" spans="17:19">
      <c r="Q466" s="255"/>
      <c r="R466" s="255"/>
      <c r="S466" s="255"/>
    </row>
    <row r="467" spans="17:19">
      <c r="Q467" s="255"/>
      <c r="R467" s="255"/>
      <c r="S467" s="255"/>
    </row>
    <row r="468" spans="17:19">
      <c r="Q468" s="255"/>
      <c r="R468" s="255"/>
      <c r="S468" s="255"/>
    </row>
    <row r="469" spans="17:19">
      <c r="Q469" s="255"/>
      <c r="R469" s="255"/>
      <c r="S469" s="255"/>
    </row>
    <row r="470" spans="17:19">
      <c r="Q470" s="255"/>
      <c r="R470" s="255"/>
      <c r="S470" s="255"/>
    </row>
    <row r="471" spans="17:19">
      <c r="Q471" s="255"/>
      <c r="R471" s="255"/>
      <c r="S471" s="255"/>
    </row>
    <row r="472" spans="17:19">
      <c r="Q472" s="255"/>
      <c r="R472" s="255"/>
      <c r="S472" s="255"/>
    </row>
    <row r="473" spans="17:19">
      <c r="Q473" s="255"/>
      <c r="R473" s="255"/>
      <c r="S473" s="255"/>
    </row>
    <row r="474" spans="17:19">
      <c r="Q474" s="255"/>
      <c r="R474" s="255"/>
      <c r="S474" s="255"/>
    </row>
    <row r="475" spans="17:19">
      <c r="Q475" s="255"/>
      <c r="R475" s="255"/>
      <c r="S475" s="255"/>
    </row>
    <row r="476" spans="17:19">
      <c r="Q476" s="255"/>
      <c r="R476" s="255"/>
      <c r="S476" s="255"/>
    </row>
    <row r="477" spans="17:19">
      <c r="Q477" s="255"/>
      <c r="R477" s="255"/>
      <c r="S477" s="255"/>
    </row>
    <row r="478" spans="17:19">
      <c r="Q478" s="255"/>
      <c r="R478" s="255"/>
      <c r="S478" s="255"/>
    </row>
    <row r="479" spans="17:19">
      <c r="Q479" s="255"/>
      <c r="R479" s="255"/>
      <c r="S479" s="255"/>
    </row>
    <row r="480" spans="17:19">
      <c r="Q480" s="255"/>
      <c r="R480" s="255"/>
      <c r="S480" s="255"/>
    </row>
    <row r="481" spans="17:19">
      <c r="Q481" s="255"/>
      <c r="R481" s="255"/>
      <c r="S481" s="255"/>
    </row>
    <row r="482" spans="17:19">
      <c r="Q482" s="255"/>
      <c r="R482" s="255"/>
      <c r="S482" s="255"/>
    </row>
    <row r="483" spans="17:19">
      <c r="Q483" s="255"/>
      <c r="R483" s="255"/>
      <c r="S483" s="255"/>
    </row>
    <row r="484" spans="17:19">
      <c r="Q484" s="255"/>
      <c r="R484" s="255"/>
      <c r="S484" s="255"/>
    </row>
    <row r="485" spans="17:19">
      <c r="Q485" s="255"/>
      <c r="R485" s="255"/>
      <c r="S485" s="255"/>
    </row>
    <row r="486" spans="17:19">
      <c r="Q486" s="255"/>
      <c r="R486" s="255"/>
      <c r="S486" s="255"/>
    </row>
    <row r="487" spans="17:19">
      <c r="Q487" s="255"/>
      <c r="R487" s="255"/>
      <c r="S487" s="255"/>
    </row>
    <row r="488" spans="17:19">
      <c r="Q488" s="255"/>
      <c r="R488" s="255"/>
      <c r="S488" s="255"/>
    </row>
    <row r="489" spans="17:19">
      <c r="Q489" s="255"/>
      <c r="R489" s="255"/>
      <c r="S489" s="255"/>
    </row>
    <row r="490" spans="17:19">
      <c r="Q490" s="255"/>
      <c r="R490" s="255"/>
      <c r="S490" s="255"/>
    </row>
    <row r="491" spans="17:19">
      <c r="Q491" s="255"/>
      <c r="R491" s="255"/>
      <c r="S491" s="255"/>
    </row>
    <row r="492" spans="17:19">
      <c r="Q492" s="255"/>
      <c r="R492" s="255"/>
      <c r="S492" s="255"/>
    </row>
    <row r="493" spans="17:19">
      <c r="Q493" s="255"/>
      <c r="R493" s="255"/>
      <c r="S493" s="255"/>
    </row>
    <row r="494" spans="17:19">
      <c r="Q494" s="255"/>
      <c r="R494" s="255"/>
      <c r="S494" s="255"/>
    </row>
    <row r="495" spans="17:19">
      <c r="Q495" s="255"/>
      <c r="R495" s="255"/>
      <c r="S495" s="255"/>
    </row>
    <row r="496" spans="17:19">
      <c r="Q496" s="255"/>
      <c r="R496" s="255"/>
      <c r="S496" s="255"/>
    </row>
    <row r="497" spans="17:19">
      <c r="Q497" s="255"/>
      <c r="R497" s="255"/>
      <c r="S497" s="255"/>
    </row>
    <row r="498" spans="17:19">
      <c r="Q498" s="255"/>
      <c r="R498" s="255"/>
      <c r="S498" s="255"/>
    </row>
    <row r="499" spans="17:19">
      <c r="Q499" s="255"/>
      <c r="R499" s="255"/>
      <c r="S499" s="255"/>
    </row>
    <row r="500" spans="17:19">
      <c r="Q500" s="255"/>
      <c r="R500" s="255"/>
      <c r="S500" s="255"/>
    </row>
    <row r="501" spans="17:19">
      <c r="Q501" s="255"/>
      <c r="R501" s="255"/>
      <c r="S501" s="255"/>
    </row>
    <row r="502" spans="17:19">
      <c r="Q502" s="255"/>
      <c r="R502" s="255"/>
      <c r="S502" s="255"/>
    </row>
    <row r="503" spans="17:19">
      <c r="Q503" s="255"/>
      <c r="R503" s="255"/>
      <c r="S503" s="255"/>
    </row>
    <row r="504" spans="17:19">
      <c r="Q504" s="255"/>
      <c r="R504" s="255"/>
      <c r="S504" s="255"/>
    </row>
    <row r="505" spans="17:19">
      <c r="Q505" s="255"/>
      <c r="R505" s="255"/>
      <c r="S505" s="255"/>
    </row>
    <row r="506" spans="17:19">
      <c r="Q506" s="255"/>
      <c r="R506" s="255"/>
      <c r="S506" s="255"/>
    </row>
    <row r="507" spans="17:19">
      <c r="Q507" s="255"/>
      <c r="R507" s="255"/>
      <c r="S507" s="255"/>
    </row>
    <row r="508" spans="17:19">
      <c r="Q508" s="255"/>
      <c r="R508" s="255"/>
      <c r="S508" s="255"/>
    </row>
    <row r="509" spans="17:19">
      <c r="Q509" s="255"/>
      <c r="R509" s="255"/>
      <c r="S509" s="255"/>
    </row>
    <row r="510" spans="17:19">
      <c r="Q510" s="255"/>
      <c r="R510" s="255"/>
      <c r="S510" s="255"/>
    </row>
    <row r="511" spans="17:19">
      <c r="Q511" s="255"/>
      <c r="R511" s="255"/>
      <c r="S511" s="255"/>
    </row>
    <row r="512" spans="17:19">
      <c r="Q512" s="255"/>
      <c r="R512" s="255"/>
      <c r="S512" s="255"/>
    </row>
    <row r="513" spans="17:19">
      <c r="Q513" s="255"/>
      <c r="R513" s="255"/>
      <c r="S513" s="255"/>
    </row>
    <row r="514" spans="17:19">
      <c r="Q514" s="255"/>
      <c r="R514" s="255"/>
      <c r="S514" s="255"/>
    </row>
    <row r="515" spans="17:19">
      <c r="Q515" s="255"/>
      <c r="R515" s="255"/>
      <c r="S515" s="255"/>
    </row>
    <row r="516" spans="17:19">
      <c r="Q516" s="255"/>
      <c r="R516" s="255"/>
      <c r="S516" s="255"/>
    </row>
    <row r="517" spans="17:19">
      <c r="Q517" s="255"/>
      <c r="R517" s="255"/>
      <c r="S517" s="255"/>
    </row>
    <row r="518" spans="17:19">
      <c r="Q518" s="255"/>
      <c r="R518" s="255"/>
      <c r="S518" s="255"/>
    </row>
    <row r="519" spans="17:19">
      <c r="Q519" s="255"/>
      <c r="R519" s="255"/>
      <c r="S519" s="255"/>
    </row>
    <row r="520" spans="17:19">
      <c r="Q520" s="255"/>
      <c r="R520" s="255"/>
      <c r="S520" s="255"/>
    </row>
    <row r="521" spans="17:19">
      <c r="Q521" s="255"/>
      <c r="R521" s="255"/>
      <c r="S521" s="255"/>
    </row>
    <row r="522" spans="17:19">
      <c r="Q522" s="255"/>
      <c r="R522" s="255"/>
      <c r="S522" s="255"/>
    </row>
    <row r="523" spans="17:19">
      <c r="Q523" s="255"/>
      <c r="R523" s="255"/>
      <c r="S523" s="255"/>
    </row>
    <row r="524" spans="17:19">
      <c r="Q524" s="255"/>
      <c r="R524" s="255"/>
      <c r="S524" s="255"/>
    </row>
    <row r="525" spans="17:19">
      <c r="Q525" s="255"/>
      <c r="R525" s="255"/>
      <c r="S525" s="255"/>
    </row>
    <row r="526" spans="17:19">
      <c r="Q526" s="255"/>
      <c r="R526" s="255"/>
      <c r="S526" s="255"/>
    </row>
    <row r="527" spans="17:19">
      <c r="Q527" s="255"/>
      <c r="R527" s="255"/>
      <c r="S527" s="255"/>
    </row>
    <row r="528" spans="17:19">
      <c r="Q528" s="255"/>
      <c r="R528" s="255"/>
      <c r="S528" s="255"/>
    </row>
    <row r="529" spans="17:19">
      <c r="Q529" s="255"/>
      <c r="R529" s="255"/>
      <c r="S529" s="255"/>
    </row>
    <row r="530" spans="17:19">
      <c r="Q530" s="255"/>
      <c r="R530" s="255"/>
      <c r="S530" s="255"/>
    </row>
    <row r="531" spans="17:19">
      <c r="Q531" s="255"/>
      <c r="R531" s="255"/>
      <c r="S531" s="255"/>
    </row>
    <row r="532" spans="17:19">
      <c r="Q532" s="255"/>
      <c r="R532" s="255"/>
      <c r="S532" s="255"/>
    </row>
    <row r="533" spans="17:19">
      <c r="Q533" s="255"/>
      <c r="R533" s="255"/>
      <c r="S533" s="255"/>
    </row>
    <row r="534" spans="17:19">
      <c r="Q534" s="255"/>
      <c r="R534" s="255"/>
      <c r="S534" s="255"/>
    </row>
    <row r="535" spans="17:19">
      <c r="Q535" s="255"/>
      <c r="R535" s="255"/>
      <c r="S535" s="255"/>
    </row>
    <row r="536" spans="17:19">
      <c r="Q536" s="255"/>
      <c r="R536" s="255"/>
      <c r="S536" s="255"/>
    </row>
    <row r="537" spans="17:19">
      <c r="Q537" s="255"/>
      <c r="R537" s="255"/>
      <c r="S537" s="255"/>
    </row>
    <row r="538" spans="17:19">
      <c r="Q538" s="255"/>
      <c r="R538" s="255"/>
      <c r="S538" s="255"/>
    </row>
    <row r="539" spans="17:19">
      <c r="Q539" s="255"/>
      <c r="R539" s="255"/>
      <c r="S539" s="255"/>
    </row>
    <row r="540" spans="17:19">
      <c r="Q540" s="255"/>
      <c r="R540" s="255"/>
      <c r="S540" s="255"/>
    </row>
    <row r="541" spans="17:19">
      <c r="Q541" s="255"/>
      <c r="R541" s="255"/>
      <c r="S541" s="255"/>
    </row>
    <row r="542" spans="17:19">
      <c r="Q542" s="255"/>
      <c r="R542" s="255"/>
      <c r="S542" s="255"/>
    </row>
    <row r="543" spans="17:19">
      <c r="Q543" s="255"/>
      <c r="R543" s="255"/>
      <c r="S543" s="255"/>
    </row>
    <row r="544" spans="17:19">
      <c r="Q544" s="255"/>
      <c r="R544" s="255"/>
      <c r="S544" s="255"/>
    </row>
    <row r="545" spans="17:19">
      <c r="Q545" s="255"/>
      <c r="R545" s="255"/>
      <c r="S545" s="255"/>
    </row>
    <row r="546" spans="17:19">
      <c r="Q546" s="255"/>
      <c r="R546" s="255"/>
      <c r="S546" s="255"/>
    </row>
    <row r="547" spans="17:19">
      <c r="Q547" s="255"/>
      <c r="R547" s="255"/>
      <c r="S547" s="255"/>
    </row>
    <row r="548" spans="17:19">
      <c r="Q548" s="255"/>
      <c r="R548" s="255"/>
      <c r="S548" s="255"/>
    </row>
    <row r="549" spans="17:19">
      <c r="Q549" s="255"/>
      <c r="R549" s="255"/>
      <c r="S549" s="255"/>
    </row>
    <row r="550" spans="17:19">
      <c r="Q550" s="255"/>
      <c r="R550" s="255"/>
      <c r="S550" s="255"/>
    </row>
    <row r="551" spans="17:19">
      <c r="Q551" s="255"/>
      <c r="R551" s="255"/>
      <c r="S551" s="255"/>
    </row>
    <row r="552" spans="17:19">
      <c r="Q552" s="255"/>
      <c r="R552" s="255"/>
      <c r="S552" s="255"/>
    </row>
    <row r="553" spans="17:19">
      <c r="Q553" s="255"/>
      <c r="R553" s="255"/>
      <c r="S553" s="255"/>
    </row>
    <row r="554" spans="17:19">
      <c r="Q554" s="255"/>
      <c r="R554" s="255"/>
      <c r="S554" s="255"/>
    </row>
    <row r="555" spans="17:19">
      <c r="Q555" s="255"/>
      <c r="R555" s="255"/>
      <c r="S555" s="255"/>
    </row>
    <row r="556" spans="17:19">
      <c r="Q556" s="255"/>
      <c r="R556" s="255"/>
      <c r="S556" s="255"/>
    </row>
    <row r="557" spans="17:19">
      <c r="Q557" s="255"/>
      <c r="R557" s="255"/>
      <c r="S557" s="255"/>
    </row>
    <row r="558" spans="17:19">
      <c r="Q558" s="255"/>
      <c r="R558" s="255"/>
      <c r="S558" s="255"/>
    </row>
    <row r="559" spans="17:19">
      <c r="Q559" s="255"/>
      <c r="R559" s="255"/>
      <c r="S559" s="255"/>
    </row>
    <row r="560" spans="17:19">
      <c r="Q560" s="255"/>
      <c r="R560" s="255"/>
      <c r="S560" s="255"/>
    </row>
    <row r="561" spans="17:19">
      <c r="Q561" s="255"/>
      <c r="R561" s="255"/>
      <c r="S561" s="255"/>
    </row>
    <row r="562" spans="17:19">
      <c r="Q562" s="255"/>
      <c r="R562" s="255"/>
      <c r="S562" s="255"/>
    </row>
    <row r="563" spans="17:19">
      <c r="Q563" s="255"/>
      <c r="R563" s="255"/>
      <c r="S563" s="255"/>
    </row>
    <row r="564" spans="17:19">
      <c r="Q564" s="255"/>
      <c r="R564" s="255"/>
      <c r="S564" s="255"/>
    </row>
    <row r="565" spans="17:19">
      <c r="Q565" s="255"/>
      <c r="R565" s="255"/>
      <c r="S565" s="255"/>
    </row>
    <row r="566" spans="17:19">
      <c r="Q566" s="255"/>
      <c r="R566" s="255"/>
      <c r="S566" s="255"/>
    </row>
    <row r="567" spans="17:19">
      <c r="Q567" s="255"/>
      <c r="R567" s="255"/>
      <c r="S567" s="255"/>
    </row>
    <row r="568" spans="17:19">
      <c r="Q568" s="255"/>
      <c r="R568" s="255"/>
      <c r="S568" s="255"/>
    </row>
    <row r="569" spans="17:19">
      <c r="Q569" s="255"/>
      <c r="R569" s="255"/>
      <c r="S569" s="255"/>
    </row>
    <row r="570" spans="17:19">
      <c r="Q570" s="255"/>
      <c r="R570" s="255"/>
      <c r="S570" s="255"/>
    </row>
    <row r="571" spans="17:19">
      <c r="Q571" s="255"/>
      <c r="R571" s="255"/>
      <c r="S571" s="255"/>
    </row>
    <row r="572" spans="17:19">
      <c r="Q572" s="255"/>
      <c r="R572" s="255"/>
      <c r="S572" s="255"/>
    </row>
    <row r="573" spans="17:19">
      <c r="Q573" s="255"/>
      <c r="R573" s="255"/>
      <c r="S573" s="255"/>
    </row>
    <row r="574" spans="17:19">
      <c r="Q574" s="255"/>
      <c r="R574" s="255"/>
      <c r="S574" s="255"/>
    </row>
    <row r="575" spans="17:19">
      <c r="Q575" s="255"/>
      <c r="R575" s="255"/>
      <c r="S575" s="255"/>
    </row>
    <row r="576" spans="17:19">
      <c r="Q576" s="255"/>
      <c r="R576" s="255"/>
      <c r="S576" s="255"/>
    </row>
    <row r="577" spans="17:19">
      <c r="Q577" s="255"/>
      <c r="R577" s="255"/>
      <c r="S577" s="255"/>
    </row>
    <row r="578" spans="17:19">
      <c r="Q578" s="255"/>
      <c r="R578" s="255"/>
      <c r="S578" s="255"/>
    </row>
    <row r="579" spans="17:19">
      <c r="Q579" s="255"/>
      <c r="R579" s="255"/>
      <c r="S579" s="255"/>
    </row>
    <row r="580" spans="17:19">
      <c r="Q580" s="255"/>
      <c r="R580" s="255"/>
      <c r="S580" s="255"/>
    </row>
    <row r="581" spans="17:19">
      <c r="Q581" s="255"/>
      <c r="R581" s="255"/>
      <c r="S581" s="255"/>
    </row>
    <row r="582" spans="17:19">
      <c r="Q582" s="255"/>
      <c r="R582" s="255"/>
      <c r="S582" s="255"/>
    </row>
    <row r="583" spans="17:19">
      <c r="Q583" s="255"/>
      <c r="R583" s="255"/>
      <c r="S583" s="255"/>
    </row>
    <row r="584" spans="17:19">
      <c r="Q584" s="255"/>
      <c r="R584" s="255"/>
      <c r="S584" s="255"/>
    </row>
    <row r="585" spans="17:19">
      <c r="Q585" s="255"/>
      <c r="R585" s="255"/>
      <c r="S585" s="255"/>
    </row>
    <row r="586" spans="17:19">
      <c r="Q586" s="255"/>
      <c r="R586" s="255"/>
      <c r="S586" s="255"/>
    </row>
    <row r="587" spans="17:19">
      <c r="Q587" s="255"/>
      <c r="R587" s="255"/>
      <c r="S587" s="255"/>
    </row>
    <row r="588" spans="17:19">
      <c r="Q588" s="255"/>
      <c r="R588" s="255"/>
      <c r="S588" s="255"/>
    </row>
    <row r="589" spans="17:19">
      <c r="Q589" s="255"/>
      <c r="R589" s="255"/>
      <c r="S589" s="255"/>
    </row>
    <row r="590" spans="17:19">
      <c r="Q590" s="255"/>
      <c r="R590" s="255"/>
      <c r="S590" s="255"/>
    </row>
    <row r="591" spans="17:19">
      <c r="Q591" s="255"/>
      <c r="R591" s="255"/>
      <c r="S591" s="255"/>
    </row>
    <row r="592" spans="17:19">
      <c r="Q592" s="255"/>
      <c r="R592" s="255"/>
      <c r="S592" s="255"/>
    </row>
    <row r="593" spans="17:19">
      <c r="Q593" s="255"/>
      <c r="R593" s="255"/>
      <c r="S593" s="255"/>
    </row>
    <row r="594" spans="17:19">
      <c r="Q594" s="255"/>
      <c r="R594" s="255"/>
      <c r="S594" s="255"/>
    </row>
    <row r="595" spans="17:19">
      <c r="Q595" s="255"/>
      <c r="R595" s="255"/>
      <c r="S595" s="255"/>
    </row>
    <row r="596" spans="17:19">
      <c r="Q596" s="255"/>
      <c r="R596" s="255"/>
      <c r="S596" s="255"/>
    </row>
    <row r="597" spans="17:19">
      <c r="Q597" s="255"/>
      <c r="R597" s="255"/>
      <c r="S597" s="255"/>
    </row>
    <row r="598" spans="17:19">
      <c r="Q598" s="255"/>
      <c r="R598" s="255"/>
      <c r="S598" s="255"/>
    </row>
    <row r="599" spans="17:19">
      <c r="Q599" s="255"/>
      <c r="R599" s="255"/>
      <c r="S599" s="255"/>
    </row>
    <row r="600" spans="17:19">
      <c r="Q600" s="255"/>
      <c r="R600" s="255"/>
      <c r="S600" s="255"/>
    </row>
    <row r="601" spans="17:19">
      <c r="Q601" s="255"/>
      <c r="R601" s="255"/>
      <c r="S601" s="255"/>
    </row>
    <row r="602" spans="17:19">
      <c r="Q602" s="255"/>
      <c r="R602" s="255"/>
      <c r="S602" s="255"/>
    </row>
    <row r="603" spans="17:19">
      <c r="Q603" s="255"/>
      <c r="R603" s="255"/>
      <c r="S603" s="255"/>
    </row>
    <row r="604" spans="17:19">
      <c r="Q604" s="255"/>
      <c r="R604" s="255"/>
      <c r="S604" s="255"/>
    </row>
    <row r="605" spans="17:19">
      <c r="Q605" s="255"/>
      <c r="R605" s="255"/>
      <c r="S605" s="255"/>
    </row>
    <row r="606" spans="17:19">
      <c r="Q606" s="255"/>
      <c r="R606" s="255"/>
      <c r="S606" s="255"/>
    </row>
    <row r="607" spans="17:19">
      <c r="Q607" s="255"/>
      <c r="R607" s="255"/>
      <c r="S607" s="255"/>
    </row>
    <row r="608" spans="17:19">
      <c r="Q608" s="255"/>
      <c r="R608" s="255"/>
      <c r="S608" s="255"/>
    </row>
    <row r="609" spans="17:19">
      <c r="Q609" s="255"/>
      <c r="R609" s="255"/>
      <c r="S609" s="255"/>
    </row>
    <row r="610" spans="17:19">
      <c r="Q610" s="255"/>
      <c r="R610" s="255"/>
      <c r="S610" s="255"/>
    </row>
    <row r="611" spans="17:19">
      <c r="Q611" s="255"/>
      <c r="R611" s="255"/>
      <c r="S611" s="255"/>
    </row>
    <row r="612" spans="17:19">
      <c r="Q612" s="255"/>
      <c r="R612" s="255"/>
      <c r="S612" s="255"/>
    </row>
    <row r="613" spans="17:19">
      <c r="Q613" s="255"/>
      <c r="R613" s="255"/>
      <c r="S613" s="255"/>
    </row>
    <row r="614" spans="17:19">
      <c r="Q614" s="255"/>
      <c r="R614" s="255"/>
      <c r="S614" s="255"/>
    </row>
    <row r="615" spans="17:19">
      <c r="Q615" s="255"/>
      <c r="R615" s="255"/>
      <c r="S615" s="255"/>
    </row>
    <row r="616" spans="17:19">
      <c r="Q616" s="255"/>
      <c r="R616" s="255"/>
      <c r="S616" s="255"/>
    </row>
    <row r="617" spans="17:19">
      <c r="Q617" s="255"/>
      <c r="R617" s="255"/>
      <c r="S617" s="255"/>
    </row>
    <row r="618" spans="17:19">
      <c r="Q618" s="255"/>
      <c r="R618" s="255"/>
      <c r="S618" s="255"/>
    </row>
    <row r="619" spans="17:19">
      <c r="Q619" s="255"/>
      <c r="R619" s="255"/>
      <c r="S619" s="255"/>
    </row>
    <row r="620" spans="17:19">
      <c r="Q620" s="255"/>
      <c r="R620" s="255"/>
      <c r="S620" s="255"/>
    </row>
    <row r="621" spans="17:19">
      <c r="Q621" s="255"/>
      <c r="R621" s="255"/>
      <c r="S621" s="255"/>
    </row>
    <row r="622" spans="17:19">
      <c r="Q622" s="255"/>
      <c r="R622" s="255"/>
      <c r="S622" s="255"/>
    </row>
    <row r="623" spans="17:19">
      <c r="Q623" s="255"/>
      <c r="R623" s="255"/>
      <c r="S623" s="255"/>
    </row>
    <row r="624" spans="17:19">
      <c r="Q624" s="255"/>
      <c r="R624" s="255"/>
      <c r="S624" s="255"/>
    </row>
    <row r="625" spans="17:19">
      <c r="Q625" s="255"/>
      <c r="R625" s="255"/>
      <c r="S625" s="255"/>
    </row>
    <row r="626" spans="17:19">
      <c r="Q626" s="255"/>
      <c r="R626" s="255"/>
      <c r="S626" s="255"/>
    </row>
    <row r="627" spans="17:19">
      <c r="Q627" s="255"/>
      <c r="R627" s="255"/>
      <c r="S627" s="255"/>
    </row>
    <row r="628" spans="17:19">
      <c r="Q628" s="255"/>
      <c r="R628" s="255"/>
      <c r="S628" s="255"/>
    </row>
    <row r="629" spans="17:19">
      <c r="Q629" s="255"/>
      <c r="R629" s="255"/>
      <c r="S629" s="255"/>
    </row>
    <row r="630" spans="17:19">
      <c r="Q630" s="255"/>
      <c r="R630" s="255"/>
      <c r="S630" s="255"/>
    </row>
    <row r="631" spans="17:19">
      <c r="Q631" s="255"/>
      <c r="R631" s="255"/>
      <c r="S631" s="255"/>
    </row>
    <row r="632" spans="17:19">
      <c r="Q632" s="255"/>
      <c r="R632" s="255"/>
      <c r="S632" s="255"/>
    </row>
    <row r="633" spans="17:19">
      <c r="Q633" s="255"/>
      <c r="R633" s="255"/>
      <c r="S633" s="255"/>
    </row>
    <row r="634" spans="17:19">
      <c r="Q634" s="255"/>
      <c r="R634" s="255"/>
      <c r="S634" s="255"/>
    </row>
    <row r="635" spans="17:19">
      <c r="Q635" s="255"/>
      <c r="R635" s="255"/>
      <c r="S635" s="255"/>
    </row>
    <row r="636" spans="17:19">
      <c r="Q636" s="255"/>
      <c r="R636" s="255"/>
      <c r="S636" s="255"/>
    </row>
    <row r="637" spans="17:19">
      <c r="Q637" s="255"/>
      <c r="R637" s="255"/>
      <c r="S637" s="255"/>
    </row>
    <row r="638" spans="17:19">
      <c r="Q638" s="255"/>
      <c r="R638" s="255"/>
      <c r="S638" s="255"/>
    </row>
    <row r="639" spans="17:19">
      <c r="Q639" s="255"/>
      <c r="R639" s="255"/>
      <c r="S639" s="255"/>
    </row>
    <row r="640" spans="17:19">
      <c r="Q640" s="255"/>
      <c r="R640" s="255"/>
      <c r="S640" s="255"/>
    </row>
    <row r="641" spans="17:19">
      <c r="Q641" s="255"/>
      <c r="R641" s="255"/>
      <c r="S641" s="255"/>
    </row>
    <row r="642" spans="17:19">
      <c r="Q642" s="255"/>
      <c r="R642" s="255"/>
      <c r="S642" s="255"/>
    </row>
    <row r="643" spans="17:19">
      <c r="Q643" s="255"/>
      <c r="R643" s="255"/>
      <c r="S643" s="255"/>
    </row>
    <row r="644" spans="17:19">
      <c r="Q644" s="255"/>
      <c r="R644" s="255"/>
      <c r="S644" s="255"/>
    </row>
    <row r="645" spans="17:19">
      <c r="Q645" s="255"/>
      <c r="R645" s="255"/>
      <c r="S645" s="255"/>
    </row>
    <row r="646" spans="17:19">
      <c r="Q646" s="255"/>
      <c r="R646" s="255"/>
      <c r="S646" s="255"/>
    </row>
    <row r="647" spans="17:19">
      <c r="Q647" s="255"/>
      <c r="R647" s="255"/>
      <c r="S647" s="255"/>
    </row>
    <row r="648" spans="17:19">
      <c r="Q648" s="255"/>
      <c r="R648" s="255"/>
      <c r="S648" s="255"/>
    </row>
    <row r="649" spans="17:19">
      <c r="Q649" s="255"/>
      <c r="R649" s="255"/>
      <c r="S649" s="255"/>
    </row>
    <row r="650" spans="17:19">
      <c r="Q650" s="255"/>
      <c r="R650" s="255"/>
      <c r="S650" s="255"/>
    </row>
    <row r="651" spans="17:19">
      <c r="Q651" s="255"/>
      <c r="R651" s="255"/>
      <c r="S651" s="255"/>
    </row>
    <row r="652" spans="17:19">
      <c r="Q652" s="255"/>
      <c r="R652" s="255"/>
      <c r="S652" s="255"/>
    </row>
    <row r="653" spans="17:19">
      <c r="Q653" s="255"/>
      <c r="R653" s="255"/>
      <c r="S653" s="255"/>
    </row>
    <row r="654" spans="17:19">
      <c r="Q654" s="255"/>
      <c r="R654" s="255"/>
      <c r="S654" s="255"/>
    </row>
    <row r="655" spans="17:19">
      <c r="Q655" s="255"/>
      <c r="R655" s="255"/>
      <c r="S655" s="255"/>
    </row>
    <row r="656" spans="17:19">
      <c r="Q656" s="255"/>
      <c r="R656" s="255"/>
      <c r="S656" s="255"/>
    </row>
    <row r="657" spans="17:19">
      <c r="Q657" s="255"/>
      <c r="R657" s="255"/>
      <c r="S657" s="255"/>
    </row>
    <row r="658" spans="17:19">
      <c r="Q658" s="255"/>
      <c r="R658" s="255"/>
      <c r="S658" s="255"/>
    </row>
    <row r="659" spans="17:19">
      <c r="Q659" s="255"/>
      <c r="R659" s="255"/>
      <c r="S659" s="255"/>
    </row>
    <row r="660" spans="17:19">
      <c r="Q660" s="255"/>
      <c r="R660" s="255"/>
      <c r="S660" s="255"/>
    </row>
    <row r="661" spans="17:19">
      <c r="Q661" s="255"/>
      <c r="R661" s="255"/>
      <c r="S661" s="255"/>
    </row>
    <row r="662" spans="17:19">
      <c r="Q662" s="255"/>
      <c r="R662" s="255"/>
      <c r="S662" s="255"/>
    </row>
    <row r="663" spans="17:19">
      <c r="Q663" s="255"/>
      <c r="R663" s="255"/>
      <c r="S663" s="255"/>
    </row>
    <row r="664" spans="17:19">
      <c r="Q664" s="255"/>
      <c r="R664" s="255"/>
      <c r="S664" s="255"/>
    </row>
    <row r="665" spans="17:19">
      <c r="Q665" s="255"/>
      <c r="R665" s="255"/>
      <c r="S665" s="255"/>
    </row>
    <row r="666" spans="17:19">
      <c r="Q666" s="255"/>
      <c r="R666" s="255"/>
      <c r="S666" s="255"/>
    </row>
    <row r="667" spans="17:19">
      <c r="Q667" s="255"/>
      <c r="R667" s="255"/>
      <c r="S667" s="255"/>
    </row>
    <row r="668" spans="17:19">
      <c r="Q668" s="255"/>
      <c r="R668" s="255"/>
      <c r="S668" s="255"/>
    </row>
    <row r="669" spans="17:19">
      <c r="Q669" s="255"/>
      <c r="R669" s="255"/>
      <c r="S669" s="255"/>
    </row>
    <row r="670" spans="17:19">
      <c r="Q670" s="255"/>
      <c r="R670" s="255"/>
      <c r="S670" s="255"/>
    </row>
    <row r="671" spans="17:19">
      <c r="Q671" s="255"/>
      <c r="R671" s="255"/>
      <c r="S671" s="255"/>
    </row>
    <row r="672" spans="17:19">
      <c r="Q672" s="255"/>
      <c r="R672" s="255"/>
      <c r="S672" s="255"/>
    </row>
    <row r="673" spans="17:19">
      <c r="Q673" s="255"/>
      <c r="R673" s="255"/>
      <c r="S673" s="255"/>
    </row>
    <row r="674" spans="17:19">
      <c r="Q674" s="255"/>
      <c r="R674" s="255"/>
      <c r="S674" s="255"/>
    </row>
    <row r="675" spans="17:19">
      <c r="Q675" s="255"/>
      <c r="R675" s="255"/>
      <c r="S675" s="255"/>
    </row>
    <row r="676" spans="17:19">
      <c r="Q676" s="255"/>
      <c r="R676" s="255"/>
      <c r="S676" s="255"/>
    </row>
    <row r="677" spans="17:19">
      <c r="Q677" s="255"/>
      <c r="R677" s="255"/>
      <c r="S677" s="255"/>
    </row>
    <row r="678" spans="17:19">
      <c r="Q678" s="255"/>
      <c r="R678" s="255"/>
      <c r="S678" s="255"/>
    </row>
    <row r="679" spans="17:19">
      <c r="Q679" s="255"/>
      <c r="R679" s="255"/>
      <c r="S679" s="255"/>
    </row>
    <row r="680" spans="17:19">
      <c r="Q680" s="255"/>
      <c r="R680" s="255"/>
      <c r="S680" s="255"/>
    </row>
    <row r="681" spans="17:19">
      <c r="Q681" s="255"/>
      <c r="R681" s="255"/>
      <c r="S681" s="255"/>
    </row>
    <row r="682" spans="17:19">
      <c r="Q682" s="255"/>
      <c r="R682" s="255"/>
      <c r="S682" s="255"/>
    </row>
    <row r="683" spans="17:19">
      <c r="Q683" s="255"/>
      <c r="R683" s="255"/>
      <c r="S683" s="255"/>
    </row>
    <row r="684" spans="17:19">
      <c r="Q684" s="255"/>
      <c r="R684" s="255"/>
      <c r="S684" s="255"/>
    </row>
    <row r="685" spans="17:19">
      <c r="Q685" s="255"/>
      <c r="R685" s="255"/>
      <c r="S685" s="255"/>
    </row>
    <row r="686" spans="17:19">
      <c r="Q686" s="255"/>
      <c r="R686" s="255"/>
      <c r="S686" s="255"/>
    </row>
    <row r="687" spans="17:19">
      <c r="Q687" s="255"/>
      <c r="R687" s="255"/>
      <c r="S687" s="255"/>
    </row>
    <row r="688" spans="17:19">
      <c r="Q688" s="255"/>
      <c r="R688" s="255"/>
      <c r="S688" s="255"/>
    </row>
    <row r="689" spans="17:19">
      <c r="Q689" s="255"/>
      <c r="R689" s="255"/>
      <c r="S689" s="255"/>
    </row>
    <row r="690" spans="17:19">
      <c r="Q690" s="255"/>
      <c r="R690" s="255"/>
      <c r="S690" s="255"/>
    </row>
    <row r="691" spans="17:19">
      <c r="Q691" s="255"/>
      <c r="R691" s="255"/>
      <c r="S691" s="255"/>
    </row>
    <row r="692" spans="17:19">
      <c r="Q692" s="255"/>
      <c r="R692" s="255"/>
      <c r="S692" s="255"/>
    </row>
    <row r="693" spans="17:19">
      <c r="Q693" s="255"/>
      <c r="R693" s="255"/>
      <c r="S693" s="255"/>
    </row>
    <row r="694" spans="17:19">
      <c r="Q694" s="255"/>
      <c r="R694" s="255"/>
      <c r="S694" s="255"/>
    </row>
    <row r="695" spans="17:19">
      <c r="Q695" s="255"/>
      <c r="R695" s="255"/>
      <c r="S695" s="255"/>
    </row>
    <row r="696" spans="17:19">
      <c r="Q696" s="255"/>
      <c r="R696" s="255"/>
      <c r="S696" s="255"/>
    </row>
    <row r="697" spans="17:19">
      <c r="Q697" s="255"/>
      <c r="R697" s="255"/>
      <c r="S697" s="255"/>
    </row>
    <row r="698" spans="17:19">
      <c r="Q698" s="255"/>
      <c r="R698" s="255"/>
      <c r="S698" s="255"/>
    </row>
    <row r="699" spans="17:19">
      <c r="Q699" s="255"/>
      <c r="R699" s="255"/>
      <c r="S699" s="255"/>
    </row>
    <row r="700" spans="17:19">
      <c r="Q700" s="255"/>
      <c r="R700" s="255"/>
      <c r="S700" s="255"/>
    </row>
    <row r="701" spans="17:19">
      <c r="Q701" s="255"/>
      <c r="R701" s="255"/>
      <c r="S701" s="255"/>
    </row>
    <row r="702" spans="17:19">
      <c r="Q702" s="255"/>
      <c r="R702" s="255"/>
      <c r="S702" s="255"/>
    </row>
    <row r="703" spans="17:19">
      <c r="Q703" s="255"/>
      <c r="R703" s="255"/>
      <c r="S703" s="255"/>
    </row>
    <row r="704" spans="17:19">
      <c r="Q704" s="255"/>
      <c r="R704" s="255"/>
      <c r="S704" s="255"/>
    </row>
    <row r="705" spans="17:19">
      <c r="Q705" s="255"/>
      <c r="R705" s="255"/>
      <c r="S705" s="255"/>
    </row>
    <row r="706" spans="17:19">
      <c r="Q706" s="255"/>
      <c r="R706" s="255"/>
      <c r="S706" s="255"/>
    </row>
    <row r="707" spans="17:19">
      <c r="Q707" s="255"/>
      <c r="R707" s="255"/>
      <c r="S707" s="255"/>
    </row>
    <row r="708" spans="17:19">
      <c r="Q708" s="255"/>
      <c r="R708" s="255"/>
      <c r="S708" s="255"/>
    </row>
    <row r="709" spans="17:19">
      <c r="Q709" s="255"/>
      <c r="R709" s="255"/>
      <c r="S709" s="255"/>
    </row>
    <row r="710" spans="17:19">
      <c r="Q710" s="255"/>
      <c r="R710" s="255"/>
      <c r="S710" s="255"/>
    </row>
    <row r="711" spans="17:19">
      <c r="Q711" s="255"/>
      <c r="R711" s="255"/>
      <c r="S711" s="255"/>
    </row>
    <row r="712" spans="17:19">
      <c r="Q712" s="255"/>
      <c r="R712" s="255"/>
      <c r="S712" s="255"/>
    </row>
    <row r="713" spans="17:19">
      <c r="Q713" s="255"/>
      <c r="R713" s="255"/>
      <c r="S713" s="255"/>
    </row>
    <row r="714" spans="17:19">
      <c r="Q714" s="255"/>
      <c r="R714" s="255"/>
      <c r="S714" s="255"/>
    </row>
    <row r="715" spans="17:19">
      <c r="Q715" s="255"/>
      <c r="R715" s="255"/>
      <c r="S715" s="255"/>
    </row>
    <row r="716" spans="17:19">
      <c r="Q716" s="255"/>
      <c r="R716" s="255"/>
      <c r="S716" s="255"/>
    </row>
    <row r="717" spans="17:19">
      <c r="Q717" s="255"/>
      <c r="R717" s="255"/>
      <c r="S717" s="255"/>
    </row>
    <row r="718" spans="17:19">
      <c r="Q718" s="255"/>
      <c r="R718" s="255"/>
      <c r="S718" s="255"/>
    </row>
    <row r="719" spans="17:19">
      <c r="Q719" s="255"/>
      <c r="R719" s="255"/>
      <c r="S719" s="255"/>
    </row>
    <row r="720" spans="17:19">
      <c r="Q720" s="255"/>
      <c r="R720" s="255"/>
      <c r="S720" s="255"/>
    </row>
    <row r="721" spans="17:19">
      <c r="Q721" s="255"/>
      <c r="R721" s="255"/>
      <c r="S721" s="255"/>
    </row>
    <row r="722" spans="17:19">
      <c r="Q722" s="255"/>
      <c r="R722" s="255"/>
      <c r="S722" s="255"/>
    </row>
    <row r="723" spans="17:19">
      <c r="Q723" s="255"/>
      <c r="R723" s="255"/>
      <c r="S723" s="255"/>
    </row>
    <row r="724" spans="17:19">
      <c r="Q724" s="255"/>
      <c r="R724" s="255"/>
      <c r="S724" s="255"/>
    </row>
    <row r="725" spans="17:19">
      <c r="Q725" s="255"/>
      <c r="R725" s="255"/>
      <c r="S725" s="255"/>
    </row>
    <row r="726" spans="17:19">
      <c r="Q726" s="255"/>
      <c r="R726" s="255"/>
      <c r="S726" s="255"/>
    </row>
    <row r="727" spans="17:19">
      <c r="Q727" s="255"/>
      <c r="R727" s="255"/>
      <c r="S727" s="255"/>
    </row>
    <row r="728" spans="17:19">
      <c r="Q728" s="255"/>
      <c r="R728" s="255"/>
      <c r="S728" s="255"/>
    </row>
    <row r="729" spans="17:19">
      <c r="Q729" s="255"/>
      <c r="R729" s="255"/>
      <c r="S729" s="255"/>
    </row>
    <row r="730" spans="17:19">
      <c r="Q730" s="255"/>
      <c r="R730" s="255"/>
      <c r="S730" s="255"/>
    </row>
    <row r="731" spans="17:19">
      <c r="Q731" s="255"/>
      <c r="R731" s="255"/>
      <c r="S731" s="255"/>
    </row>
    <row r="732" spans="17:19">
      <c r="Q732" s="255"/>
      <c r="R732" s="255"/>
      <c r="S732" s="255"/>
    </row>
    <row r="733" spans="17:19">
      <c r="Q733" s="255"/>
      <c r="R733" s="255"/>
      <c r="S733" s="255"/>
    </row>
    <row r="734" spans="17:19">
      <c r="Q734" s="255"/>
      <c r="R734" s="255"/>
      <c r="S734" s="255"/>
    </row>
    <row r="735" spans="17:19">
      <c r="Q735" s="255"/>
      <c r="R735" s="255"/>
      <c r="S735" s="255"/>
    </row>
    <row r="736" spans="17:19">
      <c r="Q736" s="255"/>
      <c r="R736" s="255"/>
      <c r="S736" s="255"/>
    </row>
    <row r="737" spans="17:19">
      <c r="Q737" s="255"/>
      <c r="R737" s="255"/>
      <c r="S737" s="255"/>
    </row>
    <row r="738" spans="17:19">
      <c r="Q738" s="255"/>
      <c r="R738" s="255"/>
      <c r="S738" s="255"/>
    </row>
    <row r="739" spans="17:19">
      <c r="Q739" s="255"/>
      <c r="R739" s="255"/>
      <c r="S739" s="255"/>
    </row>
    <row r="740" spans="17:19">
      <c r="Q740" s="255"/>
      <c r="R740" s="255"/>
      <c r="S740" s="255"/>
    </row>
    <row r="741" spans="17:19">
      <c r="Q741" s="255"/>
      <c r="R741" s="255"/>
      <c r="S741" s="255"/>
    </row>
    <row r="742" spans="17:19">
      <c r="Q742" s="255"/>
      <c r="R742" s="255"/>
      <c r="S742" s="255"/>
    </row>
    <row r="743" spans="17:19">
      <c r="Q743" s="255"/>
      <c r="R743" s="255"/>
      <c r="S743" s="255"/>
    </row>
    <row r="744" spans="17:19">
      <c r="Q744" s="255"/>
      <c r="R744" s="255"/>
      <c r="S744" s="255"/>
    </row>
    <row r="745" spans="17:19">
      <c r="Q745" s="255"/>
      <c r="R745" s="255"/>
      <c r="S745" s="255"/>
    </row>
    <row r="746" spans="17:19">
      <c r="Q746" s="255"/>
      <c r="R746" s="255"/>
      <c r="S746" s="255"/>
    </row>
    <row r="747" spans="17:19">
      <c r="Q747" s="255"/>
      <c r="R747" s="255"/>
      <c r="S747" s="255"/>
    </row>
    <row r="748" spans="17:19">
      <c r="Q748" s="255"/>
      <c r="R748" s="255"/>
      <c r="S748" s="255"/>
    </row>
    <row r="749" spans="17:19">
      <c r="Q749" s="255"/>
      <c r="R749" s="255"/>
      <c r="S749" s="255"/>
    </row>
    <row r="750" spans="17:19">
      <c r="Q750" s="255"/>
      <c r="R750" s="255"/>
      <c r="S750" s="255"/>
    </row>
    <row r="751" spans="17:19">
      <c r="Q751" s="255"/>
      <c r="R751" s="255"/>
      <c r="S751" s="255"/>
    </row>
    <row r="752" spans="17:19">
      <c r="Q752" s="255"/>
      <c r="R752" s="255"/>
      <c r="S752" s="255"/>
    </row>
    <row r="753" spans="17:19">
      <c r="Q753" s="255"/>
      <c r="R753" s="255"/>
      <c r="S753" s="255"/>
    </row>
    <row r="754" spans="17:19">
      <c r="Q754" s="255"/>
      <c r="R754" s="255"/>
      <c r="S754" s="255"/>
    </row>
    <row r="755" spans="17:19">
      <c r="Q755" s="255"/>
      <c r="R755" s="255"/>
      <c r="S755" s="255"/>
    </row>
    <row r="756" spans="17:19">
      <c r="Q756" s="255"/>
      <c r="R756" s="255"/>
      <c r="S756" s="255"/>
    </row>
    <row r="757" spans="17:19">
      <c r="Q757" s="255"/>
      <c r="R757" s="255"/>
      <c r="S757" s="255"/>
    </row>
    <row r="758" spans="17:19">
      <c r="Q758" s="255"/>
      <c r="R758" s="255"/>
      <c r="S758" s="255"/>
    </row>
    <row r="759" spans="17:19">
      <c r="Q759" s="255"/>
      <c r="R759" s="255"/>
      <c r="S759" s="255"/>
    </row>
    <row r="760" spans="17:19">
      <c r="Q760" s="255"/>
      <c r="R760" s="255"/>
      <c r="S760" s="255"/>
    </row>
    <row r="761" spans="17:19">
      <c r="Q761" s="255"/>
      <c r="R761" s="255"/>
      <c r="S761" s="255"/>
    </row>
    <row r="762" spans="17:19">
      <c r="Q762" s="255"/>
      <c r="R762" s="255"/>
      <c r="S762" s="255"/>
    </row>
    <row r="763" spans="17:19">
      <c r="Q763" s="255"/>
      <c r="R763" s="255"/>
      <c r="S763" s="255"/>
    </row>
    <row r="764" spans="17:19">
      <c r="Q764" s="255"/>
      <c r="R764" s="255"/>
      <c r="S764" s="255"/>
    </row>
    <row r="765" spans="17:19">
      <c r="Q765" s="255"/>
      <c r="R765" s="255"/>
      <c r="S765" s="255"/>
    </row>
    <row r="766" spans="17:19">
      <c r="Q766" s="255"/>
      <c r="R766" s="255"/>
      <c r="S766" s="255"/>
    </row>
    <row r="767" spans="17:19">
      <c r="Q767" s="255"/>
      <c r="R767" s="255"/>
      <c r="S767" s="255"/>
    </row>
    <row r="768" spans="17:19">
      <c r="Q768" s="255"/>
      <c r="R768" s="255"/>
      <c r="S768" s="255"/>
    </row>
    <row r="769" spans="17:19">
      <c r="Q769" s="255"/>
      <c r="R769" s="255"/>
      <c r="S769" s="255"/>
    </row>
    <row r="770" spans="17:19">
      <c r="Q770" s="255"/>
      <c r="R770" s="255"/>
      <c r="S770" s="255"/>
    </row>
    <row r="771" spans="17:19">
      <c r="Q771" s="255"/>
      <c r="R771" s="255"/>
      <c r="S771" s="255"/>
    </row>
    <row r="772" spans="17:19">
      <c r="Q772" s="255"/>
      <c r="R772" s="255"/>
      <c r="S772" s="255"/>
    </row>
    <row r="773" spans="17:19">
      <c r="Q773" s="255"/>
      <c r="R773" s="255"/>
      <c r="S773" s="255"/>
    </row>
    <row r="774" spans="17:19">
      <c r="Q774" s="255"/>
      <c r="R774" s="255"/>
      <c r="S774" s="255"/>
    </row>
    <row r="775" spans="17:19">
      <c r="Q775" s="255"/>
      <c r="R775" s="255"/>
      <c r="S775" s="255"/>
    </row>
    <row r="776" spans="17:19">
      <c r="Q776" s="255"/>
      <c r="R776" s="255"/>
      <c r="S776" s="255"/>
    </row>
    <row r="777" spans="17:19">
      <c r="Q777" s="255"/>
      <c r="R777" s="255"/>
      <c r="S777" s="255"/>
    </row>
    <row r="778" spans="17:19">
      <c r="Q778" s="255"/>
      <c r="R778" s="255"/>
      <c r="S778" s="255"/>
    </row>
    <row r="779" spans="17:19">
      <c r="Q779" s="255"/>
      <c r="R779" s="255"/>
      <c r="S779" s="255"/>
    </row>
    <row r="780" spans="17:19">
      <c r="Q780" s="255"/>
      <c r="R780" s="255"/>
      <c r="S780" s="255"/>
    </row>
    <row r="781" spans="17:19">
      <c r="Q781" s="255"/>
      <c r="R781" s="255"/>
      <c r="S781" s="255"/>
    </row>
    <row r="782" spans="17:19">
      <c r="Q782" s="255"/>
      <c r="R782" s="255"/>
      <c r="S782" s="255"/>
    </row>
    <row r="783" spans="17:19">
      <c r="Q783" s="255"/>
      <c r="R783" s="255"/>
      <c r="S783" s="255"/>
    </row>
    <row r="784" spans="17:19">
      <c r="Q784" s="255"/>
      <c r="R784" s="255"/>
      <c r="S784" s="255"/>
    </row>
    <row r="785" spans="17:19">
      <c r="Q785" s="255"/>
      <c r="R785" s="255"/>
      <c r="S785" s="255"/>
    </row>
    <row r="786" spans="17:19">
      <c r="Q786" s="255"/>
      <c r="R786" s="255"/>
      <c r="S786" s="255"/>
    </row>
    <row r="787" spans="17:19">
      <c r="Q787" s="255"/>
      <c r="R787" s="255"/>
      <c r="S787" s="255"/>
    </row>
    <row r="788" spans="17:19">
      <c r="Q788" s="255"/>
      <c r="R788" s="255"/>
      <c r="S788" s="255"/>
    </row>
    <row r="789" spans="17:19">
      <c r="Q789" s="255"/>
      <c r="R789" s="255"/>
      <c r="S789" s="255"/>
    </row>
    <row r="790" spans="17:19">
      <c r="Q790" s="255"/>
      <c r="R790" s="255"/>
      <c r="S790" s="255"/>
    </row>
    <row r="791" spans="17:19">
      <c r="Q791" s="255"/>
      <c r="R791" s="255"/>
      <c r="S791" s="255"/>
    </row>
    <row r="792" spans="17:19">
      <c r="Q792" s="255"/>
      <c r="R792" s="255"/>
      <c r="S792" s="255"/>
    </row>
    <row r="793" spans="17:19">
      <c r="Q793" s="255"/>
      <c r="R793" s="255"/>
      <c r="S793" s="255"/>
    </row>
    <row r="794" spans="17:19">
      <c r="Q794" s="255"/>
      <c r="R794" s="255"/>
      <c r="S794" s="255"/>
    </row>
    <row r="795" spans="17:19">
      <c r="Q795" s="255"/>
      <c r="R795" s="255"/>
      <c r="S795" s="255"/>
    </row>
    <row r="796" spans="17:19">
      <c r="Q796" s="255"/>
      <c r="R796" s="255"/>
      <c r="S796" s="255"/>
    </row>
    <row r="797" spans="17:19">
      <c r="Q797" s="255"/>
      <c r="R797" s="255"/>
      <c r="S797" s="255"/>
    </row>
    <row r="798" spans="17:19">
      <c r="Q798" s="255"/>
      <c r="R798" s="255"/>
      <c r="S798" s="255"/>
    </row>
    <row r="799" spans="17:19">
      <c r="Q799" s="255"/>
      <c r="R799" s="255"/>
      <c r="S799" s="255"/>
    </row>
    <row r="800" spans="17:19">
      <c r="Q800" s="255"/>
      <c r="R800" s="255"/>
      <c r="S800" s="255"/>
    </row>
    <row r="801" spans="17:19">
      <c r="Q801" s="255"/>
      <c r="R801" s="255"/>
      <c r="S801" s="255"/>
    </row>
    <row r="802" spans="17:19">
      <c r="Q802" s="255"/>
      <c r="R802" s="255"/>
      <c r="S802" s="255"/>
    </row>
    <row r="803" spans="17:19">
      <c r="Q803" s="255"/>
      <c r="R803" s="255"/>
      <c r="S803" s="255"/>
    </row>
    <row r="804" spans="17:19">
      <c r="Q804" s="255"/>
      <c r="R804" s="255"/>
      <c r="S804" s="255"/>
    </row>
    <row r="805" spans="17:19">
      <c r="Q805" s="255"/>
      <c r="R805" s="255"/>
      <c r="S805" s="255"/>
    </row>
    <row r="806" spans="17:19">
      <c r="Q806" s="255"/>
      <c r="R806" s="255"/>
      <c r="S806" s="255"/>
    </row>
    <row r="807" spans="17:19">
      <c r="Q807" s="255"/>
      <c r="R807" s="255"/>
      <c r="S807" s="255"/>
    </row>
    <row r="808" spans="17:19">
      <c r="Q808" s="255"/>
      <c r="R808" s="255"/>
      <c r="S808" s="255"/>
    </row>
    <row r="809" spans="17:19">
      <c r="Q809" s="255"/>
      <c r="R809" s="255"/>
      <c r="S809" s="255"/>
    </row>
    <row r="810" spans="17:19">
      <c r="Q810" s="255"/>
      <c r="R810" s="255"/>
      <c r="S810" s="255"/>
    </row>
    <row r="811" spans="17:19">
      <c r="Q811" s="255"/>
      <c r="R811" s="255"/>
      <c r="S811" s="255"/>
    </row>
    <row r="812" spans="17:19">
      <c r="Q812" s="255"/>
      <c r="R812" s="255"/>
      <c r="S812" s="255"/>
    </row>
    <row r="813" spans="17:19">
      <c r="Q813" s="255"/>
      <c r="R813" s="255"/>
      <c r="S813" s="255"/>
    </row>
    <row r="814" spans="17:19">
      <c r="Q814" s="255"/>
      <c r="R814" s="255"/>
      <c r="S814" s="255"/>
    </row>
    <row r="815" spans="17:19">
      <c r="Q815" s="255"/>
      <c r="R815" s="255"/>
      <c r="S815" s="255"/>
    </row>
    <row r="816" spans="17:19">
      <c r="Q816" s="255"/>
      <c r="R816" s="255"/>
      <c r="S816" s="255"/>
    </row>
    <row r="817" spans="17:19">
      <c r="Q817" s="255"/>
      <c r="R817" s="255"/>
      <c r="S817" s="255"/>
    </row>
    <row r="818" spans="17:19">
      <c r="Q818" s="255"/>
      <c r="R818" s="255"/>
      <c r="S818" s="255"/>
    </row>
    <row r="819" spans="17:19">
      <c r="Q819" s="255"/>
      <c r="R819" s="255"/>
      <c r="S819" s="255"/>
    </row>
    <row r="820" spans="17:19">
      <c r="Q820" s="255"/>
      <c r="R820" s="255"/>
      <c r="S820" s="255"/>
    </row>
    <row r="821" spans="17:19">
      <c r="Q821" s="255"/>
      <c r="R821" s="255"/>
      <c r="S821" s="255"/>
    </row>
    <row r="822" spans="17:19">
      <c r="Q822" s="255"/>
      <c r="R822" s="255"/>
      <c r="S822" s="255"/>
    </row>
    <row r="823" spans="17:19">
      <c r="Q823" s="255"/>
      <c r="R823" s="255"/>
      <c r="S823" s="255"/>
    </row>
    <row r="824" spans="17:19">
      <c r="Q824" s="255"/>
      <c r="R824" s="255"/>
      <c r="S824" s="255"/>
    </row>
    <row r="825" spans="17:19">
      <c r="Q825" s="255"/>
      <c r="R825" s="255"/>
      <c r="S825" s="255"/>
    </row>
    <row r="826" spans="17:19">
      <c r="Q826" s="255"/>
      <c r="R826" s="255"/>
      <c r="S826" s="255"/>
    </row>
    <row r="827" spans="17:19">
      <c r="Q827" s="255"/>
      <c r="R827" s="255"/>
      <c r="S827" s="255"/>
    </row>
    <row r="828" spans="17:19">
      <c r="Q828" s="255"/>
      <c r="R828" s="255"/>
      <c r="S828" s="255"/>
    </row>
    <row r="829" spans="17:19">
      <c r="Q829" s="255"/>
      <c r="R829" s="255"/>
      <c r="S829" s="255"/>
    </row>
    <row r="830" spans="17:19">
      <c r="Q830" s="255"/>
      <c r="R830" s="255"/>
      <c r="S830" s="255"/>
    </row>
    <row r="831" spans="17:19">
      <c r="Q831" s="255"/>
      <c r="R831" s="255"/>
      <c r="S831" s="255"/>
    </row>
    <row r="832" spans="17:19">
      <c r="Q832" s="255"/>
      <c r="R832" s="255"/>
      <c r="S832" s="255"/>
    </row>
    <row r="833" spans="17:19">
      <c r="Q833" s="255"/>
      <c r="R833" s="255"/>
      <c r="S833" s="255"/>
    </row>
    <row r="834" spans="17:19">
      <c r="Q834" s="255"/>
      <c r="R834" s="255"/>
      <c r="S834" s="255"/>
    </row>
    <row r="835" spans="17:19">
      <c r="Q835" s="255"/>
      <c r="R835" s="255"/>
      <c r="S835" s="255"/>
    </row>
    <row r="836" spans="17:19">
      <c r="Q836" s="255"/>
      <c r="R836" s="255"/>
      <c r="S836" s="255"/>
    </row>
    <row r="837" spans="17:19">
      <c r="Q837" s="255"/>
      <c r="R837" s="255"/>
      <c r="S837" s="255"/>
    </row>
    <row r="838" spans="17:19">
      <c r="Q838" s="255"/>
      <c r="R838" s="255"/>
      <c r="S838" s="255"/>
    </row>
    <row r="839" spans="17:19">
      <c r="Q839" s="255"/>
      <c r="R839" s="255"/>
      <c r="S839" s="255"/>
    </row>
    <row r="840" spans="17:19">
      <c r="Q840" s="255"/>
      <c r="R840" s="255"/>
      <c r="S840" s="255"/>
    </row>
    <row r="841" spans="17:19">
      <c r="Q841" s="255"/>
      <c r="R841" s="255"/>
      <c r="S841" s="255"/>
    </row>
    <row r="842" spans="17:19">
      <c r="Q842" s="255"/>
      <c r="R842" s="255"/>
      <c r="S842" s="255"/>
    </row>
    <row r="843" spans="17:19">
      <c r="Q843" s="255"/>
      <c r="R843" s="255"/>
      <c r="S843" s="255"/>
    </row>
    <row r="844" spans="17:19">
      <c r="Q844" s="255"/>
      <c r="R844" s="255"/>
      <c r="S844" s="255"/>
    </row>
    <row r="845" spans="17:19">
      <c r="Q845" s="255"/>
      <c r="R845" s="255"/>
      <c r="S845" s="255"/>
    </row>
    <row r="846" spans="17:19">
      <c r="Q846" s="255"/>
      <c r="R846" s="255"/>
      <c r="S846" s="255"/>
    </row>
    <row r="847" spans="17:19">
      <c r="Q847" s="255"/>
      <c r="R847" s="255"/>
      <c r="S847" s="255"/>
    </row>
    <row r="848" spans="17:19">
      <c r="Q848" s="255"/>
      <c r="R848" s="255"/>
      <c r="S848" s="255"/>
    </row>
    <row r="849" spans="17:19">
      <c r="Q849" s="255"/>
      <c r="R849" s="255"/>
      <c r="S849" s="255"/>
    </row>
    <row r="850" spans="17:19">
      <c r="Q850" s="255"/>
      <c r="R850" s="255"/>
      <c r="S850" s="255"/>
    </row>
    <row r="851" spans="17:19">
      <c r="Q851" s="255"/>
      <c r="R851" s="255"/>
      <c r="S851" s="255"/>
    </row>
    <row r="852" spans="17:19">
      <c r="Q852" s="255"/>
      <c r="R852" s="255"/>
      <c r="S852" s="255"/>
    </row>
    <row r="853" spans="17:19">
      <c r="Q853" s="255"/>
      <c r="R853" s="255"/>
      <c r="S853" s="255"/>
    </row>
    <row r="854" spans="17:19">
      <c r="Q854" s="255"/>
      <c r="R854" s="255"/>
      <c r="S854" s="255"/>
    </row>
    <row r="855" spans="17:19">
      <c r="Q855" s="255"/>
      <c r="R855" s="255"/>
      <c r="S855" s="255"/>
    </row>
    <row r="856" spans="17:19">
      <c r="Q856" s="255"/>
      <c r="R856" s="255"/>
      <c r="S856" s="255"/>
    </row>
    <row r="857" spans="17:19">
      <c r="Q857" s="255"/>
      <c r="R857" s="255"/>
      <c r="S857" s="255"/>
    </row>
    <row r="858" spans="17:19">
      <c r="Q858" s="255"/>
      <c r="R858" s="255"/>
      <c r="S858" s="255"/>
    </row>
    <row r="859" spans="17:19">
      <c r="Q859" s="255"/>
      <c r="R859" s="255"/>
      <c r="S859" s="255"/>
    </row>
    <row r="860" spans="17:19">
      <c r="Q860" s="255"/>
      <c r="R860" s="255"/>
      <c r="S860" s="255"/>
    </row>
    <row r="861" spans="17:19">
      <c r="Q861" s="255"/>
      <c r="R861" s="255"/>
      <c r="S861" s="255"/>
    </row>
    <row r="862" spans="17:19">
      <c r="Q862" s="255"/>
      <c r="R862" s="255"/>
      <c r="S862" s="255"/>
    </row>
    <row r="863" spans="17:19">
      <c r="Q863" s="255"/>
      <c r="R863" s="255"/>
      <c r="S863" s="255"/>
    </row>
    <row r="864" spans="17:19">
      <c r="Q864" s="255"/>
      <c r="R864" s="255"/>
      <c r="S864" s="255"/>
    </row>
    <row r="865" spans="17:19">
      <c r="Q865" s="255"/>
      <c r="R865" s="255"/>
      <c r="S865" s="255"/>
    </row>
    <row r="866" spans="17:19">
      <c r="Q866" s="255"/>
      <c r="R866" s="255"/>
      <c r="S866" s="255"/>
    </row>
    <row r="867" spans="17:19">
      <c r="Q867" s="255"/>
      <c r="R867" s="255"/>
      <c r="S867" s="255"/>
    </row>
    <row r="868" spans="17:19">
      <c r="Q868" s="255"/>
      <c r="R868" s="255"/>
      <c r="S868" s="255"/>
    </row>
    <row r="869" spans="17:19">
      <c r="Q869" s="255"/>
      <c r="R869" s="255"/>
      <c r="S869" s="255"/>
    </row>
    <row r="870" spans="17:19">
      <c r="Q870" s="255"/>
      <c r="R870" s="255"/>
      <c r="S870" s="255"/>
    </row>
    <row r="871" spans="17:19">
      <c r="Q871" s="255"/>
      <c r="R871" s="255"/>
      <c r="S871" s="255"/>
    </row>
    <row r="872" spans="17:19">
      <c r="Q872" s="255"/>
      <c r="R872" s="255"/>
      <c r="S872" s="255"/>
    </row>
    <row r="873" spans="17:19">
      <c r="Q873" s="255"/>
      <c r="R873" s="255"/>
      <c r="S873" s="255"/>
    </row>
    <row r="874" spans="17:19">
      <c r="Q874" s="255"/>
      <c r="R874" s="255"/>
      <c r="S874" s="255"/>
    </row>
    <row r="875" spans="17:19">
      <c r="Q875" s="255"/>
      <c r="R875" s="255"/>
      <c r="S875" s="255"/>
    </row>
    <row r="876" spans="17:19">
      <c r="Q876" s="255"/>
      <c r="R876" s="255"/>
      <c r="S876" s="255"/>
    </row>
    <row r="877" spans="17:19">
      <c r="Q877" s="255"/>
      <c r="R877" s="255"/>
      <c r="S877" s="255"/>
    </row>
    <row r="878" spans="17:19">
      <c r="Q878" s="255"/>
      <c r="R878" s="255"/>
      <c r="S878" s="255"/>
    </row>
    <row r="879" spans="17:19">
      <c r="Q879" s="255"/>
      <c r="R879" s="255"/>
      <c r="S879" s="255"/>
    </row>
    <row r="880" spans="17:19">
      <c r="Q880" s="255"/>
      <c r="R880" s="255"/>
      <c r="S880" s="255"/>
    </row>
    <row r="881" spans="17:19">
      <c r="Q881" s="255"/>
      <c r="R881" s="255"/>
      <c r="S881" s="255"/>
    </row>
    <row r="882" spans="17:19">
      <c r="Q882" s="255"/>
      <c r="R882" s="255"/>
      <c r="S882" s="255"/>
    </row>
    <row r="883" spans="17:19">
      <c r="Q883" s="255"/>
      <c r="R883" s="255"/>
      <c r="S883" s="255"/>
    </row>
    <row r="884" spans="17:19">
      <c r="Q884" s="255"/>
      <c r="R884" s="255"/>
      <c r="S884" s="255"/>
    </row>
    <row r="885" spans="17:19">
      <c r="Q885" s="255"/>
      <c r="R885" s="255"/>
      <c r="S885" s="255"/>
    </row>
    <row r="886" spans="17:19">
      <c r="Q886" s="255"/>
      <c r="R886" s="255"/>
      <c r="S886" s="255"/>
    </row>
    <row r="887" spans="17:19">
      <c r="Q887" s="255"/>
      <c r="R887" s="255"/>
      <c r="S887" s="255"/>
    </row>
    <row r="888" spans="17:19">
      <c r="Q888" s="255"/>
      <c r="R888" s="255"/>
      <c r="S888" s="255"/>
    </row>
    <row r="889" spans="17:19">
      <c r="Q889" s="255"/>
      <c r="R889" s="255"/>
      <c r="S889" s="255"/>
    </row>
    <row r="890" spans="17:19">
      <c r="Q890" s="255"/>
      <c r="R890" s="255"/>
      <c r="S890" s="255"/>
    </row>
    <row r="891" spans="17:19">
      <c r="Q891" s="255"/>
      <c r="R891" s="255"/>
      <c r="S891" s="255"/>
    </row>
    <row r="892" spans="17:19">
      <c r="Q892" s="255"/>
      <c r="R892" s="255"/>
      <c r="S892" s="255"/>
    </row>
    <row r="893" spans="17:19">
      <c r="Q893" s="255"/>
      <c r="R893" s="255"/>
      <c r="S893" s="255"/>
    </row>
    <row r="894" spans="17:19">
      <c r="Q894" s="255"/>
      <c r="R894" s="255"/>
      <c r="S894" s="255"/>
    </row>
    <row r="895" spans="17:19">
      <c r="Q895" s="255"/>
      <c r="R895" s="255"/>
      <c r="S895" s="255"/>
    </row>
    <row r="896" spans="17:19">
      <c r="Q896" s="255"/>
      <c r="R896" s="255"/>
      <c r="S896" s="255"/>
    </row>
    <row r="897" spans="17:19">
      <c r="Q897" s="255"/>
      <c r="R897" s="255"/>
      <c r="S897" s="255"/>
    </row>
    <row r="898" spans="17:19">
      <c r="Q898" s="255"/>
      <c r="R898" s="255"/>
      <c r="S898" s="255"/>
    </row>
    <row r="899" spans="17:19">
      <c r="Q899" s="255"/>
      <c r="R899" s="255"/>
      <c r="S899" s="255"/>
    </row>
    <row r="900" spans="17:19">
      <c r="Q900" s="255"/>
      <c r="R900" s="255"/>
      <c r="S900" s="255"/>
    </row>
    <row r="901" spans="17:19">
      <c r="Q901" s="255"/>
      <c r="R901" s="255"/>
      <c r="S901" s="255"/>
    </row>
    <row r="902" spans="17:19">
      <c r="Q902" s="255"/>
      <c r="R902" s="255"/>
      <c r="S902" s="255"/>
    </row>
    <row r="903" spans="17:19">
      <c r="Q903" s="255"/>
      <c r="R903" s="255"/>
      <c r="S903" s="255"/>
    </row>
    <row r="904" spans="17:19">
      <c r="Q904" s="255"/>
      <c r="R904" s="255"/>
      <c r="S904" s="255"/>
    </row>
    <row r="905" spans="17:19">
      <c r="Q905" s="255"/>
      <c r="R905" s="255"/>
      <c r="S905" s="255"/>
    </row>
    <row r="906" spans="17:19">
      <c r="Q906" s="255"/>
      <c r="R906" s="255"/>
      <c r="S906" s="255"/>
    </row>
    <row r="907" spans="17:19">
      <c r="Q907" s="255"/>
      <c r="R907" s="255"/>
      <c r="S907" s="255"/>
    </row>
    <row r="908" spans="17:19">
      <c r="Q908" s="255"/>
      <c r="R908" s="255"/>
      <c r="S908" s="255"/>
    </row>
    <row r="909" spans="17:19">
      <c r="Q909" s="255"/>
      <c r="R909" s="255"/>
      <c r="S909" s="255"/>
    </row>
    <row r="910" spans="17:19">
      <c r="Q910" s="255"/>
      <c r="R910" s="255"/>
      <c r="S910" s="255"/>
    </row>
    <row r="911" spans="17:19">
      <c r="Q911" s="255"/>
      <c r="R911" s="255"/>
      <c r="S911" s="255"/>
    </row>
    <row r="912" spans="17:19">
      <c r="Q912" s="255"/>
      <c r="R912" s="255"/>
      <c r="S912" s="255"/>
    </row>
    <row r="913" spans="17:19">
      <c r="Q913" s="255"/>
      <c r="R913" s="255"/>
      <c r="S913" s="255"/>
    </row>
    <row r="914" spans="17:19">
      <c r="Q914" s="255"/>
      <c r="R914" s="255"/>
      <c r="S914" s="255"/>
    </row>
    <row r="915" spans="17:19">
      <c r="Q915" s="255"/>
      <c r="R915" s="255"/>
      <c r="S915" s="255"/>
    </row>
    <row r="916" spans="17:19">
      <c r="Q916" s="255"/>
      <c r="R916" s="255"/>
      <c r="S916" s="255"/>
    </row>
    <row r="917" spans="17:19">
      <c r="Q917" s="255"/>
      <c r="R917" s="255"/>
      <c r="S917" s="255"/>
    </row>
    <row r="918" spans="17:19">
      <c r="Q918" s="255"/>
      <c r="R918" s="255"/>
      <c r="S918" s="255"/>
    </row>
    <row r="919" spans="17:19">
      <c r="Q919" s="255"/>
      <c r="R919" s="255"/>
      <c r="S919" s="255"/>
    </row>
    <row r="920" spans="17:19">
      <c r="Q920" s="255"/>
      <c r="R920" s="255"/>
      <c r="S920" s="255"/>
    </row>
    <row r="921" spans="17:19">
      <c r="Q921" s="255"/>
      <c r="R921" s="255"/>
      <c r="S921" s="255"/>
    </row>
    <row r="922" spans="17:19">
      <c r="Q922" s="255"/>
      <c r="R922" s="255"/>
      <c r="S922" s="255"/>
    </row>
    <row r="923" spans="17:19">
      <c r="Q923" s="255"/>
      <c r="R923" s="255"/>
      <c r="S923" s="255"/>
    </row>
    <row r="924" spans="17:19">
      <c r="Q924" s="255"/>
      <c r="R924" s="255"/>
      <c r="S924" s="255"/>
    </row>
    <row r="925" spans="17:19">
      <c r="Q925" s="255"/>
      <c r="R925" s="255"/>
      <c r="S925" s="255"/>
    </row>
    <row r="926" spans="17:19">
      <c r="Q926" s="255"/>
      <c r="R926" s="255"/>
      <c r="S926" s="255"/>
    </row>
    <row r="927" spans="17:19">
      <c r="Q927" s="255"/>
      <c r="R927" s="255"/>
      <c r="S927" s="255"/>
    </row>
    <row r="928" spans="17:19">
      <c r="Q928" s="255"/>
      <c r="R928" s="255"/>
      <c r="S928" s="255"/>
    </row>
    <row r="929" spans="17:19">
      <c r="Q929" s="255"/>
      <c r="R929" s="255"/>
      <c r="S929" s="255"/>
    </row>
    <row r="930" spans="17:19">
      <c r="Q930" s="255"/>
      <c r="R930" s="255"/>
      <c r="S930" s="255"/>
    </row>
    <row r="931" spans="17:19">
      <c r="Q931" s="255"/>
      <c r="R931" s="255"/>
      <c r="S931" s="255"/>
    </row>
    <row r="932" spans="17:19">
      <c r="Q932" s="255"/>
      <c r="R932" s="255"/>
      <c r="S932" s="255"/>
    </row>
    <row r="933" spans="17:19">
      <c r="Q933" s="255"/>
      <c r="R933" s="255"/>
      <c r="S933" s="255"/>
    </row>
    <row r="934" spans="17:19">
      <c r="Q934" s="255"/>
      <c r="R934" s="255"/>
      <c r="S934" s="255"/>
    </row>
    <row r="935" spans="17:19">
      <c r="Q935" s="255"/>
      <c r="R935" s="255"/>
      <c r="S935" s="255"/>
    </row>
    <row r="936" spans="17:19">
      <c r="Q936" s="255"/>
      <c r="R936" s="255"/>
      <c r="S936" s="255"/>
    </row>
    <row r="937" spans="17:19">
      <c r="Q937" s="255"/>
      <c r="R937" s="255"/>
      <c r="S937" s="255"/>
    </row>
    <row r="938" spans="17:19">
      <c r="Q938" s="255"/>
      <c r="R938" s="255"/>
      <c r="S938" s="255"/>
    </row>
    <row r="939" spans="17:19">
      <c r="Q939" s="255"/>
      <c r="R939" s="255"/>
      <c r="S939" s="255"/>
    </row>
    <row r="940" spans="17:19">
      <c r="Q940" s="255"/>
      <c r="R940" s="255"/>
      <c r="S940" s="255"/>
    </row>
    <row r="941" spans="17:19">
      <c r="Q941" s="255"/>
      <c r="R941" s="255"/>
      <c r="S941" s="255"/>
    </row>
    <row r="942" spans="17:19">
      <c r="Q942" s="255"/>
      <c r="R942" s="255"/>
      <c r="S942" s="255"/>
    </row>
    <row r="943" spans="17:19">
      <c r="Q943" s="255"/>
      <c r="R943" s="255"/>
      <c r="S943" s="255"/>
    </row>
    <row r="944" spans="17:19">
      <c r="Q944" s="255"/>
      <c r="R944" s="255"/>
      <c r="S944" s="255"/>
    </row>
    <row r="945" spans="17:19">
      <c r="Q945" s="255"/>
      <c r="R945" s="255"/>
      <c r="S945" s="255"/>
    </row>
    <row r="946" spans="17:19">
      <c r="Q946" s="255"/>
      <c r="R946" s="255"/>
      <c r="S946" s="255"/>
    </row>
    <row r="947" spans="17:19">
      <c r="Q947" s="255"/>
      <c r="R947" s="255"/>
      <c r="S947" s="255"/>
    </row>
    <row r="948" spans="17:19">
      <c r="Q948" s="255"/>
      <c r="R948" s="255"/>
      <c r="S948" s="255"/>
    </row>
    <row r="949" spans="17:19">
      <c r="Q949" s="255"/>
      <c r="R949" s="255"/>
      <c r="S949" s="255"/>
    </row>
    <row r="950" spans="17:19">
      <c r="Q950" s="255"/>
      <c r="R950" s="255"/>
      <c r="S950" s="255"/>
    </row>
    <row r="951" spans="17:19">
      <c r="Q951" s="255"/>
      <c r="R951" s="255"/>
      <c r="S951" s="255"/>
    </row>
    <row r="952" spans="17:19">
      <c r="Q952" s="255"/>
      <c r="R952" s="255"/>
      <c r="S952" s="255"/>
    </row>
    <row r="953" spans="17:19">
      <c r="Q953" s="255"/>
      <c r="R953" s="255"/>
      <c r="S953" s="255"/>
    </row>
    <row r="954" spans="17:19">
      <c r="Q954" s="255"/>
      <c r="R954" s="255"/>
      <c r="S954" s="255"/>
    </row>
    <row r="955" spans="17:19">
      <c r="Q955" s="255"/>
      <c r="R955" s="255"/>
      <c r="S955" s="255"/>
    </row>
    <row r="956" spans="17:19">
      <c r="Q956" s="255"/>
      <c r="R956" s="255"/>
      <c r="S956" s="255"/>
    </row>
    <row r="957" spans="17:19">
      <c r="Q957" s="255"/>
      <c r="R957" s="255"/>
      <c r="S957" s="255"/>
    </row>
    <row r="958" spans="17:19">
      <c r="Q958" s="255"/>
      <c r="R958" s="255"/>
      <c r="S958" s="255"/>
    </row>
    <row r="959" spans="17:19">
      <c r="Q959" s="255"/>
      <c r="R959" s="255"/>
      <c r="S959" s="255"/>
    </row>
    <row r="960" spans="17:19">
      <c r="Q960" s="255"/>
      <c r="R960" s="255"/>
      <c r="S960" s="255"/>
    </row>
    <row r="961" spans="17:19">
      <c r="Q961" s="255"/>
      <c r="R961" s="255"/>
      <c r="S961" s="255"/>
    </row>
    <row r="962" spans="17:19">
      <c r="Q962" s="255"/>
      <c r="R962" s="255"/>
      <c r="S962" s="255"/>
    </row>
    <row r="963" spans="17:19">
      <c r="Q963" s="255"/>
      <c r="R963" s="255"/>
      <c r="S963" s="255"/>
    </row>
    <row r="964" spans="17:19">
      <c r="Q964" s="255"/>
      <c r="R964" s="255"/>
      <c r="S964" s="255"/>
    </row>
    <row r="965" spans="17:19">
      <c r="Q965" s="255"/>
      <c r="R965" s="255"/>
      <c r="S965" s="255"/>
    </row>
    <row r="966" spans="17:19">
      <c r="Q966" s="255"/>
      <c r="R966" s="255"/>
      <c r="S966" s="255"/>
    </row>
    <row r="967" spans="17:19">
      <c r="Q967" s="255"/>
      <c r="R967" s="255"/>
      <c r="S967" s="255"/>
    </row>
    <row r="968" spans="17:19">
      <c r="Q968" s="255"/>
      <c r="R968" s="255"/>
      <c r="S968" s="255"/>
    </row>
    <row r="969" spans="17:19">
      <c r="Q969" s="255"/>
      <c r="R969" s="255"/>
      <c r="S969" s="255"/>
    </row>
    <row r="970" spans="17:19">
      <c r="Q970" s="255"/>
      <c r="R970" s="255"/>
      <c r="S970" s="255"/>
    </row>
    <row r="971" spans="17:19">
      <c r="Q971" s="255"/>
      <c r="R971" s="255"/>
      <c r="S971" s="255"/>
    </row>
    <row r="972" spans="17:19">
      <c r="Q972" s="255"/>
      <c r="R972" s="255"/>
      <c r="S972" s="255"/>
    </row>
    <row r="973" spans="17:19">
      <c r="Q973" s="255"/>
      <c r="R973" s="255"/>
      <c r="S973" s="255"/>
    </row>
    <row r="974" spans="17:19">
      <c r="Q974" s="255"/>
      <c r="R974" s="255"/>
      <c r="S974" s="255"/>
    </row>
    <row r="975" spans="17:19">
      <c r="Q975" s="255"/>
      <c r="R975" s="255"/>
      <c r="S975" s="255"/>
    </row>
    <row r="976" spans="17:19">
      <c r="Q976" s="255"/>
      <c r="R976" s="255"/>
      <c r="S976" s="255"/>
    </row>
    <row r="977" spans="17:19">
      <c r="Q977" s="255"/>
      <c r="R977" s="255"/>
      <c r="S977" s="255"/>
    </row>
    <row r="978" spans="17:19">
      <c r="Q978" s="255"/>
      <c r="R978" s="255"/>
      <c r="S978" s="255"/>
    </row>
    <row r="979" spans="17:19">
      <c r="Q979" s="255"/>
      <c r="R979" s="255"/>
      <c r="S979" s="255"/>
    </row>
    <row r="980" spans="17:19">
      <c r="Q980" s="255"/>
      <c r="R980" s="255"/>
      <c r="S980" s="255"/>
    </row>
    <row r="981" spans="17:19">
      <c r="Q981" s="255"/>
      <c r="R981" s="255"/>
      <c r="S981" s="255"/>
    </row>
    <row r="982" spans="17:19">
      <c r="Q982" s="255"/>
      <c r="R982" s="255"/>
      <c r="S982" s="255"/>
    </row>
    <row r="983" spans="17:19">
      <c r="Q983" s="255"/>
      <c r="R983" s="255"/>
      <c r="S983" s="255"/>
    </row>
    <row r="984" spans="17:19">
      <c r="Q984" s="255"/>
      <c r="R984" s="255"/>
      <c r="S984" s="255"/>
    </row>
    <row r="985" spans="17:19">
      <c r="Q985" s="255"/>
      <c r="R985" s="255"/>
      <c r="S985" s="255"/>
    </row>
    <row r="986" spans="17:19">
      <c r="Q986" s="255"/>
      <c r="R986" s="255"/>
      <c r="S986" s="255"/>
    </row>
    <row r="987" spans="17:19">
      <c r="Q987" s="255"/>
      <c r="R987" s="255"/>
      <c r="S987" s="255"/>
    </row>
    <row r="988" spans="17:19">
      <c r="Q988" s="255"/>
      <c r="R988" s="255"/>
      <c r="S988" s="255"/>
    </row>
    <row r="989" spans="17:19">
      <c r="Q989" s="255"/>
      <c r="R989" s="255"/>
      <c r="S989" s="255"/>
    </row>
    <row r="990" spans="17:19">
      <c r="Q990" s="255"/>
      <c r="R990" s="255"/>
      <c r="S990" s="255"/>
    </row>
    <row r="991" spans="17:19">
      <c r="Q991" s="255"/>
      <c r="R991" s="255"/>
      <c r="S991" s="255"/>
    </row>
    <row r="992" spans="17:19">
      <c r="Q992" s="255"/>
      <c r="R992" s="255"/>
      <c r="S992" s="255"/>
    </row>
    <row r="993" spans="17:19">
      <c r="Q993" s="255"/>
      <c r="R993" s="255"/>
      <c r="S993" s="255"/>
    </row>
    <row r="994" spans="17:19">
      <c r="Q994" s="255"/>
      <c r="R994" s="255"/>
      <c r="S994" s="255"/>
    </row>
    <row r="995" spans="17:19">
      <c r="Q995" s="255"/>
      <c r="R995" s="255"/>
      <c r="S995" s="255"/>
    </row>
    <row r="996" spans="17:19">
      <c r="Q996" s="255"/>
      <c r="R996" s="255"/>
      <c r="S996" s="255"/>
    </row>
    <row r="997" spans="17:19">
      <c r="Q997" s="255"/>
      <c r="R997" s="255"/>
      <c r="S997" s="255"/>
    </row>
    <row r="998" spans="17:19">
      <c r="Q998" s="255"/>
      <c r="R998" s="255"/>
      <c r="S998" s="255"/>
    </row>
    <row r="999" spans="17:19">
      <c r="Q999" s="255"/>
      <c r="R999" s="255"/>
      <c r="S999" s="255"/>
    </row>
    <row r="1000" spans="17:19">
      <c r="Q1000" s="255"/>
      <c r="R1000" s="255"/>
      <c r="S1000" s="255"/>
    </row>
    <row r="1001" spans="17:19">
      <c r="Q1001" s="255"/>
      <c r="R1001" s="255"/>
      <c r="S1001" s="255"/>
    </row>
    <row r="1002" spans="17:19">
      <c r="Q1002" s="255"/>
      <c r="R1002" s="255"/>
      <c r="S1002" s="255"/>
    </row>
    <row r="1003" spans="17:19">
      <c r="Q1003" s="255"/>
      <c r="R1003" s="255"/>
      <c r="S1003" s="255"/>
    </row>
    <row r="1004" spans="17:19">
      <c r="Q1004" s="255"/>
      <c r="R1004" s="255"/>
      <c r="S1004" s="255"/>
    </row>
  </sheetData>
  <mergeCells count="2">
    <mergeCell ref="M1:O1"/>
    <mergeCell ref="D9:F9"/>
  </mergeCells>
  <pageMargins left="0.75" right="0.75" top="1" bottom="1" header="0.5" footer="0.5"/>
  <pageSetup orientation="landscape"/>
  <headerFooter alignWithMargins="0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 enableFormatConditionsCalculation="0"/>
  <dimension ref="A1:AF289"/>
  <sheetViews>
    <sheetView tabSelected="1" zoomScale="120" zoomScaleNormal="120" zoomScalePageLayoutView="120" workbookViewId="0">
      <pane xSplit="7" ySplit="2" topLeftCell="W3" activePane="bottomRight" state="frozenSplit"/>
      <selection pane="topRight" activeCell="J1" sqref="J1"/>
      <selection pane="bottomLeft" activeCell="A13" sqref="A13"/>
      <selection pane="bottomRight" activeCell="F278" sqref="F278"/>
    </sheetView>
  </sheetViews>
  <sheetFormatPr baseColWidth="10" defaultColWidth="8.83203125" defaultRowHeight="14" x14ac:dyDescent="0"/>
  <cols>
    <col min="1" max="1" width="7.1640625" customWidth="1"/>
    <col min="2" max="3" width="9.5" customWidth="1"/>
    <col min="4" max="4" width="7.6640625" bestFit="1" customWidth="1"/>
    <col min="5" max="5" width="11.83203125" customWidth="1"/>
    <col min="6" max="6" width="14.5" customWidth="1"/>
    <col min="7" max="7" width="13.1640625" customWidth="1"/>
    <col min="8" max="11" width="16.83203125" style="12" customWidth="1"/>
    <col min="12" max="12" width="15.83203125" bestFit="1" customWidth="1"/>
    <col min="13" max="13" width="14.6640625" bestFit="1" customWidth="1"/>
    <col min="14" max="14" width="13" customWidth="1"/>
    <col min="15" max="16" width="22.5" customWidth="1"/>
    <col min="17" max="17" width="13.83203125" bestFit="1" customWidth="1"/>
    <col min="18" max="18" width="13.83203125" customWidth="1"/>
    <col min="19" max="19" width="10.6640625" bestFit="1" customWidth="1"/>
    <col min="20" max="20" width="15.83203125" customWidth="1"/>
    <col min="21" max="21" width="15.6640625" bestFit="1" customWidth="1"/>
    <col min="22" max="22" width="15.6640625" style="376" customWidth="1"/>
    <col min="23" max="23" width="13.5" customWidth="1"/>
    <col min="24" max="24" width="13.5" style="376" customWidth="1"/>
    <col min="25" max="25" width="16.83203125" customWidth="1"/>
    <col min="26" max="26" width="13" customWidth="1"/>
    <col min="27" max="27" width="15.83203125" customWidth="1"/>
    <col min="28" max="28" width="12.6640625" customWidth="1"/>
    <col min="29" max="30" width="15.5" customWidth="1"/>
    <col min="31" max="32" width="13.33203125" customWidth="1"/>
  </cols>
  <sheetData>
    <row r="1" spans="1:32" s="4" customFormat="1" ht="43.25" customHeight="1">
      <c r="A1" s="268" t="s">
        <v>1030</v>
      </c>
      <c r="B1" s="4" t="s">
        <v>751</v>
      </c>
      <c r="C1" s="268" t="s">
        <v>14</v>
      </c>
      <c r="D1" s="268" t="s">
        <v>1031</v>
      </c>
      <c r="E1" s="268" t="s">
        <v>759</v>
      </c>
      <c r="F1" s="268" t="s">
        <v>1032</v>
      </c>
      <c r="G1" s="268" t="s">
        <v>1033</v>
      </c>
      <c r="H1" s="269" t="s">
        <v>1034</v>
      </c>
      <c r="I1" s="409" t="s">
        <v>1035</v>
      </c>
      <c r="J1" s="410"/>
      <c r="K1" s="269" t="s">
        <v>1036</v>
      </c>
      <c r="L1" s="411" t="s">
        <v>1128</v>
      </c>
      <c r="M1" s="412"/>
      <c r="N1" s="270" t="s">
        <v>1126</v>
      </c>
      <c r="O1" s="270" t="s">
        <v>1127</v>
      </c>
      <c r="P1" s="368" t="s">
        <v>1043</v>
      </c>
      <c r="Q1" s="407" t="s">
        <v>1037</v>
      </c>
      <c r="R1" s="407"/>
      <c r="S1" s="407" t="s">
        <v>1038</v>
      </c>
      <c r="T1" s="407"/>
      <c r="U1" s="407" t="s">
        <v>1039</v>
      </c>
      <c r="V1" s="407"/>
      <c r="W1" s="407" t="s">
        <v>1041</v>
      </c>
      <c r="X1" s="408"/>
      <c r="Y1" s="334" t="s">
        <v>1042</v>
      </c>
      <c r="Z1" s="271" t="s">
        <v>1037</v>
      </c>
      <c r="AA1" s="270" t="s">
        <v>1038</v>
      </c>
      <c r="AB1" s="270" t="s">
        <v>1044</v>
      </c>
      <c r="AC1" s="270" t="s">
        <v>1045</v>
      </c>
      <c r="AD1" s="361"/>
      <c r="AE1" s="368" t="s">
        <v>1046</v>
      </c>
      <c r="AF1" s="269" t="s">
        <v>1047</v>
      </c>
    </row>
    <row r="2" spans="1:32" s="4" customFormat="1" ht="56" hidden="1">
      <c r="A2" s="272"/>
      <c r="B2" s="273"/>
      <c r="C2" s="272"/>
      <c r="D2" s="272"/>
      <c r="E2" s="272"/>
      <c r="F2" s="272"/>
      <c r="G2" s="272"/>
      <c r="H2" s="269" t="s">
        <v>1048</v>
      </c>
      <c r="I2" s="269" t="s">
        <v>1049</v>
      </c>
      <c r="J2" s="274" t="s">
        <v>1050</v>
      </c>
      <c r="K2" s="269" t="s">
        <v>1051</v>
      </c>
      <c r="L2" s="269" t="s">
        <v>1052</v>
      </c>
      <c r="M2" s="338" t="s">
        <v>1121</v>
      </c>
      <c r="N2" s="275" t="s">
        <v>1054</v>
      </c>
      <c r="O2" s="275" t="s">
        <v>1054</v>
      </c>
      <c r="P2" s="269" t="s">
        <v>1054</v>
      </c>
      <c r="Q2" s="275" t="s">
        <v>1052</v>
      </c>
      <c r="R2" s="338" t="s">
        <v>1121</v>
      </c>
      <c r="S2" s="275" t="s">
        <v>1052</v>
      </c>
      <c r="T2" s="338" t="s">
        <v>1121</v>
      </c>
      <c r="U2" s="275" t="s">
        <v>1052</v>
      </c>
      <c r="V2" s="369" t="s">
        <v>1121</v>
      </c>
      <c r="W2" s="275" t="s">
        <v>1052</v>
      </c>
      <c r="X2" s="369" t="s">
        <v>1121</v>
      </c>
      <c r="Y2" s="269" t="s">
        <v>1053</v>
      </c>
      <c r="Z2" s="275" t="s">
        <v>1054</v>
      </c>
      <c r="AA2" s="275" t="s">
        <v>1054</v>
      </c>
      <c r="AB2" s="275" t="s">
        <v>1054</v>
      </c>
      <c r="AC2" s="275" t="s">
        <v>1054</v>
      </c>
      <c r="AD2" s="338" t="s">
        <v>1121</v>
      </c>
      <c r="AE2" s="269" t="s">
        <v>1054</v>
      </c>
      <c r="AF2" s="269" t="s">
        <v>1054</v>
      </c>
    </row>
    <row r="3" spans="1:32" s="283" customFormat="1" hidden="1">
      <c r="A3" s="276" t="s">
        <v>1055</v>
      </c>
      <c r="B3" s="277" t="s">
        <v>13</v>
      </c>
      <c r="C3" s="278" t="s">
        <v>6</v>
      </c>
      <c r="D3" s="278" t="s">
        <v>1056</v>
      </c>
      <c r="E3" s="278" t="s">
        <v>1057</v>
      </c>
      <c r="F3" s="277" t="s">
        <v>1058</v>
      </c>
      <c r="G3" s="277" t="s">
        <v>1058</v>
      </c>
      <c r="H3" s="279">
        <v>1507</v>
      </c>
      <c r="I3" s="279">
        <v>0</v>
      </c>
      <c r="J3" s="280">
        <f>I3*$E$289</f>
        <v>0</v>
      </c>
      <c r="K3" s="279" t="s">
        <v>1056</v>
      </c>
      <c r="L3" s="279" t="s">
        <v>1056</v>
      </c>
      <c r="M3" s="339" t="s">
        <v>1056</v>
      </c>
      <c r="N3" s="281" t="s">
        <v>1056</v>
      </c>
      <c r="O3" s="281" t="s">
        <v>1056</v>
      </c>
      <c r="P3" s="365" t="s">
        <v>1056</v>
      </c>
      <c r="Q3" s="281" t="s">
        <v>1056</v>
      </c>
      <c r="R3" s="343"/>
      <c r="S3" s="281" t="s">
        <v>1056</v>
      </c>
      <c r="T3" s="343"/>
      <c r="U3" s="281" t="s">
        <v>1056</v>
      </c>
      <c r="V3" s="370"/>
      <c r="W3" s="281" t="s">
        <v>1056</v>
      </c>
      <c r="X3" s="370"/>
      <c r="Y3" s="279" t="s">
        <v>1056</v>
      </c>
      <c r="Z3" s="281" t="s">
        <v>1056</v>
      </c>
      <c r="AA3" s="281" t="s">
        <v>1056</v>
      </c>
      <c r="AB3" s="281" t="s">
        <v>1056</v>
      </c>
      <c r="AC3" s="281" t="s">
        <v>1056</v>
      </c>
      <c r="AD3" s="343"/>
      <c r="AE3" s="279" t="s">
        <v>1056</v>
      </c>
      <c r="AF3" s="282" t="s">
        <v>1056</v>
      </c>
    </row>
    <row r="4" spans="1:32" s="283" customFormat="1" hidden="1">
      <c r="A4" s="284" t="s">
        <v>1055</v>
      </c>
      <c r="B4" s="283" t="s">
        <v>13</v>
      </c>
      <c r="C4" s="283" t="s">
        <v>7</v>
      </c>
      <c r="D4" s="283" t="s">
        <v>1056</v>
      </c>
      <c r="E4" s="1" t="s">
        <v>1059</v>
      </c>
      <c r="F4" s="1" t="s">
        <v>1058</v>
      </c>
      <c r="G4" s="1" t="s">
        <v>1058</v>
      </c>
      <c r="H4" s="285">
        <v>889</v>
      </c>
      <c r="I4" s="285">
        <v>0</v>
      </c>
      <c r="J4" s="280">
        <f t="shared" ref="J4:J67" si="0">I4*$E$289</f>
        <v>0</v>
      </c>
      <c r="K4" s="285" t="s">
        <v>1056</v>
      </c>
      <c r="L4" s="285" t="s">
        <v>1056</v>
      </c>
      <c r="M4" s="340" t="s">
        <v>1056</v>
      </c>
      <c r="N4" s="286" t="s">
        <v>1056</v>
      </c>
      <c r="O4" s="286" t="s">
        <v>1056</v>
      </c>
      <c r="P4" s="366" t="s">
        <v>1056</v>
      </c>
      <c r="Q4" s="286" t="s">
        <v>1056</v>
      </c>
      <c r="R4" s="344"/>
      <c r="S4" s="286" t="s">
        <v>1056</v>
      </c>
      <c r="T4" s="344"/>
      <c r="U4" s="286" t="s">
        <v>1056</v>
      </c>
      <c r="V4" s="371"/>
      <c r="W4" s="286" t="s">
        <v>1056</v>
      </c>
      <c r="X4" s="371"/>
      <c r="Y4" s="285" t="s">
        <v>1056</v>
      </c>
      <c r="Z4" s="286" t="s">
        <v>1056</v>
      </c>
      <c r="AA4" s="286" t="s">
        <v>1056</v>
      </c>
      <c r="AB4" s="286" t="s">
        <v>1056</v>
      </c>
      <c r="AC4" s="286" t="s">
        <v>1056</v>
      </c>
      <c r="AD4" s="344"/>
      <c r="AE4" s="285" t="s">
        <v>1056</v>
      </c>
      <c r="AF4" s="287" t="s">
        <v>1056</v>
      </c>
    </row>
    <row r="5" spans="1:32" s="283" customFormat="1" hidden="1">
      <c r="A5" s="284" t="s">
        <v>1055</v>
      </c>
      <c r="B5" s="283" t="s">
        <v>13</v>
      </c>
      <c r="C5" s="283" t="s">
        <v>8</v>
      </c>
      <c r="D5" s="283" t="s">
        <v>1056</v>
      </c>
      <c r="E5" s="1" t="s">
        <v>1060</v>
      </c>
      <c r="F5" s="1" t="s">
        <v>1058</v>
      </c>
      <c r="G5" s="1" t="s">
        <v>1058</v>
      </c>
      <c r="H5" s="285">
        <v>716</v>
      </c>
      <c r="I5" s="285">
        <v>0</v>
      </c>
      <c r="J5" s="280">
        <f t="shared" si="0"/>
        <v>0</v>
      </c>
      <c r="K5" s="285" t="s">
        <v>1056</v>
      </c>
      <c r="L5" s="285" t="s">
        <v>1056</v>
      </c>
      <c r="M5" s="340" t="s">
        <v>1056</v>
      </c>
      <c r="N5" s="286" t="s">
        <v>1056</v>
      </c>
      <c r="O5" s="286" t="s">
        <v>1056</v>
      </c>
      <c r="P5" s="366" t="s">
        <v>1056</v>
      </c>
      <c r="Q5" s="286" t="s">
        <v>1056</v>
      </c>
      <c r="R5" s="344"/>
      <c r="S5" s="286" t="s">
        <v>1056</v>
      </c>
      <c r="T5" s="344"/>
      <c r="U5" s="286" t="s">
        <v>1056</v>
      </c>
      <c r="V5" s="371"/>
      <c r="W5" s="286" t="s">
        <v>1056</v>
      </c>
      <c r="X5" s="371"/>
      <c r="Y5" s="285" t="s">
        <v>1056</v>
      </c>
      <c r="Z5" s="286" t="s">
        <v>1056</v>
      </c>
      <c r="AA5" s="286" t="s">
        <v>1056</v>
      </c>
      <c r="AB5" s="286" t="s">
        <v>1056</v>
      </c>
      <c r="AC5" s="286" t="s">
        <v>1056</v>
      </c>
      <c r="AD5" s="344"/>
      <c r="AE5" s="285" t="s">
        <v>1056</v>
      </c>
      <c r="AF5" s="287" t="s">
        <v>1056</v>
      </c>
    </row>
    <row r="6" spans="1:32" s="283" customFormat="1" hidden="1">
      <c r="A6" s="284" t="s">
        <v>1055</v>
      </c>
      <c r="B6" s="1" t="s">
        <v>15</v>
      </c>
      <c r="C6" s="283" t="s">
        <v>6</v>
      </c>
      <c r="D6" s="283" t="s">
        <v>1056</v>
      </c>
      <c r="E6" s="283" t="s">
        <v>1057</v>
      </c>
      <c r="F6" s="1" t="s">
        <v>1058</v>
      </c>
      <c r="G6" s="1" t="s">
        <v>1058</v>
      </c>
      <c r="H6" s="285">
        <v>2298</v>
      </c>
      <c r="I6" s="285">
        <v>0</v>
      </c>
      <c r="J6" s="280">
        <f t="shared" si="0"/>
        <v>0</v>
      </c>
      <c r="K6" s="285" t="s">
        <v>1056</v>
      </c>
      <c r="L6" s="285" t="s">
        <v>1056</v>
      </c>
      <c r="M6" s="340" t="s">
        <v>1056</v>
      </c>
      <c r="N6" s="286" t="s">
        <v>1056</v>
      </c>
      <c r="O6" s="286" t="s">
        <v>1056</v>
      </c>
      <c r="P6" s="366" t="s">
        <v>1056</v>
      </c>
      <c r="Q6" s="286" t="s">
        <v>1056</v>
      </c>
      <c r="R6" s="344"/>
      <c r="S6" s="286" t="s">
        <v>1056</v>
      </c>
      <c r="T6" s="344"/>
      <c r="U6" s="286" t="s">
        <v>1056</v>
      </c>
      <c r="V6" s="371"/>
      <c r="W6" s="286" t="s">
        <v>1056</v>
      </c>
      <c r="X6" s="371"/>
      <c r="Y6" s="285" t="s">
        <v>1056</v>
      </c>
      <c r="Z6" s="286" t="s">
        <v>1056</v>
      </c>
      <c r="AA6" s="286" t="s">
        <v>1056</v>
      </c>
      <c r="AB6" s="286" t="s">
        <v>1056</v>
      </c>
      <c r="AC6" s="286" t="s">
        <v>1056</v>
      </c>
      <c r="AD6" s="344"/>
      <c r="AE6" s="285" t="s">
        <v>1056</v>
      </c>
      <c r="AF6" s="287" t="s">
        <v>1056</v>
      </c>
    </row>
    <row r="7" spans="1:32" s="283" customFormat="1" hidden="1">
      <c r="A7" s="284" t="s">
        <v>1055</v>
      </c>
      <c r="B7" s="283" t="s">
        <v>15</v>
      </c>
      <c r="C7" s="283" t="s">
        <v>7</v>
      </c>
      <c r="D7" s="283" t="s">
        <v>1056</v>
      </c>
      <c r="E7" s="1" t="s">
        <v>1059</v>
      </c>
      <c r="F7" s="1" t="s">
        <v>1058</v>
      </c>
      <c r="G7" s="1" t="s">
        <v>1058</v>
      </c>
      <c r="H7" s="285">
        <v>3298</v>
      </c>
      <c r="I7" s="285">
        <v>0</v>
      </c>
      <c r="J7" s="280">
        <f t="shared" si="0"/>
        <v>0</v>
      </c>
      <c r="K7" s="285" t="s">
        <v>1056</v>
      </c>
      <c r="L7" s="285" t="s">
        <v>1056</v>
      </c>
      <c r="M7" s="340" t="s">
        <v>1056</v>
      </c>
      <c r="N7" s="286" t="s">
        <v>1056</v>
      </c>
      <c r="O7" s="286" t="s">
        <v>1056</v>
      </c>
      <c r="P7" s="366" t="s">
        <v>1056</v>
      </c>
      <c r="Q7" s="286" t="s">
        <v>1056</v>
      </c>
      <c r="R7" s="344"/>
      <c r="S7" s="286" t="s">
        <v>1056</v>
      </c>
      <c r="T7" s="344"/>
      <c r="U7" s="286" t="s">
        <v>1056</v>
      </c>
      <c r="V7" s="371"/>
      <c r="W7" s="286" t="s">
        <v>1056</v>
      </c>
      <c r="X7" s="371"/>
      <c r="Y7" s="285" t="s">
        <v>1056</v>
      </c>
      <c r="Z7" s="286" t="s">
        <v>1056</v>
      </c>
      <c r="AA7" s="286" t="s">
        <v>1056</v>
      </c>
      <c r="AB7" s="286" t="s">
        <v>1056</v>
      </c>
      <c r="AC7" s="286" t="s">
        <v>1056</v>
      </c>
      <c r="AD7" s="344"/>
      <c r="AE7" s="285" t="s">
        <v>1056</v>
      </c>
      <c r="AF7" s="287" t="s">
        <v>1056</v>
      </c>
    </row>
    <row r="8" spans="1:32" s="283" customFormat="1" hidden="1">
      <c r="A8" s="284" t="s">
        <v>1055</v>
      </c>
      <c r="B8" s="283" t="s">
        <v>15</v>
      </c>
      <c r="C8" s="283" t="s">
        <v>8</v>
      </c>
      <c r="D8" s="283" t="s">
        <v>1056</v>
      </c>
      <c r="E8" s="1" t="s">
        <v>1060</v>
      </c>
      <c r="F8" s="1" t="s">
        <v>1058</v>
      </c>
      <c r="G8" s="1" t="s">
        <v>1058</v>
      </c>
      <c r="H8" s="285">
        <v>8971</v>
      </c>
      <c r="I8" s="285">
        <v>0</v>
      </c>
      <c r="J8" s="280">
        <f t="shared" si="0"/>
        <v>0</v>
      </c>
      <c r="K8" s="285" t="s">
        <v>1056</v>
      </c>
      <c r="L8" s="285" t="s">
        <v>1056</v>
      </c>
      <c r="M8" s="340" t="s">
        <v>1056</v>
      </c>
      <c r="N8" s="286" t="s">
        <v>1056</v>
      </c>
      <c r="O8" s="286" t="s">
        <v>1056</v>
      </c>
      <c r="P8" s="366" t="s">
        <v>1056</v>
      </c>
      <c r="Q8" s="286" t="s">
        <v>1056</v>
      </c>
      <c r="R8" s="344"/>
      <c r="S8" s="286" t="s">
        <v>1056</v>
      </c>
      <c r="T8" s="344"/>
      <c r="U8" s="286" t="s">
        <v>1056</v>
      </c>
      <c r="V8" s="371"/>
      <c r="W8" s="286" t="s">
        <v>1056</v>
      </c>
      <c r="X8" s="371"/>
      <c r="Y8" s="285" t="s">
        <v>1056</v>
      </c>
      <c r="Z8" s="286" t="s">
        <v>1056</v>
      </c>
      <c r="AA8" s="286" t="s">
        <v>1056</v>
      </c>
      <c r="AB8" s="286" t="s">
        <v>1056</v>
      </c>
      <c r="AC8" s="286" t="s">
        <v>1056</v>
      </c>
      <c r="AD8" s="344"/>
      <c r="AE8" s="285" t="s">
        <v>1056</v>
      </c>
      <c r="AF8" s="287" t="s">
        <v>1056</v>
      </c>
    </row>
    <row r="9" spans="1:32">
      <c r="A9" s="284" t="s">
        <v>1055</v>
      </c>
      <c r="B9" s="1" t="s">
        <v>16</v>
      </c>
      <c r="C9" s="283" t="s">
        <v>6</v>
      </c>
      <c r="D9" s="283" t="s">
        <v>1056</v>
      </c>
      <c r="E9" s="283" t="s">
        <v>1057</v>
      </c>
      <c r="F9" s="1" t="s">
        <v>1058</v>
      </c>
      <c r="G9" s="1" t="s">
        <v>1058</v>
      </c>
      <c r="H9" s="285">
        <v>4230</v>
      </c>
      <c r="I9" s="285">
        <v>0</v>
      </c>
      <c r="J9" s="280">
        <f t="shared" si="0"/>
        <v>0</v>
      </c>
      <c r="K9" s="285" t="s">
        <v>1056</v>
      </c>
      <c r="L9" s="285" t="s">
        <v>1056</v>
      </c>
      <c r="M9" s="340" t="s">
        <v>1056</v>
      </c>
      <c r="N9" s="286" t="s">
        <v>1056</v>
      </c>
      <c r="O9" s="286" t="s">
        <v>1056</v>
      </c>
      <c r="P9" s="366" t="s">
        <v>1056</v>
      </c>
      <c r="Q9" s="286" t="s">
        <v>1056</v>
      </c>
      <c r="R9" s="344"/>
      <c r="S9" s="286" t="s">
        <v>1056</v>
      </c>
      <c r="T9" s="344"/>
      <c r="U9" s="286" t="s">
        <v>1056</v>
      </c>
      <c r="V9" s="371"/>
      <c r="W9" s="286" t="s">
        <v>1056</v>
      </c>
      <c r="X9" s="371"/>
      <c r="Y9" s="285" t="s">
        <v>1056</v>
      </c>
      <c r="Z9" s="286" t="s">
        <v>1056</v>
      </c>
      <c r="AA9" s="286" t="s">
        <v>1056</v>
      </c>
      <c r="AB9" s="286" t="s">
        <v>1056</v>
      </c>
      <c r="AC9" s="286" t="s">
        <v>1056</v>
      </c>
      <c r="AD9" s="344"/>
      <c r="AE9" s="285" t="s">
        <v>1056</v>
      </c>
      <c r="AF9" s="287" t="s">
        <v>1056</v>
      </c>
    </row>
    <row r="10" spans="1:32">
      <c r="A10" s="284" t="s">
        <v>1055</v>
      </c>
      <c r="B10" s="283" t="s">
        <v>16</v>
      </c>
      <c r="C10" s="283" t="s">
        <v>7</v>
      </c>
      <c r="D10" s="283" t="s">
        <v>1056</v>
      </c>
      <c r="E10" s="1" t="s">
        <v>1059</v>
      </c>
      <c r="F10" s="1" t="s">
        <v>1058</v>
      </c>
      <c r="G10" s="1" t="s">
        <v>1058</v>
      </c>
      <c r="H10" s="285">
        <v>1050</v>
      </c>
      <c r="I10" s="285">
        <v>0</v>
      </c>
      <c r="J10" s="280">
        <f t="shared" si="0"/>
        <v>0</v>
      </c>
      <c r="K10" s="285" t="s">
        <v>1056</v>
      </c>
      <c r="L10" s="285" t="s">
        <v>1056</v>
      </c>
      <c r="M10" s="340" t="s">
        <v>1056</v>
      </c>
      <c r="N10" s="286" t="s">
        <v>1056</v>
      </c>
      <c r="O10" s="286" t="s">
        <v>1056</v>
      </c>
      <c r="P10" s="366" t="s">
        <v>1056</v>
      </c>
      <c r="Q10" s="286" t="s">
        <v>1056</v>
      </c>
      <c r="R10" s="344"/>
      <c r="S10" s="286" t="s">
        <v>1056</v>
      </c>
      <c r="T10" s="344"/>
      <c r="U10" s="286" t="s">
        <v>1056</v>
      </c>
      <c r="V10" s="371"/>
      <c r="W10" s="286" t="s">
        <v>1056</v>
      </c>
      <c r="X10" s="371"/>
      <c r="Y10" s="285" t="s">
        <v>1056</v>
      </c>
      <c r="Z10" s="286" t="s">
        <v>1056</v>
      </c>
      <c r="AA10" s="286" t="s">
        <v>1056</v>
      </c>
      <c r="AB10" s="286" t="s">
        <v>1056</v>
      </c>
      <c r="AC10" s="286" t="s">
        <v>1056</v>
      </c>
      <c r="AD10" s="344"/>
      <c r="AE10" s="285" t="s">
        <v>1056</v>
      </c>
      <c r="AF10" s="287" t="s">
        <v>1056</v>
      </c>
    </row>
    <row r="11" spans="1:32">
      <c r="A11" s="284" t="s">
        <v>1055</v>
      </c>
      <c r="B11" s="283" t="s">
        <v>16</v>
      </c>
      <c r="C11" s="283" t="s">
        <v>8</v>
      </c>
      <c r="D11" s="283" t="s">
        <v>1056</v>
      </c>
      <c r="E11" s="1" t="s">
        <v>1060</v>
      </c>
      <c r="F11" s="1" t="s">
        <v>1058</v>
      </c>
      <c r="G11" s="1" t="s">
        <v>1058</v>
      </c>
      <c r="H11" s="285">
        <v>316</v>
      </c>
      <c r="I11" s="285">
        <v>0</v>
      </c>
      <c r="J11" s="280">
        <f t="shared" si="0"/>
        <v>0</v>
      </c>
      <c r="K11" s="285" t="s">
        <v>1056</v>
      </c>
      <c r="L11" s="285" t="s">
        <v>1056</v>
      </c>
      <c r="M11" s="340" t="s">
        <v>1056</v>
      </c>
      <c r="N11" s="286" t="s">
        <v>1056</v>
      </c>
      <c r="O11" s="286" t="s">
        <v>1056</v>
      </c>
      <c r="P11" s="366" t="s">
        <v>1056</v>
      </c>
      <c r="Q11" s="286" t="s">
        <v>1056</v>
      </c>
      <c r="R11" s="344"/>
      <c r="S11" s="286" t="s">
        <v>1056</v>
      </c>
      <c r="T11" s="344"/>
      <c r="U11" s="286" t="s">
        <v>1056</v>
      </c>
      <c r="V11" s="371"/>
      <c r="W11" s="286" t="s">
        <v>1056</v>
      </c>
      <c r="X11" s="371"/>
      <c r="Y11" s="285" t="s">
        <v>1056</v>
      </c>
      <c r="Z11" s="286" t="s">
        <v>1056</v>
      </c>
      <c r="AA11" s="286" t="s">
        <v>1056</v>
      </c>
      <c r="AB11" s="286" t="s">
        <v>1056</v>
      </c>
      <c r="AC11" s="286" t="s">
        <v>1056</v>
      </c>
      <c r="AD11" s="344"/>
      <c r="AE11" s="285" t="s">
        <v>1056</v>
      </c>
      <c r="AF11" s="287" t="s">
        <v>1056</v>
      </c>
    </row>
    <row r="12" spans="1:32" s="283" customFormat="1" hidden="1">
      <c r="A12" s="284" t="s">
        <v>1055</v>
      </c>
      <c r="B12" s="1" t="s">
        <v>13</v>
      </c>
      <c r="C12" s="283" t="s">
        <v>6</v>
      </c>
      <c r="D12" s="283" t="s">
        <v>1056</v>
      </c>
      <c r="E12" s="283" t="s">
        <v>1057</v>
      </c>
      <c r="F12" s="1" t="s">
        <v>2</v>
      </c>
      <c r="G12" s="1" t="s">
        <v>1061</v>
      </c>
      <c r="H12" s="285">
        <v>10</v>
      </c>
      <c r="I12" s="285">
        <v>344859.90802547772</v>
      </c>
      <c r="J12" s="280">
        <f t="shared" si="0"/>
        <v>11113.378837129465</v>
      </c>
      <c r="K12" s="288">
        <v>0.35</v>
      </c>
      <c r="L12" s="285">
        <v>900000</v>
      </c>
      <c r="M12" s="360">
        <v>92540</v>
      </c>
      <c r="N12" s="290">
        <v>36000</v>
      </c>
      <c r="O12" s="290">
        <v>58000</v>
      </c>
      <c r="P12" s="366">
        <f>SUM(N12:O12)</f>
        <v>94000</v>
      </c>
      <c r="Q12" s="289">
        <v>0</v>
      </c>
      <c r="R12" s="345"/>
      <c r="S12" s="289">
        <v>0</v>
      </c>
      <c r="T12" s="345"/>
      <c r="U12" s="289" t="s">
        <v>1056</v>
      </c>
      <c r="V12" s="372"/>
      <c r="W12" s="289" t="s">
        <v>1056</v>
      </c>
      <c r="X12" s="372"/>
      <c r="Y12" s="285">
        <f t="shared" ref="Y12:Y43" si="1">SUM(Q12:W12)</f>
        <v>0</v>
      </c>
      <c r="Z12" s="289">
        <v>0</v>
      </c>
      <c r="AA12" s="289">
        <v>28000</v>
      </c>
      <c r="AB12" s="289" t="s">
        <v>1056</v>
      </c>
      <c r="AC12" s="289" t="s">
        <v>1056</v>
      </c>
      <c r="AD12" s="345"/>
      <c r="AE12" s="285">
        <f t="shared" ref="AE12:AE43" si="2">SUM(Z12:AD12)</f>
        <v>28000</v>
      </c>
      <c r="AF12" s="287">
        <v>0</v>
      </c>
    </row>
    <row r="13" spans="1:32" s="283" customFormat="1" hidden="1">
      <c r="A13" s="284" t="s">
        <v>1055</v>
      </c>
      <c r="B13" s="1" t="s">
        <v>13</v>
      </c>
      <c r="C13" s="283" t="s">
        <v>6</v>
      </c>
      <c r="D13" s="283" t="s">
        <v>1056</v>
      </c>
      <c r="E13" s="283" t="s">
        <v>1057</v>
      </c>
      <c r="F13" s="1" t="s">
        <v>2</v>
      </c>
      <c r="G13" s="1" t="s">
        <v>51</v>
      </c>
      <c r="H13" s="285">
        <v>0</v>
      </c>
      <c r="I13" s="285">
        <f>I12</f>
        <v>344859.90802547772</v>
      </c>
      <c r="J13" s="280">
        <f t="shared" si="0"/>
        <v>11113.378837129465</v>
      </c>
      <c r="K13" s="288">
        <v>0.99</v>
      </c>
      <c r="L13" s="285">
        <f t="shared" ref="L13:S16" si="3">L12</f>
        <v>900000</v>
      </c>
      <c r="M13" s="359">
        <f>M12</f>
        <v>92540</v>
      </c>
      <c r="N13" s="291">
        <f t="shared" ref="N13:O16" si="4">N12</f>
        <v>36000</v>
      </c>
      <c r="O13" s="291">
        <f t="shared" si="4"/>
        <v>58000</v>
      </c>
      <c r="P13" s="366">
        <f t="shared" ref="P13:P76" si="5">SUM(N13:O13)</f>
        <v>94000</v>
      </c>
      <c r="Q13" s="291">
        <f t="shared" si="3"/>
        <v>0</v>
      </c>
      <c r="R13" s="345"/>
      <c r="S13" s="291">
        <f t="shared" si="3"/>
        <v>0</v>
      </c>
      <c r="T13" s="345"/>
      <c r="U13" s="290">
        <v>130</v>
      </c>
      <c r="V13" s="373">
        <v>98000</v>
      </c>
      <c r="W13" s="291" t="s">
        <v>1056</v>
      </c>
      <c r="X13" s="372"/>
      <c r="Y13" s="285">
        <f t="shared" si="1"/>
        <v>98130</v>
      </c>
      <c r="Z13" s="291">
        <f t="shared" ref="Z13:AA16" si="6">Z12</f>
        <v>0</v>
      </c>
      <c r="AA13" s="291">
        <f t="shared" si="6"/>
        <v>28000</v>
      </c>
      <c r="AB13" s="291">
        <v>9500</v>
      </c>
      <c r="AC13" s="291" t="s">
        <v>1056</v>
      </c>
      <c r="AD13" s="345"/>
      <c r="AE13" s="285">
        <f t="shared" si="2"/>
        <v>37500</v>
      </c>
      <c r="AF13" s="287">
        <v>0</v>
      </c>
    </row>
    <row r="14" spans="1:32" s="283" customFormat="1" hidden="1">
      <c r="A14" s="284" t="s">
        <v>1055</v>
      </c>
      <c r="B14" s="1" t="s">
        <v>13</v>
      </c>
      <c r="C14" s="283" t="s">
        <v>6</v>
      </c>
      <c r="D14" s="283" t="s">
        <v>1056</v>
      </c>
      <c r="E14" s="283" t="s">
        <v>1057</v>
      </c>
      <c r="F14" s="1" t="s">
        <v>2</v>
      </c>
      <c r="G14" s="1" t="s">
        <v>1062</v>
      </c>
      <c r="H14" s="285">
        <v>0</v>
      </c>
      <c r="I14" s="285">
        <f>I13</f>
        <v>344859.90802547772</v>
      </c>
      <c r="J14" s="280">
        <f t="shared" si="0"/>
        <v>11113.378837129465</v>
      </c>
      <c r="K14" s="288">
        <v>0.99</v>
      </c>
      <c r="L14" s="285">
        <f t="shared" si="3"/>
        <v>900000</v>
      </c>
      <c r="M14" s="359">
        <f>M12</f>
        <v>92540</v>
      </c>
      <c r="N14" s="291">
        <f t="shared" si="4"/>
        <v>36000</v>
      </c>
      <c r="O14" s="291">
        <f t="shared" si="4"/>
        <v>58000</v>
      </c>
      <c r="P14" s="366">
        <f t="shared" si="5"/>
        <v>94000</v>
      </c>
      <c r="Q14" s="291">
        <f t="shared" si="3"/>
        <v>0</v>
      </c>
      <c r="R14" s="345"/>
      <c r="S14" s="291">
        <f t="shared" si="3"/>
        <v>0</v>
      </c>
      <c r="T14" s="345"/>
      <c r="U14" s="291">
        <f>U13</f>
        <v>130</v>
      </c>
      <c r="V14" s="372">
        <f>V13</f>
        <v>98000</v>
      </c>
      <c r="W14" s="291" t="s">
        <v>1056</v>
      </c>
      <c r="X14" s="372"/>
      <c r="Y14" s="285">
        <f t="shared" si="1"/>
        <v>98130</v>
      </c>
      <c r="Z14" s="291">
        <f t="shared" si="6"/>
        <v>0</v>
      </c>
      <c r="AA14" s="291">
        <f t="shared" si="6"/>
        <v>28000</v>
      </c>
      <c r="AB14" s="291">
        <f>AB13</f>
        <v>9500</v>
      </c>
      <c r="AC14" s="291">
        <f>5*180000</f>
        <v>900000</v>
      </c>
      <c r="AD14" s="363">
        <f>J14*1.2*5</f>
        <v>66680.27302277679</v>
      </c>
      <c r="AE14" s="285">
        <f t="shared" si="2"/>
        <v>1004180.2730227768</v>
      </c>
      <c r="AF14" s="287">
        <v>0</v>
      </c>
    </row>
    <row r="15" spans="1:32" s="283" customFormat="1" hidden="1">
      <c r="A15" s="284" t="s">
        <v>1055</v>
      </c>
      <c r="B15" s="1" t="s">
        <v>13</v>
      </c>
      <c r="C15" s="283" t="s">
        <v>6</v>
      </c>
      <c r="D15" s="283" t="s">
        <v>1056</v>
      </c>
      <c r="E15" s="283" t="s">
        <v>1057</v>
      </c>
      <c r="F15" s="1" t="s">
        <v>2</v>
      </c>
      <c r="G15" s="1" t="s">
        <v>1063</v>
      </c>
      <c r="H15" s="285">
        <v>0</v>
      </c>
      <c r="I15" s="285">
        <f>I14</f>
        <v>344859.90802547772</v>
      </c>
      <c r="J15" s="280">
        <f t="shared" si="0"/>
        <v>11113.378837129465</v>
      </c>
      <c r="K15" s="288">
        <v>0</v>
      </c>
      <c r="L15" s="285">
        <f t="shared" si="3"/>
        <v>900000</v>
      </c>
      <c r="M15" s="359">
        <f>M14</f>
        <v>92540</v>
      </c>
      <c r="N15" s="291">
        <f t="shared" si="4"/>
        <v>36000</v>
      </c>
      <c r="O15" s="291">
        <f t="shared" si="4"/>
        <v>58000</v>
      </c>
      <c r="P15" s="366">
        <f t="shared" si="5"/>
        <v>94000</v>
      </c>
      <c r="Q15" s="291">
        <f t="shared" si="3"/>
        <v>0</v>
      </c>
      <c r="R15" s="345"/>
      <c r="S15" s="291">
        <f t="shared" si="3"/>
        <v>0</v>
      </c>
      <c r="T15" s="345"/>
      <c r="U15" s="291" t="s">
        <v>1056</v>
      </c>
      <c r="V15" s="372"/>
      <c r="W15" s="291">
        <f>W16</f>
        <v>54000000</v>
      </c>
      <c r="X15" s="373">
        <v>1260000</v>
      </c>
      <c r="Y15" s="285">
        <f t="shared" si="1"/>
        <v>54000000</v>
      </c>
      <c r="Z15" s="291">
        <f t="shared" si="6"/>
        <v>0</v>
      </c>
      <c r="AA15" s="291">
        <f t="shared" si="6"/>
        <v>28000</v>
      </c>
      <c r="AB15" s="291" t="s">
        <v>1056</v>
      </c>
      <c r="AC15" s="291" t="s">
        <v>1056</v>
      </c>
      <c r="AD15" s="345"/>
      <c r="AE15" s="285">
        <f t="shared" si="2"/>
        <v>28000</v>
      </c>
      <c r="AF15" s="287">
        <v>0</v>
      </c>
    </row>
    <row r="16" spans="1:32" s="283" customFormat="1" hidden="1">
      <c r="A16" s="292" t="s">
        <v>1055</v>
      </c>
      <c r="B16" s="294" t="s">
        <v>13</v>
      </c>
      <c r="C16" s="293" t="s">
        <v>6</v>
      </c>
      <c r="D16" s="293" t="s">
        <v>1056</v>
      </c>
      <c r="E16" s="293" t="s">
        <v>1057</v>
      </c>
      <c r="F16" s="294" t="s">
        <v>2</v>
      </c>
      <c r="G16" s="294" t="s">
        <v>1064</v>
      </c>
      <c r="H16" s="295">
        <v>0</v>
      </c>
      <c r="I16" s="295">
        <f>I15</f>
        <v>344859.90802547772</v>
      </c>
      <c r="J16" s="296">
        <f t="shared" si="0"/>
        <v>11113.378837129465</v>
      </c>
      <c r="K16" s="297">
        <v>0</v>
      </c>
      <c r="L16" s="295">
        <f t="shared" si="3"/>
        <v>900000</v>
      </c>
      <c r="M16" s="362">
        <f>M14</f>
        <v>92540</v>
      </c>
      <c r="N16" s="298">
        <f t="shared" si="4"/>
        <v>36000</v>
      </c>
      <c r="O16" s="298">
        <f t="shared" si="4"/>
        <v>58000</v>
      </c>
      <c r="P16" s="367">
        <f t="shared" si="5"/>
        <v>94000</v>
      </c>
      <c r="Q16" s="298">
        <f t="shared" si="3"/>
        <v>0</v>
      </c>
      <c r="R16" s="346"/>
      <c r="S16" s="298">
        <f t="shared" si="3"/>
        <v>0</v>
      </c>
      <c r="T16" s="346"/>
      <c r="U16" s="298" t="s">
        <v>1056</v>
      </c>
      <c r="V16" s="374"/>
      <c r="W16" s="298">
        <v>54000000</v>
      </c>
      <c r="X16" s="374">
        <f>X15</f>
        <v>1260000</v>
      </c>
      <c r="Y16" s="295">
        <f t="shared" si="1"/>
        <v>54000000</v>
      </c>
      <c r="Z16" s="298">
        <f t="shared" si="6"/>
        <v>0</v>
      </c>
      <c r="AA16" s="298">
        <f t="shared" si="6"/>
        <v>28000</v>
      </c>
      <c r="AB16" s="298" t="s">
        <v>1056</v>
      </c>
      <c r="AC16" s="298" t="s">
        <v>1056</v>
      </c>
      <c r="AD16" s="346"/>
      <c r="AE16" s="295">
        <f t="shared" si="2"/>
        <v>28000</v>
      </c>
      <c r="AF16" s="299">
        <v>0</v>
      </c>
    </row>
    <row r="17" spans="1:32" s="283" customFormat="1" hidden="1">
      <c r="A17" s="284" t="s">
        <v>1055</v>
      </c>
      <c r="B17" s="283" t="s">
        <v>13</v>
      </c>
      <c r="C17" s="283" t="s">
        <v>7</v>
      </c>
      <c r="D17" s="283" t="s">
        <v>1056</v>
      </c>
      <c r="E17" s="1" t="s">
        <v>1059</v>
      </c>
      <c r="F17" s="1" t="s">
        <v>2</v>
      </c>
      <c r="G17" s="1" t="s">
        <v>1061</v>
      </c>
      <c r="H17" s="285">
        <v>9</v>
      </c>
      <c r="I17" s="285">
        <v>670501.61684210529</v>
      </c>
      <c r="J17" s="280">
        <f t="shared" si="0"/>
        <v>21607.436252994747</v>
      </c>
      <c r="K17" s="288">
        <v>0.35</v>
      </c>
      <c r="L17" s="285">
        <v>1200000</v>
      </c>
      <c r="M17" s="360">
        <v>138000</v>
      </c>
      <c r="N17" s="291">
        <v>47000</v>
      </c>
      <c r="O17" s="291">
        <v>75000</v>
      </c>
      <c r="P17" s="366">
        <f>SUM(N17:O17)</f>
        <v>122000</v>
      </c>
      <c r="Q17" s="291">
        <v>0</v>
      </c>
      <c r="R17" s="345"/>
      <c r="S17" s="291">
        <v>0</v>
      </c>
      <c r="T17" s="345"/>
      <c r="U17" s="291" t="s">
        <v>1056</v>
      </c>
      <c r="V17" s="372"/>
      <c r="W17" s="291" t="s">
        <v>1056</v>
      </c>
      <c r="X17" s="372"/>
      <c r="Y17" s="285">
        <f t="shared" si="1"/>
        <v>0</v>
      </c>
      <c r="Z17" s="291">
        <v>0</v>
      </c>
      <c r="AA17" s="291">
        <v>36000</v>
      </c>
      <c r="AB17" s="291" t="s">
        <v>1056</v>
      </c>
      <c r="AC17" s="291" t="s">
        <v>1056</v>
      </c>
      <c r="AD17" s="345"/>
      <c r="AE17" s="285">
        <f t="shared" si="2"/>
        <v>36000</v>
      </c>
      <c r="AF17" s="287">
        <v>0</v>
      </c>
    </row>
    <row r="18" spans="1:32" s="283" customFormat="1" hidden="1">
      <c r="A18" s="284" t="s">
        <v>1055</v>
      </c>
      <c r="B18" s="283" t="s">
        <v>13</v>
      </c>
      <c r="C18" s="283" t="s">
        <v>7</v>
      </c>
      <c r="D18" s="283" t="s">
        <v>1056</v>
      </c>
      <c r="E18" s="1" t="s">
        <v>1059</v>
      </c>
      <c r="F18" s="1" t="s">
        <v>2</v>
      </c>
      <c r="G18" s="1" t="s">
        <v>51</v>
      </c>
      <c r="H18" s="285">
        <v>0</v>
      </c>
      <c r="I18" s="285">
        <f>I17</f>
        <v>670501.61684210529</v>
      </c>
      <c r="J18" s="280">
        <f t="shared" si="0"/>
        <v>21607.436252994747</v>
      </c>
      <c r="K18" s="288">
        <v>0.99</v>
      </c>
      <c r="L18" s="285">
        <f t="shared" ref="L18:S21" si="7">L17</f>
        <v>1200000</v>
      </c>
      <c r="M18" s="359">
        <f>M17</f>
        <v>138000</v>
      </c>
      <c r="N18" s="291">
        <f t="shared" ref="N18:O21" si="8">N17</f>
        <v>47000</v>
      </c>
      <c r="O18" s="291">
        <f t="shared" si="8"/>
        <v>75000</v>
      </c>
      <c r="P18" s="366">
        <f t="shared" si="5"/>
        <v>122000</v>
      </c>
      <c r="Q18" s="291">
        <f t="shared" si="7"/>
        <v>0</v>
      </c>
      <c r="R18" s="345"/>
      <c r="S18" s="291">
        <f t="shared" si="7"/>
        <v>0</v>
      </c>
      <c r="T18" s="345"/>
      <c r="U18" s="291">
        <v>130</v>
      </c>
      <c r="V18" s="373">
        <v>258000</v>
      </c>
      <c r="W18" s="291" t="s">
        <v>1056</v>
      </c>
      <c r="X18" s="372"/>
      <c r="Y18" s="285">
        <f t="shared" si="1"/>
        <v>258130</v>
      </c>
      <c r="Z18" s="291">
        <f t="shared" ref="Z18:AA21" si="9">Z17</f>
        <v>0</v>
      </c>
      <c r="AA18" s="291">
        <f t="shared" si="9"/>
        <v>36000</v>
      </c>
      <c r="AB18" s="291">
        <v>9500</v>
      </c>
      <c r="AC18" s="291" t="s">
        <v>1056</v>
      </c>
      <c r="AD18" s="345"/>
      <c r="AE18" s="285">
        <f t="shared" si="2"/>
        <v>45500</v>
      </c>
      <c r="AF18" s="287">
        <v>0</v>
      </c>
    </row>
    <row r="19" spans="1:32" s="283" customFormat="1" hidden="1">
      <c r="A19" s="284" t="s">
        <v>1055</v>
      </c>
      <c r="B19" s="283" t="s">
        <v>13</v>
      </c>
      <c r="C19" s="283" t="s">
        <v>7</v>
      </c>
      <c r="D19" s="283" t="s">
        <v>1056</v>
      </c>
      <c r="E19" s="1" t="s">
        <v>1059</v>
      </c>
      <c r="F19" s="1" t="s">
        <v>2</v>
      </c>
      <c r="G19" s="1" t="s">
        <v>1062</v>
      </c>
      <c r="H19" s="285">
        <v>0</v>
      </c>
      <c r="I19" s="285">
        <f>I18</f>
        <v>670501.61684210529</v>
      </c>
      <c r="J19" s="280">
        <f t="shared" si="0"/>
        <v>21607.436252994747</v>
      </c>
      <c r="K19" s="288">
        <v>0.99</v>
      </c>
      <c r="L19" s="285">
        <f t="shared" si="7"/>
        <v>1200000</v>
      </c>
      <c r="M19" s="359">
        <f>M18</f>
        <v>138000</v>
      </c>
      <c r="N19" s="291">
        <f t="shared" si="8"/>
        <v>47000</v>
      </c>
      <c r="O19" s="291">
        <f t="shared" si="8"/>
        <v>75000</v>
      </c>
      <c r="P19" s="366">
        <f t="shared" si="5"/>
        <v>122000</v>
      </c>
      <c r="Q19" s="291">
        <f t="shared" si="7"/>
        <v>0</v>
      </c>
      <c r="R19" s="345"/>
      <c r="S19" s="291">
        <f t="shared" si="7"/>
        <v>0</v>
      </c>
      <c r="T19" s="345"/>
      <c r="U19" s="291">
        <f>U18</f>
        <v>130</v>
      </c>
      <c r="V19" s="372">
        <f>V18</f>
        <v>258000</v>
      </c>
      <c r="W19" s="291" t="s">
        <v>1056</v>
      </c>
      <c r="X19" s="372"/>
      <c r="Y19" s="285">
        <f t="shared" si="1"/>
        <v>258130</v>
      </c>
      <c r="Z19" s="291">
        <f t="shared" si="9"/>
        <v>0</v>
      </c>
      <c r="AA19" s="291">
        <f t="shared" si="9"/>
        <v>36000</v>
      </c>
      <c r="AB19" s="291">
        <f>AB18</f>
        <v>9500</v>
      </c>
      <c r="AC19" s="291">
        <f>5*180000</f>
        <v>900000</v>
      </c>
      <c r="AD19" s="363">
        <f>J19*1.2*5</f>
        <v>129644.61751796847</v>
      </c>
      <c r="AE19" s="285">
        <f t="shared" si="2"/>
        <v>1075144.6175179684</v>
      </c>
      <c r="AF19" s="287">
        <v>0</v>
      </c>
    </row>
    <row r="20" spans="1:32" s="283" customFormat="1" hidden="1">
      <c r="A20" s="284" t="s">
        <v>1055</v>
      </c>
      <c r="B20" s="283" t="s">
        <v>13</v>
      </c>
      <c r="C20" s="283" t="s">
        <v>7</v>
      </c>
      <c r="D20" s="283" t="s">
        <v>1056</v>
      </c>
      <c r="E20" s="1" t="s">
        <v>1059</v>
      </c>
      <c r="F20" s="1" t="s">
        <v>2</v>
      </c>
      <c r="G20" s="1" t="s">
        <v>1063</v>
      </c>
      <c r="H20" s="285">
        <v>0</v>
      </c>
      <c r="I20" s="285">
        <f>I19</f>
        <v>670501.61684210529</v>
      </c>
      <c r="J20" s="280">
        <f t="shared" si="0"/>
        <v>21607.436252994747</v>
      </c>
      <c r="K20" s="288">
        <v>0</v>
      </c>
      <c r="L20" s="285">
        <f t="shared" si="7"/>
        <v>1200000</v>
      </c>
      <c r="M20" s="359">
        <f>M19</f>
        <v>138000</v>
      </c>
      <c r="N20" s="291">
        <f t="shared" si="8"/>
        <v>47000</v>
      </c>
      <c r="O20" s="291">
        <f t="shared" si="8"/>
        <v>75000</v>
      </c>
      <c r="P20" s="366">
        <f t="shared" si="5"/>
        <v>122000</v>
      </c>
      <c r="Q20" s="291">
        <f t="shared" si="7"/>
        <v>0</v>
      </c>
      <c r="R20" s="345"/>
      <c r="S20" s="291">
        <f t="shared" si="7"/>
        <v>0</v>
      </c>
      <c r="T20" s="345"/>
      <c r="U20" s="291" t="s">
        <v>1056</v>
      </c>
      <c r="V20" s="372"/>
      <c r="W20" s="291">
        <f>W21</f>
        <v>54000000</v>
      </c>
      <c r="X20" s="373">
        <v>1875000</v>
      </c>
      <c r="Y20" s="285">
        <f t="shared" si="1"/>
        <v>54000000</v>
      </c>
      <c r="Z20" s="291">
        <f t="shared" si="9"/>
        <v>0</v>
      </c>
      <c r="AA20" s="291">
        <f t="shared" si="9"/>
        <v>36000</v>
      </c>
      <c r="AB20" s="291" t="s">
        <v>1056</v>
      </c>
      <c r="AC20" s="291" t="s">
        <v>1056</v>
      </c>
      <c r="AD20" s="345"/>
      <c r="AE20" s="285">
        <f t="shared" si="2"/>
        <v>36000</v>
      </c>
      <c r="AF20" s="287">
        <v>0</v>
      </c>
    </row>
    <row r="21" spans="1:32" s="283" customFormat="1" hidden="1">
      <c r="A21" s="284" t="s">
        <v>1055</v>
      </c>
      <c r="B21" s="283" t="s">
        <v>13</v>
      </c>
      <c r="C21" s="283" t="s">
        <v>7</v>
      </c>
      <c r="D21" s="283" t="s">
        <v>1056</v>
      </c>
      <c r="E21" s="1" t="s">
        <v>1059</v>
      </c>
      <c r="F21" s="1" t="s">
        <v>2</v>
      </c>
      <c r="G21" s="1" t="s">
        <v>1064</v>
      </c>
      <c r="H21" s="285">
        <v>0</v>
      </c>
      <c r="I21" s="285">
        <f>I20</f>
        <v>670501.61684210529</v>
      </c>
      <c r="J21" s="280">
        <f t="shared" si="0"/>
        <v>21607.436252994747</v>
      </c>
      <c r="K21" s="288">
        <v>0</v>
      </c>
      <c r="L21" s="285">
        <f t="shared" si="7"/>
        <v>1200000</v>
      </c>
      <c r="M21" s="359">
        <f>M20</f>
        <v>138000</v>
      </c>
      <c r="N21" s="291">
        <f t="shared" si="8"/>
        <v>47000</v>
      </c>
      <c r="O21" s="291">
        <f t="shared" si="8"/>
        <v>75000</v>
      </c>
      <c r="P21" s="366">
        <f t="shared" si="5"/>
        <v>122000</v>
      </c>
      <c r="Q21" s="291">
        <f t="shared" si="7"/>
        <v>0</v>
      </c>
      <c r="R21" s="345"/>
      <c r="S21" s="291">
        <f t="shared" si="7"/>
        <v>0</v>
      </c>
      <c r="T21" s="345"/>
      <c r="U21" s="291" t="s">
        <v>1056</v>
      </c>
      <c r="V21" s="372"/>
      <c r="W21" s="291">
        <v>54000000</v>
      </c>
      <c r="X21" s="372">
        <f>X20</f>
        <v>1875000</v>
      </c>
      <c r="Y21" s="285">
        <f t="shared" si="1"/>
        <v>54000000</v>
      </c>
      <c r="Z21" s="291">
        <f t="shared" si="9"/>
        <v>0</v>
      </c>
      <c r="AA21" s="291">
        <f t="shared" si="9"/>
        <v>36000</v>
      </c>
      <c r="AB21" s="291" t="s">
        <v>1056</v>
      </c>
      <c r="AC21" s="291" t="s">
        <v>1056</v>
      </c>
      <c r="AD21" s="345"/>
      <c r="AE21" s="285">
        <f t="shared" si="2"/>
        <v>36000</v>
      </c>
      <c r="AF21" s="287">
        <v>0</v>
      </c>
    </row>
    <row r="22" spans="1:32" s="283" customFormat="1" hidden="1">
      <c r="A22" s="284" t="s">
        <v>1055</v>
      </c>
      <c r="B22" s="283" t="s">
        <v>13</v>
      </c>
      <c r="C22" s="283" t="s">
        <v>8</v>
      </c>
      <c r="D22" s="283" t="s">
        <v>1056</v>
      </c>
      <c r="E22" s="1" t="s">
        <v>1060</v>
      </c>
      <c r="F22" s="1" t="s">
        <v>2</v>
      </c>
      <c r="G22" s="1" t="s">
        <v>1061</v>
      </c>
      <c r="H22" s="285">
        <v>7</v>
      </c>
      <c r="I22" s="285">
        <v>1901596.6184615383</v>
      </c>
      <c r="J22" s="280">
        <f t="shared" si="0"/>
        <v>61280.430472092245</v>
      </c>
      <c r="K22" s="288">
        <v>0.35</v>
      </c>
      <c r="L22" s="285">
        <v>2200000</v>
      </c>
      <c r="M22" s="341"/>
      <c r="N22" s="291">
        <v>88000</v>
      </c>
      <c r="O22" s="291">
        <v>140000</v>
      </c>
      <c r="P22" s="366">
        <f t="shared" si="5"/>
        <v>228000</v>
      </c>
      <c r="Q22" s="291">
        <v>0</v>
      </c>
      <c r="R22" s="345"/>
      <c r="S22" s="291">
        <v>0</v>
      </c>
      <c r="T22" s="345"/>
      <c r="U22" s="291" t="s">
        <v>1056</v>
      </c>
      <c r="V22" s="372"/>
      <c r="W22" s="291" t="s">
        <v>1056</v>
      </c>
      <c r="X22" s="372"/>
      <c r="Y22" s="285">
        <f t="shared" si="1"/>
        <v>0</v>
      </c>
      <c r="Z22" s="291">
        <v>0</v>
      </c>
      <c r="AA22" s="291">
        <v>68000</v>
      </c>
      <c r="AB22" s="291" t="s">
        <v>1056</v>
      </c>
      <c r="AC22" s="291" t="s">
        <v>1056</v>
      </c>
      <c r="AD22" s="345"/>
      <c r="AE22" s="285">
        <f t="shared" si="2"/>
        <v>68000</v>
      </c>
      <c r="AF22" s="287">
        <v>0</v>
      </c>
    </row>
    <row r="23" spans="1:32" s="283" customFormat="1" hidden="1">
      <c r="A23" s="284" t="s">
        <v>1055</v>
      </c>
      <c r="B23" s="283" t="s">
        <v>13</v>
      </c>
      <c r="C23" s="283" t="s">
        <v>8</v>
      </c>
      <c r="D23" s="283" t="s">
        <v>1056</v>
      </c>
      <c r="E23" s="283" t="s">
        <v>1060</v>
      </c>
      <c r="F23" s="1" t="s">
        <v>2</v>
      </c>
      <c r="G23" s="1" t="s">
        <v>51</v>
      </c>
      <c r="H23" s="285">
        <v>0</v>
      </c>
      <c r="I23" s="285">
        <f>I22</f>
        <v>1901596.6184615383</v>
      </c>
      <c r="J23" s="280">
        <f t="shared" si="0"/>
        <v>61280.430472092245</v>
      </c>
      <c r="K23" s="288">
        <v>0.99</v>
      </c>
      <c r="L23" s="285">
        <f t="shared" ref="L23:S26" si="10">L22</f>
        <v>2200000</v>
      </c>
      <c r="M23" s="341"/>
      <c r="N23" s="291">
        <f t="shared" ref="N23:O26" si="11">N22</f>
        <v>88000</v>
      </c>
      <c r="O23" s="291">
        <f t="shared" si="11"/>
        <v>140000</v>
      </c>
      <c r="P23" s="366">
        <f t="shared" si="5"/>
        <v>228000</v>
      </c>
      <c r="Q23" s="291">
        <f t="shared" si="10"/>
        <v>0</v>
      </c>
      <c r="R23" s="345"/>
      <c r="S23" s="291">
        <f t="shared" si="10"/>
        <v>0</v>
      </c>
      <c r="T23" s="345"/>
      <c r="U23" s="291">
        <v>200</v>
      </c>
      <c r="V23" s="372"/>
      <c r="W23" s="291" t="s">
        <v>1056</v>
      </c>
      <c r="X23" s="372"/>
      <c r="Y23" s="285">
        <f t="shared" si="1"/>
        <v>200</v>
      </c>
      <c r="Z23" s="291">
        <f t="shared" ref="Z23:AA26" si="12">Z22</f>
        <v>0</v>
      </c>
      <c r="AA23" s="291">
        <f t="shared" si="12"/>
        <v>68000</v>
      </c>
      <c r="AB23" s="291">
        <v>16000</v>
      </c>
      <c r="AC23" s="291" t="s">
        <v>1056</v>
      </c>
      <c r="AD23" s="345"/>
      <c r="AE23" s="285">
        <f t="shared" si="2"/>
        <v>84000</v>
      </c>
      <c r="AF23" s="287">
        <v>0</v>
      </c>
    </row>
    <row r="24" spans="1:32" s="283" customFormat="1" hidden="1">
      <c r="A24" s="284" t="s">
        <v>1055</v>
      </c>
      <c r="B24" s="283" t="s">
        <v>13</v>
      </c>
      <c r="C24" s="283" t="s">
        <v>8</v>
      </c>
      <c r="D24" s="283" t="s">
        <v>1056</v>
      </c>
      <c r="E24" s="283" t="s">
        <v>1060</v>
      </c>
      <c r="F24" s="1" t="s">
        <v>2</v>
      </c>
      <c r="G24" s="1" t="s">
        <v>1062</v>
      </c>
      <c r="H24" s="285">
        <v>0</v>
      </c>
      <c r="I24" s="285">
        <f>I23</f>
        <v>1901596.6184615383</v>
      </c>
      <c r="J24" s="280">
        <f t="shared" si="0"/>
        <v>61280.430472092245</v>
      </c>
      <c r="K24" s="288">
        <v>0.99</v>
      </c>
      <c r="L24" s="285">
        <f t="shared" si="10"/>
        <v>2200000</v>
      </c>
      <c r="M24" s="341"/>
      <c r="N24" s="291">
        <f t="shared" si="11"/>
        <v>88000</v>
      </c>
      <c r="O24" s="291">
        <f t="shared" si="11"/>
        <v>140000</v>
      </c>
      <c r="P24" s="366">
        <f t="shared" si="5"/>
        <v>228000</v>
      </c>
      <c r="Q24" s="291">
        <f t="shared" si="10"/>
        <v>0</v>
      </c>
      <c r="R24" s="345"/>
      <c r="S24" s="291">
        <f t="shared" si="10"/>
        <v>0</v>
      </c>
      <c r="T24" s="345"/>
      <c r="U24" s="291">
        <f>U23</f>
        <v>200</v>
      </c>
      <c r="V24" s="372"/>
      <c r="W24" s="291" t="s">
        <v>1056</v>
      </c>
      <c r="X24" s="372"/>
      <c r="Y24" s="285">
        <f t="shared" si="1"/>
        <v>200</v>
      </c>
      <c r="Z24" s="291">
        <f t="shared" si="12"/>
        <v>0</v>
      </c>
      <c r="AA24" s="291">
        <f t="shared" si="12"/>
        <v>68000</v>
      </c>
      <c r="AB24" s="291">
        <f>AB23</f>
        <v>16000</v>
      </c>
      <c r="AC24" s="291">
        <f>5*180000</f>
        <v>900000</v>
      </c>
      <c r="AD24" s="363">
        <f>J24*1.2*5</f>
        <v>367682.58283255342</v>
      </c>
      <c r="AE24" s="285">
        <f t="shared" si="2"/>
        <v>1351682.5828325534</v>
      </c>
      <c r="AF24" s="287">
        <v>0</v>
      </c>
    </row>
    <row r="25" spans="1:32" s="283" customFormat="1" hidden="1">
      <c r="A25" s="284" t="s">
        <v>1055</v>
      </c>
      <c r="B25" s="283" t="s">
        <v>13</v>
      </c>
      <c r="C25" s="283" t="s">
        <v>8</v>
      </c>
      <c r="D25" s="283" t="s">
        <v>1056</v>
      </c>
      <c r="E25" s="283" t="s">
        <v>1060</v>
      </c>
      <c r="F25" s="1" t="s">
        <v>2</v>
      </c>
      <c r="G25" s="1" t="s">
        <v>1063</v>
      </c>
      <c r="H25" s="285">
        <v>0</v>
      </c>
      <c r="I25" s="285">
        <f>I24</f>
        <v>1901596.6184615383</v>
      </c>
      <c r="J25" s="280">
        <f t="shared" si="0"/>
        <v>61280.430472092245</v>
      </c>
      <c r="K25" s="288">
        <v>0</v>
      </c>
      <c r="L25" s="285">
        <f t="shared" si="10"/>
        <v>2200000</v>
      </c>
      <c r="M25" s="341"/>
      <c r="N25" s="291">
        <f t="shared" si="11"/>
        <v>88000</v>
      </c>
      <c r="O25" s="291">
        <f t="shared" si="11"/>
        <v>140000</v>
      </c>
      <c r="P25" s="366">
        <f t="shared" si="5"/>
        <v>228000</v>
      </c>
      <c r="Q25" s="291">
        <f t="shared" si="10"/>
        <v>0</v>
      </c>
      <c r="R25" s="345"/>
      <c r="S25" s="291">
        <f t="shared" si="10"/>
        <v>0</v>
      </c>
      <c r="T25" s="345"/>
      <c r="U25" s="291" t="s">
        <v>1056</v>
      </c>
      <c r="V25" s="372"/>
      <c r="W25" s="291">
        <f>W26</f>
        <v>54000000</v>
      </c>
      <c r="X25" s="372"/>
      <c r="Y25" s="285">
        <f t="shared" si="1"/>
        <v>54000000</v>
      </c>
      <c r="Z25" s="291">
        <f t="shared" si="12"/>
        <v>0</v>
      </c>
      <c r="AA25" s="291">
        <f t="shared" si="12"/>
        <v>68000</v>
      </c>
      <c r="AB25" s="291" t="s">
        <v>1056</v>
      </c>
      <c r="AC25" s="291" t="s">
        <v>1056</v>
      </c>
      <c r="AD25" s="345"/>
      <c r="AE25" s="285">
        <f t="shared" si="2"/>
        <v>68000</v>
      </c>
      <c r="AF25" s="287">
        <v>0</v>
      </c>
    </row>
    <row r="26" spans="1:32" s="283" customFormat="1" hidden="1">
      <c r="A26" s="284" t="s">
        <v>1055</v>
      </c>
      <c r="B26" s="283" t="s">
        <v>13</v>
      </c>
      <c r="C26" s="283" t="s">
        <v>8</v>
      </c>
      <c r="D26" s="283" t="s">
        <v>1056</v>
      </c>
      <c r="E26" s="283" t="s">
        <v>1060</v>
      </c>
      <c r="F26" s="1" t="s">
        <v>2</v>
      </c>
      <c r="G26" s="1" t="s">
        <v>1064</v>
      </c>
      <c r="H26" s="285">
        <v>0</v>
      </c>
      <c r="I26" s="285">
        <f>I25</f>
        <v>1901596.6184615383</v>
      </c>
      <c r="J26" s="280">
        <f t="shared" si="0"/>
        <v>61280.430472092245</v>
      </c>
      <c r="K26" s="288">
        <v>0</v>
      </c>
      <c r="L26" s="285">
        <f t="shared" si="10"/>
        <v>2200000</v>
      </c>
      <c r="M26" s="341"/>
      <c r="N26" s="291">
        <f t="shared" si="11"/>
        <v>88000</v>
      </c>
      <c r="O26" s="291">
        <f t="shared" si="11"/>
        <v>140000</v>
      </c>
      <c r="P26" s="366">
        <f t="shared" si="5"/>
        <v>228000</v>
      </c>
      <c r="Q26" s="291">
        <f t="shared" si="10"/>
        <v>0</v>
      </c>
      <c r="R26" s="345"/>
      <c r="S26" s="291">
        <f t="shared" si="10"/>
        <v>0</v>
      </c>
      <c r="T26" s="345"/>
      <c r="U26" s="291" t="s">
        <v>1056</v>
      </c>
      <c r="V26" s="372"/>
      <c r="W26" s="291">
        <v>54000000</v>
      </c>
      <c r="X26" s="372"/>
      <c r="Y26" s="285">
        <f t="shared" si="1"/>
        <v>54000000</v>
      </c>
      <c r="Z26" s="291">
        <f t="shared" si="12"/>
        <v>0</v>
      </c>
      <c r="AA26" s="291">
        <f t="shared" si="12"/>
        <v>68000</v>
      </c>
      <c r="AB26" s="291" t="s">
        <v>1056</v>
      </c>
      <c r="AC26" s="291" t="s">
        <v>1056</v>
      </c>
      <c r="AD26" s="345"/>
      <c r="AE26" s="285">
        <f t="shared" si="2"/>
        <v>68000</v>
      </c>
      <c r="AF26" s="287">
        <v>0</v>
      </c>
    </row>
    <row r="27" spans="1:32" s="283" customFormat="1" hidden="1">
      <c r="A27" s="284" t="s">
        <v>1055</v>
      </c>
      <c r="B27" s="1" t="s">
        <v>15</v>
      </c>
      <c r="C27" s="283" t="s">
        <v>6</v>
      </c>
      <c r="D27" s="283" t="s">
        <v>1056</v>
      </c>
      <c r="E27" s="283" t="s">
        <v>1057</v>
      </c>
      <c r="F27" s="1" t="s">
        <v>2</v>
      </c>
      <c r="G27" s="1" t="s">
        <v>1061</v>
      </c>
      <c r="H27" s="285">
        <v>1</v>
      </c>
      <c r="I27" s="285">
        <v>156587.2535217391</v>
      </c>
      <c r="J27" s="280">
        <f t="shared" si="0"/>
        <v>5046.1460696212825</v>
      </c>
      <c r="K27" s="288">
        <v>0.35</v>
      </c>
      <c r="L27" s="285">
        <v>710000</v>
      </c>
      <c r="M27" s="341"/>
      <c r="N27" s="291">
        <v>28000</v>
      </c>
      <c r="O27" s="291">
        <v>0</v>
      </c>
      <c r="P27" s="366">
        <f t="shared" si="5"/>
        <v>28000</v>
      </c>
      <c r="Q27" s="291">
        <v>0</v>
      </c>
      <c r="R27" s="345"/>
      <c r="S27" s="291">
        <v>0</v>
      </c>
      <c r="T27" s="345"/>
      <c r="U27" s="291" t="s">
        <v>1056</v>
      </c>
      <c r="V27" s="372"/>
      <c r="W27" s="291" t="s">
        <v>1056</v>
      </c>
      <c r="X27" s="372"/>
      <c r="Y27" s="285">
        <f t="shared" si="1"/>
        <v>0</v>
      </c>
      <c r="Z27" s="291">
        <v>0</v>
      </c>
      <c r="AA27" s="291">
        <v>22000</v>
      </c>
      <c r="AB27" s="291" t="s">
        <v>1056</v>
      </c>
      <c r="AC27" s="291" t="s">
        <v>1056</v>
      </c>
      <c r="AD27" s="345"/>
      <c r="AE27" s="285">
        <f t="shared" si="2"/>
        <v>22000</v>
      </c>
      <c r="AF27" s="287">
        <v>0</v>
      </c>
    </row>
    <row r="28" spans="1:32" s="283" customFormat="1" hidden="1">
      <c r="A28" s="284" t="s">
        <v>1055</v>
      </c>
      <c r="B28" s="1" t="s">
        <v>15</v>
      </c>
      <c r="C28" s="283" t="s">
        <v>6</v>
      </c>
      <c r="D28" s="283" t="s">
        <v>1056</v>
      </c>
      <c r="E28" s="283" t="s">
        <v>1057</v>
      </c>
      <c r="F28" s="1" t="s">
        <v>2</v>
      </c>
      <c r="G28" s="1" t="s">
        <v>51</v>
      </c>
      <c r="H28" s="285">
        <v>0</v>
      </c>
      <c r="I28" s="285">
        <f>I27</f>
        <v>156587.2535217391</v>
      </c>
      <c r="J28" s="280">
        <f t="shared" si="0"/>
        <v>5046.1460696212825</v>
      </c>
      <c r="K28" s="288">
        <v>0.99</v>
      </c>
      <c r="L28" s="285">
        <f t="shared" ref="L28:S31" si="13">L27</f>
        <v>710000</v>
      </c>
      <c r="M28" s="341"/>
      <c r="N28" s="291">
        <f t="shared" ref="N28:O31" si="14">N27</f>
        <v>28000</v>
      </c>
      <c r="O28" s="291">
        <f t="shared" si="14"/>
        <v>0</v>
      </c>
      <c r="P28" s="366">
        <f t="shared" si="5"/>
        <v>28000</v>
      </c>
      <c r="Q28" s="291">
        <f t="shared" si="13"/>
        <v>0</v>
      </c>
      <c r="R28" s="345"/>
      <c r="S28" s="291">
        <f t="shared" si="13"/>
        <v>0</v>
      </c>
      <c r="T28" s="345"/>
      <c r="U28" s="291">
        <v>130</v>
      </c>
      <c r="V28" s="372"/>
      <c r="W28" s="291" t="s">
        <v>1056</v>
      </c>
      <c r="X28" s="372"/>
      <c r="Y28" s="285">
        <f t="shared" si="1"/>
        <v>130</v>
      </c>
      <c r="Z28" s="291">
        <f t="shared" ref="Z28:AA31" si="15">Z27</f>
        <v>0</v>
      </c>
      <c r="AA28" s="291">
        <f t="shared" si="15"/>
        <v>22000</v>
      </c>
      <c r="AB28" s="291">
        <v>9500</v>
      </c>
      <c r="AC28" s="291" t="s">
        <v>1056</v>
      </c>
      <c r="AD28" s="345"/>
      <c r="AE28" s="285">
        <f t="shared" si="2"/>
        <v>31500</v>
      </c>
      <c r="AF28" s="287">
        <v>0</v>
      </c>
    </row>
    <row r="29" spans="1:32" s="283" customFormat="1" hidden="1">
      <c r="A29" s="284" t="s">
        <v>1055</v>
      </c>
      <c r="B29" s="1" t="s">
        <v>15</v>
      </c>
      <c r="C29" s="283" t="s">
        <v>6</v>
      </c>
      <c r="D29" s="283" t="s">
        <v>1056</v>
      </c>
      <c r="E29" s="283" t="s">
        <v>1057</v>
      </c>
      <c r="F29" s="1" t="s">
        <v>2</v>
      </c>
      <c r="G29" s="1" t="s">
        <v>1062</v>
      </c>
      <c r="H29" s="285">
        <v>0</v>
      </c>
      <c r="I29" s="285">
        <f>I28</f>
        <v>156587.2535217391</v>
      </c>
      <c r="J29" s="280">
        <f t="shared" si="0"/>
        <v>5046.1460696212825</v>
      </c>
      <c r="K29" s="288">
        <v>0.99</v>
      </c>
      <c r="L29" s="285">
        <f t="shared" si="13"/>
        <v>710000</v>
      </c>
      <c r="M29" s="341"/>
      <c r="N29" s="291">
        <f t="shared" si="14"/>
        <v>28000</v>
      </c>
      <c r="O29" s="291">
        <f t="shared" si="14"/>
        <v>0</v>
      </c>
      <c r="P29" s="366">
        <f t="shared" si="5"/>
        <v>28000</v>
      </c>
      <c r="Q29" s="291">
        <f t="shared" si="13"/>
        <v>0</v>
      </c>
      <c r="R29" s="345"/>
      <c r="S29" s="291">
        <f t="shared" si="13"/>
        <v>0</v>
      </c>
      <c r="T29" s="345"/>
      <c r="U29" s="291">
        <f>U28</f>
        <v>130</v>
      </c>
      <c r="V29" s="372"/>
      <c r="W29" s="291" t="s">
        <v>1056</v>
      </c>
      <c r="X29" s="372"/>
      <c r="Y29" s="285">
        <f t="shared" si="1"/>
        <v>130</v>
      </c>
      <c r="Z29" s="291">
        <f t="shared" si="15"/>
        <v>0</v>
      </c>
      <c r="AA29" s="291">
        <f t="shared" si="15"/>
        <v>22000</v>
      </c>
      <c r="AB29" s="291">
        <f>AB28</f>
        <v>9500</v>
      </c>
      <c r="AC29" s="291">
        <f>5*180000</f>
        <v>900000</v>
      </c>
      <c r="AD29" s="363">
        <f>J29*1.2*5</f>
        <v>30276.876417727693</v>
      </c>
      <c r="AE29" s="285">
        <f t="shared" si="2"/>
        <v>961776.87641772768</v>
      </c>
      <c r="AF29" s="287">
        <v>0</v>
      </c>
    </row>
    <row r="30" spans="1:32" s="283" customFormat="1" hidden="1">
      <c r="A30" s="284" t="s">
        <v>1055</v>
      </c>
      <c r="B30" s="1" t="s">
        <v>15</v>
      </c>
      <c r="C30" s="283" t="s">
        <v>6</v>
      </c>
      <c r="D30" s="283" t="s">
        <v>1056</v>
      </c>
      <c r="E30" s="283" t="s">
        <v>1057</v>
      </c>
      <c r="F30" s="1" t="s">
        <v>2</v>
      </c>
      <c r="G30" s="1" t="s">
        <v>1063</v>
      </c>
      <c r="H30" s="285">
        <v>0</v>
      </c>
      <c r="I30" s="285">
        <f>I29</f>
        <v>156587.2535217391</v>
      </c>
      <c r="J30" s="280">
        <f t="shared" si="0"/>
        <v>5046.1460696212825</v>
      </c>
      <c r="K30" s="288">
        <v>0</v>
      </c>
      <c r="L30" s="285">
        <f t="shared" si="13"/>
        <v>710000</v>
      </c>
      <c r="M30" s="341"/>
      <c r="N30" s="291">
        <f t="shared" si="14"/>
        <v>28000</v>
      </c>
      <c r="O30" s="291">
        <f t="shared" si="14"/>
        <v>0</v>
      </c>
      <c r="P30" s="366">
        <f t="shared" si="5"/>
        <v>28000</v>
      </c>
      <c r="Q30" s="291">
        <f t="shared" si="13"/>
        <v>0</v>
      </c>
      <c r="R30" s="345"/>
      <c r="S30" s="291">
        <f t="shared" si="13"/>
        <v>0</v>
      </c>
      <c r="T30" s="345"/>
      <c r="U30" s="291" t="s">
        <v>1056</v>
      </c>
      <c r="V30" s="372"/>
      <c r="W30" s="291">
        <f>W31</f>
        <v>54000000</v>
      </c>
      <c r="X30" s="372"/>
      <c r="Y30" s="285">
        <f t="shared" si="1"/>
        <v>54000000</v>
      </c>
      <c r="Z30" s="291">
        <f t="shared" si="15"/>
        <v>0</v>
      </c>
      <c r="AA30" s="291">
        <f t="shared" si="15"/>
        <v>22000</v>
      </c>
      <c r="AB30" s="291" t="s">
        <v>1056</v>
      </c>
      <c r="AC30" s="291" t="s">
        <v>1056</v>
      </c>
      <c r="AD30" s="345"/>
      <c r="AE30" s="285">
        <f t="shared" si="2"/>
        <v>22000</v>
      </c>
      <c r="AF30" s="287">
        <v>0</v>
      </c>
    </row>
    <row r="31" spans="1:32" s="283" customFormat="1" hidden="1">
      <c r="A31" s="284" t="s">
        <v>1055</v>
      </c>
      <c r="B31" s="1" t="s">
        <v>15</v>
      </c>
      <c r="C31" s="283" t="s">
        <v>6</v>
      </c>
      <c r="D31" s="283" t="s">
        <v>1056</v>
      </c>
      <c r="E31" s="283" t="s">
        <v>1057</v>
      </c>
      <c r="F31" s="1" t="s">
        <v>2</v>
      </c>
      <c r="G31" s="1" t="s">
        <v>1064</v>
      </c>
      <c r="H31" s="285">
        <v>0</v>
      </c>
      <c r="I31" s="285">
        <f>I30</f>
        <v>156587.2535217391</v>
      </c>
      <c r="J31" s="280">
        <f t="shared" si="0"/>
        <v>5046.1460696212825</v>
      </c>
      <c r="K31" s="288">
        <v>0</v>
      </c>
      <c r="L31" s="285">
        <f t="shared" si="13"/>
        <v>710000</v>
      </c>
      <c r="M31" s="341"/>
      <c r="N31" s="291">
        <f t="shared" si="14"/>
        <v>28000</v>
      </c>
      <c r="O31" s="291">
        <f t="shared" si="14"/>
        <v>0</v>
      </c>
      <c r="P31" s="366">
        <f t="shared" si="5"/>
        <v>28000</v>
      </c>
      <c r="Q31" s="291">
        <f t="shared" si="13"/>
        <v>0</v>
      </c>
      <c r="R31" s="345"/>
      <c r="S31" s="291">
        <f t="shared" si="13"/>
        <v>0</v>
      </c>
      <c r="T31" s="345"/>
      <c r="U31" s="291" t="s">
        <v>1056</v>
      </c>
      <c r="V31" s="372"/>
      <c r="W31" s="291">
        <v>54000000</v>
      </c>
      <c r="X31" s="372"/>
      <c r="Y31" s="285">
        <f t="shared" si="1"/>
        <v>54000000</v>
      </c>
      <c r="Z31" s="291">
        <f t="shared" si="15"/>
        <v>0</v>
      </c>
      <c r="AA31" s="291">
        <f t="shared" si="15"/>
        <v>22000</v>
      </c>
      <c r="AB31" s="291" t="s">
        <v>1056</v>
      </c>
      <c r="AC31" s="291" t="s">
        <v>1056</v>
      </c>
      <c r="AD31" s="345"/>
      <c r="AE31" s="285">
        <f t="shared" si="2"/>
        <v>22000</v>
      </c>
      <c r="AF31" s="287">
        <v>0</v>
      </c>
    </row>
    <row r="32" spans="1:32" s="283" customFormat="1" hidden="1">
      <c r="A32" s="284" t="s">
        <v>1055</v>
      </c>
      <c r="B32" s="283" t="s">
        <v>15</v>
      </c>
      <c r="C32" s="283" t="s">
        <v>7</v>
      </c>
      <c r="D32" s="283" t="s">
        <v>1056</v>
      </c>
      <c r="E32" s="1" t="s">
        <v>1059</v>
      </c>
      <c r="F32" s="1" t="s">
        <v>2</v>
      </c>
      <c r="G32" s="1" t="s">
        <v>1061</v>
      </c>
      <c r="H32" s="285">
        <v>0</v>
      </c>
      <c r="I32" s="285">
        <v>306421.90986363631</v>
      </c>
      <c r="J32" s="280">
        <f t="shared" si="0"/>
        <v>9874.6844416015556</v>
      </c>
      <c r="K32" s="288">
        <v>0.35</v>
      </c>
      <c r="L32" s="285">
        <v>800000</v>
      </c>
      <c r="M32" s="341"/>
      <c r="N32" s="291">
        <v>32000</v>
      </c>
      <c r="O32" s="291">
        <v>0</v>
      </c>
      <c r="P32" s="366">
        <f t="shared" si="5"/>
        <v>32000</v>
      </c>
      <c r="Q32" s="291">
        <v>0</v>
      </c>
      <c r="R32" s="345"/>
      <c r="S32" s="291">
        <v>0</v>
      </c>
      <c r="T32" s="345"/>
      <c r="U32" s="291" t="s">
        <v>1056</v>
      </c>
      <c r="V32" s="372"/>
      <c r="W32" s="291" t="s">
        <v>1056</v>
      </c>
      <c r="X32" s="372"/>
      <c r="Y32" s="285">
        <f t="shared" si="1"/>
        <v>0</v>
      </c>
      <c r="Z32" s="291">
        <v>0</v>
      </c>
      <c r="AA32" s="291">
        <v>25000</v>
      </c>
      <c r="AB32" s="291" t="s">
        <v>1056</v>
      </c>
      <c r="AC32" s="291" t="s">
        <v>1056</v>
      </c>
      <c r="AD32" s="345"/>
      <c r="AE32" s="285">
        <f t="shared" si="2"/>
        <v>25000</v>
      </c>
      <c r="AF32" s="287">
        <v>0</v>
      </c>
    </row>
    <row r="33" spans="1:32" s="283" customFormat="1" hidden="1">
      <c r="A33" s="284" t="s">
        <v>1055</v>
      </c>
      <c r="B33" s="283" t="s">
        <v>15</v>
      </c>
      <c r="C33" s="283" t="s">
        <v>7</v>
      </c>
      <c r="D33" s="283" t="s">
        <v>1056</v>
      </c>
      <c r="E33" s="1" t="s">
        <v>1059</v>
      </c>
      <c r="F33" s="1" t="s">
        <v>2</v>
      </c>
      <c r="G33" s="1" t="s">
        <v>51</v>
      </c>
      <c r="H33" s="285">
        <v>0</v>
      </c>
      <c r="I33" s="285">
        <f>I32</f>
        <v>306421.90986363631</v>
      </c>
      <c r="J33" s="280">
        <f t="shared" si="0"/>
        <v>9874.6844416015556</v>
      </c>
      <c r="K33" s="288">
        <v>0.99</v>
      </c>
      <c r="L33" s="285">
        <f t="shared" ref="L33:S36" si="16">L32</f>
        <v>800000</v>
      </c>
      <c r="M33" s="341"/>
      <c r="N33" s="291">
        <f t="shared" ref="N33:O36" si="17">N32</f>
        <v>32000</v>
      </c>
      <c r="O33" s="291">
        <f t="shared" si="17"/>
        <v>0</v>
      </c>
      <c r="P33" s="366">
        <f t="shared" si="5"/>
        <v>32000</v>
      </c>
      <c r="Q33" s="291">
        <f t="shared" si="16"/>
        <v>0</v>
      </c>
      <c r="R33" s="345"/>
      <c r="S33" s="291">
        <f t="shared" si="16"/>
        <v>0</v>
      </c>
      <c r="T33" s="345"/>
      <c r="U33" s="291">
        <v>130</v>
      </c>
      <c r="V33" s="372"/>
      <c r="W33" s="291" t="s">
        <v>1056</v>
      </c>
      <c r="X33" s="372"/>
      <c r="Y33" s="285">
        <f t="shared" si="1"/>
        <v>130</v>
      </c>
      <c r="Z33" s="291">
        <f t="shared" ref="Z33:AA36" si="18">Z32</f>
        <v>0</v>
      </c>
      <c r="AA33" s="291">
        <f t="shared" si="18"/>
        <v>25000</v>
      </c>
      <c r="AB33" s="291">
        <v>9500</v>
      </c>
      <c r="AC33" s="291" t="s">
        <v>1056</v>
      </c>
      <c r="AD33" s="345"/>
      <c r="AE33" s="285">
        <f t="shared" si="2"/>
        <v>34500</v>
      </c>
      <c r="AF33" s="287">
        <v>0</v>
      </c>
    </row>
    <row r="34" spans="1:32" s="283" customFormat="1" hidden="1">
      <c r="A34" s="284" t="s">
        <v>1055</v>
      </c>
      <c r="B34" s="283" t="s">
        <v>15</v>
      </c>
      <c r="C34" s="283" t="s">
        <v>7</v>
      </c>
      <c r="D34" s="283" t="s">
        <v>1056</v>
      </c>
      <c r="E34" s="1" t="s">
        <v>1059</v>
      </c>
      <c r="F34" s="1" t="s">
        <v>2</v>
      </c>
      <c r="G34" s="1" t="s">
        <v>1062</v>
      </c>
      <c r="H34" s="285">
        <v>0</v>
      </c>
      <c r="I34" s="285">
        <f>I33</f>
        <v>306421.90986363631</v>
      </c>
      <c r="J34" s="280">
        <f t="shared" si="0"/>
        <v>9874.6844416015556</v>
      </c>
      <c r="K34" s="288">
        <v>0.99</v>
      </c>
      <c r="L34" s="285">
        <f t="shared" si="16"/>
        <v>800000</v>
      </c>
      <c r="M34" s="341"/>
      <c r="N34" s="291">
        <f t="shared" si="17"/>
        <v>32000</v>
      </c>
      <c r="O34" s="291">
        <f t="shared" si="17"/>
        <v>0</v>
      </c>
      <c r="P34" s="366">
        <f t="shared" si="5"/>
        <v>32000</v>
      </c>
      <c r="Q34" s="291">
        <f t="shared" si="16"/>
        <v>0</v>
      </c>
      <c r="R34" s="345"/>
      <c r="S34" s="291">
        <f t="shared" si="16"/>
        <v>0</v>
      </c>
      <c r="T34" s="345"/>
      <c r="U34" s="291">
        <f>U33</f>
        <v>130</v>
      </c>
      <c r="V34" s="372"/>
      <c r="W34" s="291" t="s">
        <v>1056</v>
      </c>
      <c r="X34" s="372"/>
      <c r="Y34" s="285">
        <f t="shared" si="1"/>
        <v>130</v>
      </c>
      <c r="Z34" s="291">
        <f t="shared" si="18"/>
        <v>0</v>
      </c>
      <c r="AA34" s="291">
        <f t="shared" si="18"/>
        <v>25000</v>
      </c>
      <c r="AB34" s="291">
        <f>AB33</f>
        <v>9500</v>
      </c>
      <c r="AC34" s="291">
        <f>AC29</f>
        <v>900000</v>
      </c>
      <c r="AD34" s="363">
        <f>J34*1.2*5</f>
        <v>59248.106649609334</v>
      </c>
      <c r="AE34" s="285">
        <f t="shared" si="2"/>
        <v>993748.10664960928</v>
      </c>
      <c r="AF34" s="287">
        <v>0</v>
      </c>
    </row>
    <row r="35" spans="1:32" s="283" customFormat="1" hidden="1">
      <c r="A35" s="284" t="s">
        <v>1055</v>
      </c>
      <c r="B35" s="283" t="s">
        <v>15</v>
      </c>
      <c r="C35" s="283" t="s">
        <v>7</v>
      </c>
      <c r="D35" s="283" t="s">
        <v>1056</v>
      </c>
      <c r="E35" s="1" t="s">
        <v>1059</v>
      </c>
      <c r="F35" s="1" t="s">
        <v>2</v>
      </c>
      <c r="G35" s="1" t="s">
        <v>1063</v>
      </c>
      <c r="H35" s="285">
        <v>0</v>
      </c>
      <c r="I35" s="285">
        <f>I34</f>
        <v>306421.90986363631</v>
      </c>
      <c r="J35" s="280">
        <f t="shared" si="0"/>
        <v>9874.6844416015556</v>
      </c>
      <c r="K35" s="288">
        <v>0</v>
      </c>
      <c r="L35" s="285">
        <f t="shared" si="16"/>
        <v>800000</v>
      </c>
      <c r="M35" s="341"/>
      <c r="N35" s="291">
        <f t="shared" si="17"/>
        <v>32000</v>
      </c>
      <c r="O35" s="291">
        <f t="shared" si="17"/>
        <v>0</v>
      </c>
      <c r="P35" s="366">
        <f t="shared" si="5"/>
        <v>32000</v>
      </c>
      <c r="Q35" s="291">
        <f t="shared" si="16"/>
        <v>0</v>
      </c>
      <c r="R35" s="345"/>
      <c r="S35" s="291">
        <f t="shared" si="16"/>
        <v>0</v>
      </c>
      <c r="T35" s="345"/>
      <c r="U35" s="291" t="s">
        <v>1056</v>
      </c>
      <c r="V35" s="372"/>
      <c r="W35" s="291">
        <f>W36</f>
        <v>54000000</v>
      </c>
      <c r="X35" s="372"/>
      <c r="Y35" s="285">
        <f t="shared" si="1"/>
        <v>54000000</v>
      </c>
      <c r="Z35" s="291">
        <f t="shared" si="18"/>
        <v>0</v>
      </c>
      <c r="AA35" s="291">
        <f t="shared" si="18"/>
        <v>25000</v>
      </c>
      <c r="AB35" s="291" t="s">
        <v>1056</v>
      </c>
      <c r="AC35" s="291" t="s">
        <v>1056</v>
      </c>
      <c r="AD35" s="345"/>
      <c r="AE35" s="285">
        <f t="shared" si="2"/>
        <v>25000</v>
      </c>
      <c r="AF35" s="287">
        <v>0</v>
      </c>
    </row>
    <row r="36" spans="1:32" s="283" customFormat="1" hidden="1">
      <c r="A36" s="284" t="s">
        <v>1055</v>
      </c>
      <c r="B36" s="283" t="s">
        <v>15</v>
      </c>
      <c r="C36" s="283" t="s">
        <v>7</v>
      </c>
      <c r="D36" s="283" t="s">
        <v>1056</v>
      </c>
      <c r="E36" s="1" t="s">
        <v>1059</v>
      </c>
      <c r="F36" s="1" t="s">
        <v>2</v>
      </c>
      <c r="G36" s="1" t="s">
        <v>1064</v>
      </c>
      <c r="H36" s="285">
        <v>0</v>
      </c>
      <c r="I36" s="285">
        <f>I35</f>
        <v>306421.90986363631</v>
      </c>
      <c r="J36" s="280">
        <f t="shared" si="0"/>
        <v>9874.6844416015556</v>
      </c>
      <c r="K36" s="288">
        <v>0</v>
      </c>
      <c r="L36" s="285">
        <f t="shared" si="16"/>
        <v>800000</v>
      </c>
      <c r="M36" s="341"/>
      <c r="N36" s="291">
        <f t="shared" si="17"/>
        <v>32000</v>
      </c>
      <c r="O36" s="291">
        <f t="shared" si="17"/>
        <v>0</v>
      </c>
      <c r="P36" s="366">
        <f t="shared" si="5"/>
        <v>32000</v>
      </c>
      <c r="Q36" s="291">
        <f t="shared" si="16"/>
        <v>0</v>
      </c>
      <c r="R36" s="345"/>
      <c r="S36" s="291">
        <f t="shared" si="16"/>
        <v>0</v>
      </c>
      <c r="T36" s="345"/>
      <c r="U36" s="291" t="s">
        <v>1056</v>
      </c>
      <c r="V36" s="372"/>
      <c r="W36" s="291">
        <v>54000000</v>
      </c>
      <c r="X36" s="372"/>
      <c r="Y36" s="285">
        <f t="shared" si="1"/>
        <v>54000000</v>
      </c>
      <c r="Z36" s="291">
        <f t="shared" si="18"/>
        <v>0</v>
      </c>
      <c r="AA36" s="291">
        <f t="shared" si="18"/>
        <v>25000</v>
      </c>
      <c r="AB36" s="291" t="s">
        <v>1056</v>
      </c>
      <c r="AC36" s="291" t="s">
        <v>1056</v>
      </c>
      <c r="AD36" s="345"/>
      <c r="AE36" s="285">
        <f t="shared" si="2"/>
        <v>25000</v>
      </c>
      <c r="AF36" s="287">
        <v>0</v>
      </c>
    </row>
    <row r="37" spans="1:32" s="283" customFormat="1" hidden="1">
      <c r="A37" s="284" t="s">
        <v>1055</v>
      </c>
      <c r="B37" s="283" t="s">
        <v>15</v>
      </c>
      <c r="C37" s="283" t="s">
        <v>8</v>
      </c>
      <c r="D37" s="283" t="s">
        <v>1056</v>
      </c>
      <c r="E37" s="1" t="s">
        <v>1060</v>
      </c>
      <c r="F37" s="1" t="s">
        <v>2</v>
      </c>
      <c r="G37" s="1" t="s">
        <v>1061</v>
      </c>
      <c r="H37" s="285">
        <v>14</v>
      </c>
      <c r="I37" s="285">
        <v>1345178.1924333333</v>
      </c>
      <c r="J37" s="280">
        <f t="shared" si="0"/>
        <v>43349.413799797883</v>
      </c>
      <c r="K37" s="288">
        <v>0.35</v>
      </c>
      <c r="L37" s="285">
        <v>1600000</v>
      </c>
      <c r="M37" s="341"/>
      <c r="N37" s="291">
        <v>64000</v>
      </c>
      <c r="O37" s="291">
        <v>0</v>
      </c>
      <c r="P37" s="366">
        <f t="shared" si="5"/>
        <v>64000</v>
      </c>
      <c r="Q37" s="291">
        <v>0</v>
      </c>
      <c r="R37" s="345"/>
      <c r="S37" s="291">
        <v>0</v>
      </c>
      <c r="T37" s="345"/>
      <c r="U37" s="291" t="s">
        <v>1056</v>
      </c>
      <c r="V37" s="372"/>
      <c r="W37" s="291" t="s">
        <v>1056</v>
      </c>
      <c r="X37" s="372"/>
      <c r="Y37" s="285">
        <f t="shared" si="1"/>
        <v>0</v>
      </c>
      <c r="Z37" s="291">
        <v>0</v>
      </c>
      <c r="AA37" s="291">
        <v>49000</v>
      </c>
      <c r="AB37" s="291" t="s">
        <v>1056</v>
      </c>
      <c r="AC37" s="291" t="s">
        <v>1056</v>
      </c>
      <c r="AD37" s="345"/>
      <c r="AE37" s="285">
        <f t="shared" si="2"/>
        <v>49000</v>
      </c>
      <c r="AF37" s="287">
        <v>0</v>
      </c>
    </row>
    <row r="38" spans="1:32" s="283" customFormat="1" hidden="1">
      <c r="A38" s="284" t="s">
        <v>1055</v>
      </c>
      <c r="B38" s="283" t="s">
        <v>15</v>
      </c>
      <c r="C38" s="283" t="s">
        <v>8</v>
      </c>
      <c r="D38" s="283" t="s">
        <v>1056</v>
      </c>
      <c r="E38" s="283" t="s">
        <v>1060</v>
      </c>
      <c r="F38" s="1" t="s">
        <v>2</v>
      </c>
      <c r="G38" s="1" t="s">
        <v>51</v>
      </c>
      <c r="H38" s="285">
        <v>0</v>
      </c>
      <c r="I38" s="285">
        <f>I37</f>
        <v>1345178.1924333333</v>
      </c>
      <c r="J38" s="280">
        <f t="shared" si="0"/>
        <v>43349.413799797883</v>
      </c>
      <c r="K38" s="288">
        <v>0.99</v>
      </c>
      <c r="L38" s="285">
        <f t="shared" ref="L38:S41" si="19">L37</f>
        <v>1600000</v>
      </c>
      <c r="M38" s="341"/>
      <c r="N38" s="291">
        <f t="shared" ref="N38:O41" si="20">N37</f>
        <v>64000</v>
      </c>
      <c r="O38" s="291">
        <f t="shared" si="20"/>
        <v>0</v>
      </c>
      <c r="P38" s="366">
        <f t="shared" si="5"/>
        <v>64000</v>
      </c>
      <c r="Q38" s="291">
        <f t="shared" si="19"/>
        <v>0</v>
      </c>
      <c r="R38" s="345"/>
      <c r="S38" s="291">
        <f t="shared" si="19"/>
        <v>0</v>
      </c>
      <c r="T38" s="345"/>
      <c r="U38" s="291">
        <v>200</v>
      </c>
      <c r="V38" s="372"/>
      <c r="W38" s="291" t="s">
        <v>1056</v>
      </c>
      <c r="X38" s="372"/>
      <c r="Y38" s="285">
        <f t="shared" si="1"/>
        <v>200</v>
      </c>
      <c r="Z38" s="291">
        <f t="shared" ref="Z38:AA41" si="21">Z37</f>
        <v>0</v>
      </c>
      <c r="AA38" s="291">
        <f t="shared" si="21"/>
        <v>49000</v>
      </c>
      <c r="AB38" s="291">
        <v>16000</v>
      </c>
      <c r="AC38" s="291" t="s">
        <v>1056</v>
      </c>
      <c r="AD38" s="345"/>
      <c r="AE38" s="285">
        <f t="shared" si="2"/>
        <v>65000</v>
      </c>
      <c r="AF38" s="287">
        <v>0</v>
      </c>
    </row>
    <row r="39" spans="1:32" s="283" customFormat="1" hidden="1">
      <c r="A39" s="284" t="s">
        <v>1055</v>
      </c>
      <c r="B39" s="283" t="s">
        <v>15</v>
      </c>
      <c r="C39" s="283" t="s">
        <v>8</v>
      </c>
      <c r="D39" s="283" t="s">
        <v>1056</v>
      </c>
      <c r="E39" s="283" t="s">
        <v>1060</v>
      </c>
      <c r="F39" s="1" t="s">
        <v>2</v>
      </c>
      <c r="G39" s="1" t="s">
        <v>1062</v>
      </c>
      <c r="H39" s="285">
        <v>0</v>
      </c>
      <c r="I39" s="285">
        <f>I38</f>
        <v>1345178.1924333333</v>
      </c>
      <c r="J39" s="280">
        <f t="shared" si="0"/>
        <v>43349.413799797883</v>
      </c>
      <c r="K39" s="288">
        <v>0.99</v>
      </c>
      <c r="L39" s="285">
        <f t="shared" si="19"/>
        <v>1600000</v>
      </c>
      <c r="M39" s="341"/>
      <c r="N39" s="291">
        <f t="shared" si="20"/>
        <v>64000</v>
      </c>
      <c r="O39" s="291">
        <f t="shared" si="20"/>
        <v>0</v>
      </c>
      <c r="P39" s="366">
        <f t="shared" si="5"/>
        <v>64000</v>
      </c>
      <c r="Q39" s="291">
        <f t="shared" si="19"/>
        <v>0</v>
      </c>
      <c r="R39" s="345"/>
      <c r="S39" s="291">
        <f t="shared" si="19"/>
        <v>0</v>
      </c>
      <c r="T39" s="345"/>
      <c r="U39" s="291">
        <f>U38</f>
        <v>200</v>
      </c>
      <c r="V39" s="372"/>
      <c r="W39" s="291" t="s">
        <v>1056</v>
      </c>
      <c r="X39" s="372"/>
      <c r="Y39" s="285">
        <f t="shared" si="1"/>
        <v>200</v>
      </c>
      <c r="Z39" s="291">
        <f t="shared" si="21"/>
        <v>0</v>
      </c>
      <c r="AA39" s="291">
        <f t="shared" si="21"/>
        <v>49000</v>
      </c>
      <c r="AB39" s="291">
        <f>AB38</f>
        <v>16000</v>
      </c>
      <c r="AC39" s="291">
        <f>AC34</f>
        <v>900000</v>
      </c>
      <c r="AD39" s="363">
        <f>J39*1.2*5</f>
        <v>260096.4827987873</v>
      </c>
      <c r="AE39" s="285">
        <f t="shared" si="2"/>
        <v>1225096.4827987873</v>
      </c>
      <c r="AF39" s="287">
        <v>0</v>
      </c>
    </row>
    <row r="40" spans="1:32" s="283" customFormat="1" hidden="1">
      <c r="A40" s="284" t="s">
        <v>1055</v>
      </c>
      <c r="B40" s="283" t="s">
        <v>15</v>
      </c>
      <c r="C40" s="283" t="s">
        <v>8</v>
      </c>
      <c r="D40" s="283" t="s">
        <v>1056</v>
      </c>
      <c r="E40" s="283" t="s">
        <v>1060</v>
      </c>
      <c r="F40" s="1" t="s">
        <v>2</v>
      </c>
      <c r="G40" s="1" t="s">
        <v>1063</v>
      </c>
      <c r="H40" s="285">
        <v>0</v>
      </c>
      <c r="I40" s="285">
        <f>I39</f>
        <v>1345178.1924333333</v>
      </c>
      <c r="J40" s="280">
        <f t="shared" si="0"/>
        <v>43349.413799797883</v>
      </c>
      <c r="K40" s="288">
        <v>0</v>
      </c>
      <c r="L40" s="285">
        <f t="shared" si="19"/>
        <v>1600000</v>
      </c>
      <c r="M40" s="341"/>
      <c r="N40" s="291">
        <f t="shared" si="20"/>
        <v>64000</v>
      </c>
      <c r="O40" s="291">
        <f t="shared" si="20"/>
        <v>0</v>
      </c>
      <c r="P40" s="366">
        <f t="shared" si="5"/>
        <v>64000</v>
      </c>
      <c r="Q40" s="291">
        <f t="shared" si="19"/>
        <v>0</v>
      </c>
      <c r="R40" s="345"/>
      <c r="S40" s="291">
        <f t="shared" si="19"/>
        <v>0</v>
      </c>
      <c r="T40" s="345"/>
      <c r="U40" s="291" t="s">
        <v>1056</v>
      </c>
      <c r="V40" s="372"/>
      <c r="W40" s="291">
        <f>W41</f>
        <v>54000000</v>
      </c>
      <c r="X40" s="372"/>
      <c r="Y40" s="285">
        <f t="shared" si="1"/>
        <v>54000000</v>
      </c>
      <c r="Z40" s="291">
        <f t="shared" si="21"/>
        <v>0</v>
      </c>
      <c r="AA40" s="291">
        <f t="shared" si="21"/>
        <v>49000</v>
      </c>
      <c r="AB40" s="291" t="s">
        <v>1056</v>
      </c>
      <c r="AC40" s="291" t="s">
        <v>1056</v>
      </c>
      <c r="AD40" s="345"/>
      <c r="AE40" s="285">
        <f t="shared" si="2"/>
        <v>49000</v>
      </c>
      <c r="AF40" s="287">
        <v>0</v>
      </c>
    </row>
    <row r="41" spans="1:32" s="283" customFormat="1" hidden="1">
      <c r="A41" s="284" t="s">
        <v>1055</v>
      </c>
      <c r="B41" s="283" t="s">
        <v>15</v>
      </c>
      <c r="C41" s="283" t="s">
        <v>8</v>
      </c>
      <c r="D41" s="283" t="s">
        <v>1056</v>
      </c>
      <c r="E41" s="283" t="s">
        <v>1060</v>
      </c>
      <c r="F41" s="1" t="s">
        <v>2</v>
      </c>
      <c r="G41" s="1" t="s">
        <v>1064</v>
      </c>
      <c r="H41" s="285">
        <v>0</v>
      </c>
      <c r="I41" s="285">
        <f>I40</f>
        <v>1345178.1924333333</v>
      </c>
      <c r="J41" s="280">
        <f t="shared" si="0"/>
        <v>43349.413799797883</v>
      </c>
      <c r="K41" s="288">
        <v>0</v>
      </c>
      <c r="L41" s="285">
        <f t="shared" si="19"/>
        <v>1600000</v>
      </c>
      <c r="M41" s="341"/>
      <c r="N41" s="291">
        <f t="shared" si="20"/>
        <v>64000</v>
      </c>
      <c r="O41" s="291">
        <f t="shared" si="20"/>
        <v>0</v>
      </c>
      <c r="P41" s="366">
        <f t="shared" si="5"/>
        <v>64000</v>
      </c>
      <c r="Q41" s="291">
        <f t="shared" si="19"/>
        <v>0</v>
      </c>
      <c r="R41" s="345"/>
      <c r="S41" s="291">
        <f t="shared" si="19"/>
        <v>0</v>
      </c>
      <c r="T41" s="345"/>
      <c r="U41" s="291" t="s">
        <v>1056</v>
      </c>
      <c r="V41" s="372"/>
      <c r="W41" s="291">
        <v>54000000</v>
      </c>
      <c r="X41" s="372"/>
      <c r="Y41" s="285">
        <f t="shared" si="1"/>
        <v>54000000</v>
      </c>
      <c r="Z41" s="291">
        <f t="shared" si="21"/>
        <v>0</v>
      </c>
      <c r="AA41" s="291">
        <f t="shared" si="21"/>
        <v>49000</v>
      </c>
      <c r="AB41" s="291" t="s">
        <v>1056</v>
      </c>
      <c r="AC41" s="291" t="s">
        <v>1056</v>
      </c>
      <c r="AD41" s="345"/>
      <c r="AE41" s="285">
        <f t="shared" si="2"/>
        <v>49000</v>
      </c>
      <c r="AF41" s="287">
        <v>0</v>
      </c>
    </row>
    <row r="42" spans="1:32" s="283" customFormat="1" hidden="1">
      <c r="A42" s="284" t="s">
        <v>1055</v>
      </c>
      <c r="B42" s="1" t="s">
        <v>13</v>
      </c>
      <c r="C42" s="283" t="s">
        <v>6</v>
      </c>
      <c r="D42" s="283" t="s">
        <v>1056</v>
      </c>
      <c r="E42" s="283" t="s">
        <v>1057</v>
      </c>
      <c r="F42" s="1" t="s">
        <v>3</v>
      </c>
      <c r="G42" s="1" t="s">
        <v>1061</v>
      </c>
      <c r="H42" s="285">
        <v>32</v>
      </c>
      <c r="I42" s="285">
        <v>409129.20063694264</v>
      </c>
      <c r="J42" s="280">
        <f t="shared" si="0"/>
        <v>13184.506793043574</v>
      </c>
      <c r="K42" s="288">
        <v>0.35</v>
      </c>
      <c r="L42" s="285">
        <v>730000</v>
      </c>
      <c r="M42" s="341"/>
      <c r="N42" s="291">
        <v>29000</v>
      </c>
      <c r="O42" s="291">
        <v>47000</v>
      </c>
      <c r="P42" s="366">
        <f t="shared" si="5"/>
        <v>76000</v>
      </c>
      <c r="Q42" s="291">
        <v>0</v>
      </c>
      <c r="R42" s="345"/>
      <c r="S42" s="291">
        <v>0</v>
      </c>
      <c r="T42" s="345"/>
      <c r="U42" s="291" t="s">
        <v>1056</v>
      </c>
      <c r="V42" s="372"/>
      <c r="W42" s="291" t="s">
        <v>1056</v>
      </c>
      <c r="X42" s="372"/>
      <c r="Y42" s="285">
        <f t="shared" si="1"/>
        <v>0</v>
      </c>
      <c r="Z42" s="291">
        <v>0</v>
      </c>
      <c r="AA42" s="291">
        <v>23000</v>
      </c>
      <c r="AB42" s="291" t="s">
        <v>1056</v>
      </c>
      <c r="AC42" s="291" t="s">
        <v>1056</v>
      </c>
      <c r="AD42" s="345"/>
      <c r="AE42" s="285">
        <f t="shared" si="2"/>
        <v>23000</v>
      </c>
      <c r="AF42" s="287">
        <v>0</v>
      </c>
    </row>
    <row r="43" spans="1:32" s="283" customFormat="1" hidden="1">
      <c r="A43" s="284" t="s">
        <v>1055</v>
      </c>
      <c r="B43" s="1" t="s">
        <v>13</v>
      </c>
      <c r="C43" s="283" t="s">
        <v>6</v>
      </c>
      <c r="D43" s="283" t="s">
        <v>1056</v>
      </c>
      <c r="E43" s="283" t="s">
        <v>1057</v>
      </c>
      <c r="F43" s="1" t="s">
        <v>3</v>
      </c>
      <c r="G43" s="1" t="s">
        <v>51</v>
      </c>
      <c r="H43" s="285">
        <v>0</v>
      </c>
      <c r="I43" s="285">
        <f>I42</f>
        <v>409129.20063694264</v>
      </c>
      <c r="J43" s="280">
        <f t="shared" si="0"/>
        <v>13184.506793043574</v>
      </c>
      <c r="K43" s="288">
        <v>0.99</v>
      </c>
      <c r="L43" s="285">
        <f t="shared" ref="L43:S46" si="22">L42</f>
        <v>730000</v>
      </c>
      <c r="M43" s="341"/>
      <c r="N43" s="291">
        <f t="shared" ref="N43:O46" si="23">N42</f>
        <v>29000</v>
      </c>
      <c r="O43" s="291">
        <f t="shared" si="23"/>
        <v>47000</v>
      </c>
      <c r="P43" s="366">
        <f t="shared" si="5"/>
        <v>76000</v>
      </c>
      <c r="Q43" s="291">
        <f t="shared" si="22"/>
        <v>0</v>
      </c>
      <c r="R43" s="345"/>
      <c r="S43" s="291">
        <f t="shared" si="22"/>
        <v>0</v>
      </c>
      <c r="T43" s="345"/>
      <c r="U43" s="291">
        <v>130</v>
      </c>
      <c r="V43" s="372"/>
      <c r="W43" s="291" t="s">
        <v>1056</v>
      </c>
      <c r="X43" s="372"/>
      <c r="Y43" s="285">
        <f t="shared" si="1"/>
        <v>130</v>
      </c>
      <c r="Z43" s="291">
        <f t="shared" ref="Z43:AA46" si="24">Z42</f>
        <v>0</v>
      </c>
      <c r="AA43" s="291">
        <f t="shared" si="24"/>
        <v>23000</v>
      </c>
      <c r="AB43" s="291">
        <v>9500</v>
      </c>
      <c r="AC43" s="291" t="s">
        <v>1056</v>
      </c>
      <c r="AD43" s="345"/>
      <c r="AE43" s="285">
        <f t="shared" si="2"/>
        <v>32500</v>
      </c>
      <c r="AF43" s="287">
        <v>0</v>
      </c>
    </row>
    <row r="44" spans="1:32" s="283" customFormat="1" hidden="1">
      <c r="A44" s="284" t="s">
        <v>1055</v>
      </c>
      <c r="B44" s="1" t="s">
        <v>13</v>
      </c>
      <c r="C44" s="283" t="s">
        <v>6</v>
      </c>
      <c r="D44" s="283" t="s">
        <v>1056</v>
      </c>
      <c r="E44" s="283" t="s">
        <v>1057</v>
      </c>
      <c r="F44" s="1" t="s">
        <v>3</v>
      </c>
      <c r="G44" s="1" t="s">
        <v>1062</v>
      </c>
      <c r="H44" s="285">
        <v>0</v>
      </c>
      <c r="I44" s="285">
        <f>I43</f>
        <v>409129.20063694264</v>
      </c>
      <c r="J44" s="280">
        <f t="shared" si="0"/>
        <v>13184.506793043574</v>
      </c>
      <c r="K44" s="288">
        <v>0.99</v>
      </c>
      <c r="L44" s="285">
        <f t="shared" si="22"/>
        <v>730000</v>
      </c>
      <c r="M44" s="341"/>
      <c r="N44" s="291">
        <f t="shared" si="23"/>
        <v>29000</v>
      </c>
      <c r="O44" s="291">
        <f t="shared" si="23"/>
        <v>47000</v>
      </c>
      <c r="P44" s="366">
        <f t="shared" si="5"/>
        <v>76000</v>
      </c>
      <c r="Q44" s="291">
        <f t="shared" si="22"/>
        <v>0</v>
      </c>
      <c r="R44" s="345"/>
      <c r="S44" s="291">
        <f t="shared" si="22"/>
        <v>0</v>
      </c>
      <c r="T44" s="345"/>
      <c r="U44" s="291">
        <f>U43</f>
        <v>130</v>
      </c>
      <c r="V44" s="372"/>
      <c r="W44" s="291" t="s">
        <v>1056</v>
      </c>
      <c r="X44" s="372"/>
      <c r="Y44" s="285">
        <f t="shared" ref="Y44:Y107" si="25">SUM(Q44:W44)</f>
        <v>130</v>
      </c>
      <c r="Z44" s="291">
        <f t="shared" si="24"/>
        <v>0</v>
      </c>
      <c r="AA44" s="291">
        <f t="shared" si="24"/>
        <v>23000</v>
      </c>
      <c r="AB44" s="291">
        <f>AB43</f>
        <v>9500</v>
      </c>
      <c r="AC44" s="291">
        <f>AC39</f>
        <v>900000</v>
      </c>
      <c r="AD44" s="363">
        <f>J44*1.2*5</f>
        <v>79107.040758261443</v>
      </c>
      <c r="AE44" s="285">
        <f t="shared" ref="AE44:AE75" si="26">SUM(Z44:AD44)</f>
        <v>1011607.0407582615</v>
      </c>
      <c r="AF44" s="287">
        <v>0</v>
      </c>
    </row>
    <row r="45" spans="1:32" s="283" customFormat="1" hidden="1">
      <c r="A45" s="284" t="s">
        <v>1055</v>
      </c>
      <c r="B45" s="1" t="s">
        <v>13</v>
      </c>
      <c r="C45" s="283" t="s">
        <v>6</v>
      </c>
      <c r="D45" s="283" t="s">
        <v>1056</v>
      </c>
      <c r="E45" s="283" t="s">
        <v>1057</v>
      </c>
      <c r="F45" s="1" t="s">
        <v>3</v>
      </c>
      <c r="G45" s="1" t="s">
        <v>1063</v>
      </c>
      <c r="H45" s="285">
        <v>0</v>
      </c>
      <c r="I45" s="285">
        <f>I44</f>
        <v>409129.20063694264</v>
      </c>
      <c r="J45" s="280">
        <f t="shared" si="0"/>
        <v>13184.506793043574</v>
      </c>
      <c r="K45" s="288">
        <v>0</v>
      </c>
      <c r="L45" s="285">
        <f t="shared" si="22"/>
        <v>730000</v>
      </c>
      <c r="M45" s="341"/>
      <c r="N45" s="291">
        <f t="shared" si="23"/>
        <v>29000</v>
      </c>
      <c r="O45" s="291">
        <f t="shared" si="23"/>
        <v>47000</v>
      </c>
      <c r="P45" s="366">
        <f t="shared" si="5"/>
        <v>76000</v>
      </c>
      <c r="Q45" s="291">
        <f t="shared" si="22"/>
        <v>0</v>
      </c>
      <c r="R45" s="345"/>
      <c r="S45" s="291">
        <f t="shared" si="22"/>
        <v>0</v>
      </c>
      <c r="T45" s="345"/>
      <c r="U45" s="291" t="s">
        <v>1056</v>
      </c>
      <c r="V45" s="372"/>
      <c r="W45" s="291">
        <f>W46</f>
        <v>54000000</v>
      </c>
      <c r="X45" s="372"/>
      <c r="Y45" s="285">
        <f t="shared" si="25"/>
        <v>54000000</v>
      </c>
      <c r="Z45" s="291">
        <f t="shared" si="24"/>
        <v>0</v>
      </c>
      <c r="AA45" s="291">
        <f t="shared" si="24"/>
        <v>23000</v>
      </c>
      <c r="AB45" s="291" t="s">
        <v>1056</v>
      </c>
      <c r="AC45" s="291" t="s">
        <v>1056</v>
      </c>
      <c r="AD45" s="345"/>
      <c r="AE45" s="285">
        <f t="shared" si="26"/>
        <v>23000</v>
      </c>
      <c r="AF45" s="287">
        <v>0</v>
      </c>
    </row>
    <row r="46" spans="1:32" s="283" customFormat="1" hidden="1">
      <c r="A46" s="284" t="s">
        <v>1055</v>
      </c>
      <c r="B46" s="1" t="s">
        <v>13</v>
      </c>
      <c r="C46" s="283" t="s">
        <v>6</v>
      </c>
      <c r="D46" s="283" t="s">
        <v>1056</v>
      </c>
      <c r="E46" s="283" t="s">
        <v>1057</v>
      </c>
      <c r="F46" s="1" t="s">
        <v>3</v>
      </c>
      <c r="G46" s="1" t="s">
        <v>1064</v>
      </c>
      <c r="H46" s="285">
        <v>0</v>
      </c>
      <c r="I46" s="285">
        <f>I45</f>
        <v>409129.20063694264</v>
      </c>
      <c r="J46" s="280">
        <f t="shared" si="0"/>
        <v>13184.506793043574</v>
      </c>
      <c r="K46" s="288">
        <v>0</v>
      </c>
      <c r="L46" s="285">
        <f t="shared" si="22"/>
        <v>730000</v>
      </c>
      <c r="M46" s="341"/>
      <c r="N46" s="291">
        <f t="shared" si="23"/>
        <v>29000</v>
      </c>
      <c r="O46" s="291">
        <f t="shared" si="23"/>
        <v>47000</v>
      </c>
      <c r="P46" s="366">
        <f t="shared" si="5"/>
        <v>76000</v>
      </c>
      <c r="Q46" s="291">
        <f t="shared" si="22"/>
        <v>0</v>
      </c>
      <c r="R46" s="345"/>
      <c r="S46" s="291">
        <f t="shared" si="22"/>
        <v>0</v>
      </c>
      <c r="T46" s="345"/>
      <c r="U46" s="291" t="s">
        <v>1056</v>
      </c>
      <c r="V46" s="372"/>
      <c r="W46" s="291">
        <v>54000000</v>
      </c>
      <c r="X46" s="372"/>
      <c r="Y46" s="285">
        <f t="shared" si="25"/>
        <v>54000000</v>
      </c>
      <c r="Z46" s="291">
        <f t="shared" si="24"/>
        <v>0</v>
      </c>
      <c r="AA46" s="291">
        <f t="shared" si="24"/>
        <v>23000</v>
      </c>
      <c r="AB46" s="291" t="s">
        <v>1056</v>
      </c>
      <c r="AC46" s="291" t="s">
        <v>1056</v>
      </c>
      <c r="AD46" s="345"/>
      <c r="AE46" s="285">
        <f t="shared" si="26"/>
        <v>23000</v>
      </c>
      <c r="AF46" s="287">
        <v>0</v>
      </c>
    </row>
    <row r="47" spans="1:32" hidden="1">
      <c r="A47" s="284" t="s">
        <v>1055</v>
      </c>
      <c r="B47" s="283" t="s">
        <v>13</v>
      </c>
      <c r="C47" s="283" t="s">
        <v>7</v>
      </c>
      <c r="D47" s="283" t="s">
        <v>1056</v>
      </c>
      <c r="E47" s="1" t="s">
        <v>1059</v>
      </c>
      <c r="F47" s="1" t="s">
        <v>3</v>
      </c>
      <c r="G47" s="1" t="s">
        <v>1061</v>
      </c>
      <c r="H47" s="285">
        <v>19</v>
      </c>
      <c r="I47" s="285">
        <v>795458.63157894742</v>
      </c>
      <c r="J47" s="280">
        <f t="shared" si="0"/>
        <v>25634.273269446952</v>
      </c>
      <c r="K47" s="288">
        <v>0.35</v>
      </c>
      <c r="L47" s="285">
        <v>1100000</v>
      </c>
      <c r="M47" s="341"/>
      <c r="N47" s="291">
        <v>45000</v>
      </c>
      <c r="O47" s="291">
        <v>71000</v>
      </c>
      <c r="P47" s="366">
        <f t="shared" si="5"/>
        <v>116000</v>
      </c>
      <c r="Q47" s="291">
        <v>0</v>
      </c>
      <c r="R47" s="345"/>
      <c r="S47" s="291">
        <v>0</v>
      </c>
      <c r="T47" s="345"/>
      <c r="U47" s="291" t="s">
        <v>1056</v>
      </c>
      <c r="V47" s="372"/>
      <c r="W47" s="291" t="s">
        <v>1056</v>
      </c>
      <c r="X47" s="372"/>
      <c r="Y47" s="285">
        <f t="shared" si="25"/>
        <v>0</v>
      </c>
      <c r="Z47" s="291">
        <v>0</v>
      </c>
      <c r="AA47" s="291">
        <v>35000</v>
      </c>
      <c r="AB47" s="291" t="s">
        <v>1056</v>
      </c>
      <c r="AC47" s="291" t="s">
        <v>1056</v>
      </c>
      <c r="AD47" s="345"/>
      <c r="AE47" s="285">
        <f t="shared" si="26"/>
        <v>35000</v>
      </c>
      <c r="AF47" s="287">
        <v>0</v>
      </c>
    </row>
    <row r="48" spans="1:32" hidden="1">
      <c r="A48" s="284" t="s">
        <v>1055</v>
      </c>
      <c r="B48" s="283" t="s">
        <v>13</v>
      </c>
      <c r="C48" s="283" t="s">
        <v>7</v>
      </c>
      <c r="D48" s="283" t="s">
        <v>1056</v>
      </c>
      <c r="E48" s="1" t="s">
        <v>1059</v>
      </c>
      <c r="F48" s="1" t="s">
        <v>3</v>
      </c>
      <c r="G48" s="1" t="s">
        <v>51</v>
      </c>
      <c r="H48" s="285">
        <v>0</v>
      </c>
      <c r="I48" s="285">
        <f>I47</f>
        <v>795458.63157894742</v>
      </c>
      <c r="J48" s="280">
        <f t="shared" si="0"/>
        <v>25634.273269446952</v>
      </c>
      <c r="K48" s="288">
        <v>0.99</v>
      </c>
      <c r="L48" s="285">
        <f t="shared" ref="L48:S51" si="27">L47</f>
        <v>1100000</v>
      </c>
      <c r="M48" s="341"/>
      <c r="N48" s="291">
        <f t="shared" ref="N48:O51" si="28">N47</f>
        <v>45000</v>
      </c>
      <c r="O48" s="291">
        <f t="shared" si="28"/>
        <v>71000</v>
      </c>
      <c r="P48" s="366">
        <f t="shared" si="5"/>
        <v>116000</v>
      </c>
      <c r="Q48" s="291">
        <f t="shared" si="27"/>
        <v>0</v>
      </c>
      <c r="R48" s="345"/>
      <c r="S48" s="291">
        <f t="shared" si="27"/>
        <v>0</v>
      </c>
      <c r="T48" s="345"/>
      <c r="U48" s="291">
        <v>130</v>
      </c>
      <c r="V48" s="372"/>
      <c r="W48" s="291" t="s">
        <v>1056</v>
      </c>
      <c r="X48" s="372"/>
      <c r="Y48" s="285">
        <f t="shared" si="25"/>
        <v>130</v>
      </c>
      <c r="Z48" s="291">
        <f t="shared" ref="Z48:AA51" si="29">Z47</f>
        <v>0</v>
      </c>
      <c r="AA48" s="291">
        <f t="shared" si="29"/>
        <v>35000</v>
      </c>
      <c r="AB48" s="291">
        <v>9500</v>
      </c>
      <c r="AC48" s="291" t="s">
        <v>1056</v>
      </c>
      <c r="AD48" s="345"/>
      <c r="AE48" s="285">
        <f t="shared" si="26"/>
        <v>44500</v>
      </c>
      <c r="AF48" s="287">
        <v>0</v>
      </c>
    </row>
    <row r="49" spans="1:32" hidden="1">
      <c r="A49" s="284" t="s">
        <v>1055</v>
      </c>
      <c r="B49" s="283" t="s">
        <v>13</v>
      </c>
      <c r="C49" s="283" t="s">
        <v>7</v>
      </c>
      <c r="D49" s="283" t="s">
        <v>1056</v>
      </c>
      <c r="E49" s="1" t="s">
        <v>1059</v>
      </c>
      <c r="F49" s="1" t="s">
        <v>3</v>
      </c>
      <c r="G49" s="1" t="s">
        <v>1062</v>
      </c>
      <c r="H49" s="285">
        <v>0</v>
      </c>
      <c r="I49" s="285">
        <f>I48</f>
        <v>795458.63157894742</v>
      </c>
      <c r="J49" s="280">
        <f t="shared" si="0"/>
        <v>25634.273269446952</v>
      </c>
      <c r="K49" s="288">
        <v>0.99</v>
      </c>
      <c r="L49" s="285">
        <f t="shared" si="27"/>
        <v>1100000</v>
      </c>
      <c r="M49" s="341"/>
      <c r="N49" s="291">
        <f t="shared" si="28"/>
        <v>45000</v>
      </c>
      <c r="O49" s="291">
        <f t="shared" si="28"/>
        <v>71000</v>
      </c>
      <c r="P49" s="366">
        <f t="shared" si="5"/>
        <v>116000</v>
      </c>
      <c r="Q49" s="291">
        <f t="shared" si="27"/>
        <v>0</v>
      </c>
      <c r="R49" s="345"/>
      <c r="S49" s="291">
        <f t="shared" si="27"/>
        <v>0</v>
      </c>
      <c r="T49" s="345"/>
      <c r="U49" s="291">
        <f>U48</f>
        <v>130</v>
      </c>
      <c r="V49" s="372"/>
      <c r="W49" s="291" t="s">
        <v>1056</v>
      </c>
      <c r="X49" s="372"/>
      <c r="Y49" s="285">
        <f t="shared" si="25"/>
        <v>130</v>
      </c>
      <c r="Z49" s="291">
        <f t="shared" si="29"/>
        <v>0</v>
      </c>
      <c r="AA49" s="291">
        <f t="shared" si="29"/>
        <v>35000</v>
      </c>
      <c r="AB49" s="291">
        <f>AB48</f>
        <v>9500</v>
      </c>
      <c r="AC49" s="291">
        <f>AC44</f>
        <v>900000</v>
      </c>
      <c r="AD49" s="363">
        <f>J49*1.2*5</f>
        <v>153805.6396166817</v>
      </c>
      <c r="AE49" s="285">
        <f t="shared" si="26"/>
        <v>1098305.6396166817</v>
      </c>
      <c r="AF49" s="287">
        <v>0</v>
      </c>
    </row>
    <row r="50" spans="1:32" hidden="1">
      <c r="A50" s="284" t="s">
        <v>1055</v>
      </c>
      <c r="B50" s="283" t="s">
        <v>13</v>
      </c>
      <c r="C50" s="283" t="s">
        <v>7</v>
      </c>
      <c r="D50" s="283" t="s">
        <v>1056</v>
      </c>
      <c r="E50" s="1" t="s">
        <v>1059</v>
      </c>
      <c r="F50" s="1" t="s">
        <v>3</v>
      </c>
      <c r="G50" s="1" t="s">
        <v>1063</v>
      </c>
      <c r="H50" s="285">
        <v>0</v>
      </c>
      <c r="I50" s="285">
        <f>I49</f>
        <v>795458.63157894742</v>
      </c>
      <c r="J50" s="280">
        <f t="shared" si="0"/>
        <v>25634.273269446952</v>
      </c>
      <c r="K50" s="288">
        <v>0</v>
      </c>
      <c r="L50" s="285">
        <f t="shared" si="27"/>
        <v>1100000</v>
      </c>
      <c r="M50" s="341"/>
      <c r="N50" s="291">
        <f t="shared" si="28"/>
        <v>45000</v>
      </c>
      <c r="O50" s="291">
        <f t="shared" si="28"/>
        <v>71000</v>
      </c>
      <c r="P50" s="366">
        <f t="shared" si="5"/>
        <v>116000</v>
      </c>
      <c r="Q50" s="291">
        <f t="shared" si="27"/>
        <v>0</v>
      </c>
      <c r="R50" s="345"/>
      <c r="S50" s="291">
        <f t="shared" si="27"/>
        <v>0</v>
      </c>
      <c r="T50" s="345"/>
      <c r="U50" s="291" t="s">
        <v>1056</v>
      </c>
      <c r="V50" s="372"/>
      <c r="W50" s="291">
        <f>W51</f>
        <v>54000000</v>
      </c>
      <c r="X50" s="372"/>
      <c r="Y50" s="285">
        <f t="shared" si="25"/>
        <v>54000000</v>
      </c>
      <c r="Z50" s="291">
        <f t="shared" si="29"/>
        <v>0</v>
      </c>
      <c r="AA50" s="291">
        <f t="shared" si="29"/>
        <v>35000</v>
      </c>
      <c r="AB50" s="291" t="s">
        <v>1056</v>
      </c>
      <c r="AC50" s="291" t="s">
        <v>1056</v>
      </c>
      <c r="AD50" s="345"/>
      <c r="AE50" s="285">
        <f t="shared" si="26"/>
        <v>35000</v>
      </c>
      <c r="AF50" s="287">
        <v>0</v>
      </c>
    </row>
    <row r="51" spans="1:32" hidden="1">
      <c r="A51" s="284" t="s">
        <v>1055</v>
      </c>
      <c r="B51" s="283" t="s">
        <v>13</v>
      </c>
      <c r="C51" s="283" t="s">
        <v>7</v>
      </c>
      <c r="D51" s="283" t="s">
        <v>1056</v>
      </c>
      <c r="E51" s="1" t="s">
        <v>1059</v>
      </c>
      <c r="F51" s="1" t="s">
        <v>3</v>
      </c>
      <c r="G51" s="1" t="s">
        <v>1064</v>
      </c>
      <c r="H51" s="285">
        <v>0</v>
      </c>
      <c r="I51" s="285">
        <f>I50</f>
        <v>795458.63157894742</v>
      </c>
      <c r="J51" s="280">
        <f t="shared" si="0"/>
        <v>25634.273269446952</v>
      </c>
      <c r="K51" s="288">
        <v>0</v>
      </c>
      <c r="L51" s="285">
        <f t="shared" si="27"/>
        <v>1100000</v>
      </c>
      <c r="M51" s="341"/>
      <c r="N51" s="291">
        <f t="shared" si="28"/>
        <v>45000</v>
      </c>
      <c r="O51" s="291">
        <f t="shared" si="28"/>
        <v>71000</v>
      </c>
      <c r="P51" s="366">
        <f t="shared" si="5"/>
        <v>116000</v>
      </c>
      <c r="Q51" s="291">
        <f t="shared" si="27"/>
        <v>0</v>
      </c>
      <c r="R51" s="345"/>
      <c r="S51" s="291">
        <f t="shared" si="27"/>
        <v>0</v>
      </c>
      <c r="T51" s="345"/>
      <c r="U51" s="291" t="s">
        <v>1056</v>
      </c>
      <c r="V51" s="372"/>
      <c r="W51" s="291">
        <v>54000000</v>
      </c>
      <c r="X51" s="372"/>
      <c r="Y51" s="285">
        <f t="shared" si="25"/>
        <v>54000000</v>
      </c>
      <c r="Z51" s="291">
        <f t="shared" si="29"/>
        <v>0</v>
      </c>
      <c r="AA51" s="291">
        <f t="shared" si="29"/>
        <v>35000</v>
      </c>
      <c r="AB51" s="291" t="s">
        <v>1056</v>
      </c>
      <c r="AC51" s="291" t="s">
        <v>1056</v>
      </c>
      <c r="AD51" s="345"/>
      <c r="AE51" s="285">
        <f t="shared" si="26"/>
        <v>35000</v>
      </c>
      <c r="AF51" s="287">
        <v>0</v>
      </c>
    </row>
    <row r="52" spans="1:32" hidden="1">
      <c r="A52" s="284" t="s">
        <v>1055</v>
      </c>
      <c r="B52" s="283" t="s">
        <v>13</v>
      </c>
      <c r="C52" s="283" t="s">
        <v>8</v>
      </c>
      <c r="D52" s="283" t="s">
        <v>1056</v>
      </c>
      <c r="E52" s="1" t="s">
        <v>1060</v>
      </c>
      <c r="F52" s="1" t="s">
        <v>3</v>
      </c>
      <c r="G52" s="1" t="s">
        <v>1061</v>
      </c>
      <c r="H52" s="285">
        <v>20</v>
      </c>
      <c r="I52" s="285">
        <v>2255984.782051282</v>
      </c>
      <c r="J52" s="280">
        <f t="shared" si="0"/>
        <v>72700.864757763004</v>
      </c>
      <c r="K52" s="288">
        <v>0.35</v>
      </c>
      <c r="L52" s="285">
        <v>2600000</v>
      </c>
      <c r="M52" s="341"/>
      <c r="N52" s="291">
        <v>100000</v>
      </c>
      <c r="O52" s="291">
        <v>160000</v>
      </c>
      <c r="P52" s="366">
        <f t="shared" si="5"/>
        <v>260000</v>
      </c>
      <c r="Q52" s="291">
        <v>0</v>
      </c>
      <c r="R52" s="345"/>
      <c r="S52" s="291">
        <v>0</v>
      </c>
      <c r="T52" s="345"/>
      <c r="U52" s="291" t="s">
        <v>1056</v>
      </c>
      <c r="V52" s="372"/>
      <c r="W52" s="291" t="s">
        <v>1056</v>
      </c>
      <c r="X52" s="372"/>
      <c r="Y52" s="285">
        <f t="shared" si="25"/>
        <v>0</v>
      </c>
      <c r="Z52" s="291">
        <v>0</v>
      </c>
      <c r="AA52" s="291">
        <v>79000</v>
      </c>
      <c r="AB52" s="291" t="s">
        <v>1056</v>
      </c>
      <c r="AC52" s="291" t="s">
        <v>1056</v>
      </c>
      <c r="AD52" s="345"/>
      <c r="AE52" s="285">
        <f t="shared" si="26"/>
        <v>79000</v>
      </c>
      <c r="AF52" s="287">
        <v>0</v>
      </c>
    </row>
    <row r="53" spans="1:32" hidden="1">
      <c r="A53" s="284" t="s">
        <v>1055</v>
      </c>
      <c r="B53" s="283" t="s">
        <v>13</v>
      </c>
      <c r="C53" s="283" t="s">
        <v>8</v>
      </c>
      <c r="D53" s="283" t="s">
        <v>1056</v>
      </c>
      <c r="E53" s="283" t="s">
        <v>1060</v>
      </c>
      <c r="F53" s="1" t="s">
        <v>3</v>
      </c>
      <c r="G53" s="1" t="s">
        <v>51</v>
      </c>
      <c r="H53" s="285">
        <v>0</v>
      </c>
      <c r="I53" s="285">
        <f>I52</f>
        <v>2255984.782051282</v>
      </c>
      <c r="J53" s="280">
        <f t="shared" si="0"/>
        <v>72700.864757763004</v>
      </c>
      <c r="K53" s="288">
        <v>0.99</v>
      </c>
      <c r="L53" s="285">
        <f t="shared" ref="L53:S56" si="30">L52</f>
        <v>2600000</v>
      </c>
      <c r="M53" s="341"/>
      <c r="N53" s="291">
        <f t="shared" ref="N53:O56" si="31">N52</f>
        <v>100000</v>
      </c>
      <c r="O53" s="291">
        <f t="shared" si="31"/>
        <v>160000</v>
      </c>
      <c r="P53" s="366">
        <f t="shared" si="5"/>
        <v>260000</v>
      </c>
      <c r="Q53" s="291">
        <f t="shared" si="30"/>
        <v>0</v>
      </c>
      <c r="R53" s="345"/>
      <c r="S53" s="291">
        <f t="shared" si="30"/>
        <v>0</v>
      </c>
      <c r="T53" s="345"/>
      <c r="U53" s="291">
        <v>200</v>
      </c>
      <c r="V53" s="372"/>
      <c r="W53" s="291" t="s">
        <v>1056</v>
      </c>
      <c r="X53" s="372"/>
      <c r="Y53" s="285">
        <f t="shared" si="25"/>
        <v>200</v>
      </c>
      <c r="Z53" s="291">
        <f t="shared" ref="Z53:AA56" si="32">Z52</f>
        <v>0</v>
      </c>
      <c r="AA53" s="291">
        <f t="shared" si="32"/>
        <v>79000</v>
      </c>
      <c r="AB53" s="291">
        <v>16000</v>
      </c>
      <c r="AC53" s="291" t="s">
        <v>1056</v>
      </c>
      <c r="AD53" s="345"/>
      <c r="AE53" s="285">
        <f t="shared" si="26"/>
        <v>95000</v>
      </c>
      <c r="AF53" s="287">
        <v>0</v>
      </c>
    </row>
    <row r="54" spans="1:32" hidden="1">
      <c r="A54" s="284" t="s">
        <v>1055</v>
      </c>
      <c r="B54" s="283" t="s">
        <v>13</v>
      </c>
      <c r="C54" s="283" t="s">
        <v>8</v>
      </c>
      <c r="D54" s="283" t="s">
        <v>1056</v>
      </c>
      <c r="E54" s="283" t="s">
        <v>1060</v>
      </c>
      <c r="F54" s="1" t="s">
        <v>3</v>
      </c>
      <c r="G54" s="1" t="s">
        <v>1062</v>
      </c>
      <c r="H54" s="285">
        <v>0</v>
      </c>
      <c r="I54" s="285">
        <f>I53</f>
        <v>2255984.782051282</v>
      </c>
      <c r="J54" s="280">
        <f t="shared" si="0"/>
        <v>72700.864757763004</v>
      </c>
      <c r="K54" s="288">
        <v>0.99</v>
      </c>
      <c r="L54" s="285">
        <f t="shared" si="30"/>
        <v>2600000</v>
      </c>
      <c r="M54" s="341"/>
      <c r="N54" s="291">
        <f t="shared" si="31"/>
        <v>100000</v>
      </c>
      <c r="O54" s="291">
        <f t="shared" si="31"/>
        <v>160000</v>
      </c>
      <c r="P54" s="366">
        <f t="shared" si="5"/>
        <v>260000</v>
      </c>
      <c r="Q54" s="291">
        <f t="shared" si="30"/>
        <v>0</v>
      </c>
      <c r="R54" s="345"/>
      <c r="S54" s="291">
        <f t="shared" si="30"/>
        <v>0</v>
      </c>
      <c r="T54" s="345"/>
      <c r="U54" s="291">
        <f>U53</f>
        <v>200</v>
      </c>
      <c r="V54" s="372"/>
      <c r="W54" s="291" t="s">
        <v>1056</v>
      </c>
      <c r="X54" s="372"/>
      <c r="Y54" s="285">
        <f t="shared" si="25"/>
        <v>200</v>
      </c>
      <c r="Z54" s="291">
        <f t="shared" si="32"/>
        <v>0</v>
      </c>
      <c r="AA54" s="291">
        <f t="shared" si="32"/>
        <v>79000</v>
      </c>
      <c r="AB54" s="291">
        <f>AB53</f>
        <v>16000</v>
      </c>
      <c r="AC54" s="291">
        <f>AC49</f>
        <v>900000</v>
      </c>
      <c r="AD54" s="363">
        <f>J54*1.2*5</f>
        <v>436205.18854657799</v>
      </c>
      <c r="AE54" s="285">
        <f t="shared" si="26"/>
        <v>1431205.1885465779</v>
      </c>
      <c r="AF54" s="287">
        <v>0</v>
      </c>
    </row>
    <row r="55" spans="1:32" hidden="1">
      <c r="A55" s="284" t="s">
        <v>1055</v>
      </c>
      <c r="B55" s="283" t="s">
        <v>13</v>
      </c>
      <c r="C55" s="283" t="s">
        <v>8</v>
      </c>
      <c r="D55" s="283" t="s">
        <v>1056</v>
      </c>
      <c r="E55" s="283" t="s">
        <v>1060</v>
      </c>
      <c r="F55" s="1" t="s">
        <v>3</v>
      </c>
      <c r="G55" s="1" t="s">
        <v>1063</v>
      </c>
      <c r="H55" s="285">
        <v>0</v>
      </c>
      <c r="I55" s="285">
        <f>I54</f>
        <v>2255984.782051282</v>
      </c>
      <c r="J55" s="280">
        <f t="shared" si="0"/>
        <v>72700.864757763004</v>
      </c>
      <c r="K55" s="288">
        <v>0</v>
      </c>
      <c r="L55" s="285">
        <f t="shared" si="30"/>
        <v>2600000</v>
      </c>
      <c r="M55" s="341"/>
      <c r="N55" s="291">
        <f t="shared" si="31"/>
        <v>100000</v>
      </c>
      <c r="O55" s="291">
        <f t="shared" si="31"/>
        <v>160000</v>
      </c>
      <c r="P55" s="366">
        <f t="shared" si="5"/>
        <v>260000</v>
      </c>
      <c r="Q55" s="291">
        <f t="shared" si="30"/>
        <v>0</v>
      </c>
      <c r="R55" s="345"/>
      <c r="S55" s="291">
        <f t="shared" si="30"/>
        <v>0</v>
      </c>
      <c r="T55" s="345"/>
      <c r="U55" s="291" t="s">
        <v>1056</v>
      </c>
      <c r="V55" s="372"/>
      <c r="W55" s="291">
        <f>W56</f>
        <v>54000000</v>
      </c>
      <c r="X55" s="372"/>
      <c r="Y55" s="285">
        <f t="shared" si="25"/>
        <v>54000000</v>
      </c>
      <c r="Z55" s="291">
        <f t="shared" si="32"/>
        <v>0</v>
      </c>
      <c r="AA55" s="291">
        <f t="shared" si="32"/>
        <v>79000</v>
      </c>
      <c r="AB55" s="291" t="s">
        <v>1056</v>
      </c>
      <c r="AC55" s="291" t="s">
        <v>1056</v>
      </c>
      <c r="AD55" s="345"/>
      <c r="AE55" s="285">
        <f t="shared" si="26"/>
        <v>79000</v>
      </c>
      <c r="AF55" s="287">
        <v>0</v>
      </c>
    </row>
    <row r="56" spans="1:32" hidden="1">
      <c r="A56" s="284" t="s">
        <v>1055</v>
      </c>
      <c r="B56" s="283" t="s">
        <v>13</v>
      </c>
      <c r="C56" s="283" t="s">
        <v>8</v>
      </c>
      <c r="D56" s="283" t="s">
        <v>1056</v>
      </c>
      <c r="E56" s="283" t="s">
        <v>1060</v>
      </c>
      <c r="F56" s="1" t="s">
        <v>3</v>
      </c>
      <c r="G56" s="1" t="s">
        <v>1064</v>
      </c>
      <c r="H56" s="285">
        <v>0</v>
      </c>
      <c r="I56" s="285">
        <f>I55</f>
        <v>2255984.782051282</v>
      </c>
      <c r="J56" s="280">
        <f t="shared" si="0"/>
        <v>72700.864757763004</v>
      </c>
      <c r="K56" s="288">
        <v>0</v>
      </c>
      <c r="L56" s="285">
        <f t="shared" si="30"/>
        <v>2600000</v>
      </c>
      <c r="M56" s="341"/>
      <c r="N56" s="291">
        <f t="shared" si="31"/>
        <v>100000</v>
      </c>
      <c r="O56" s="291">
        <f t="shared" si="31"/>
        <v>160000</v>
      </c>
      <c r="P56" s="366">
        <f t="shared" si="5"/>
        <v>260000</v>
      </c>
      <c r="Q56" s="291">
        <f t="shared" si="30"/>
        <v>0</v>
      </c>
      <c r="R56" s="345"/>
      <c r="S56" s="291">
        <f t="shared" si="30"/>
        <v>0</v>
      </c>
      <c r="T56" s="345"/>
      <c r="U56" s="291" t="s">
        <v>1056</v>
      </c>
      <c r="V56" s="372"/>
      <c r="W56" s="291">
        <v>54000000</v>
      </c>
      <c r="X56" s="372"/>
      <c r="Y56" s="285">
        <f t="shared" si="25"/>
        <v>54000000</v>
      </c>
      <c r="Z56" s="291">
        <f t="shared" si="32"/>
        <v>0</v>
      </c>
      <c r="AA56" s="291">
        <f t="shared" si="32"/>
        <v>79000</v>
      </c>
      <c r="AB56" s="291" t="s">
        <v>1056</v>
      </c>
      <c r="AC56" s="291" t="s">
        <v>1056</v>
      </c>
      <c r="AD56" s="345"/>
      <c r="AE56" s="285">
        <f t="shared" si="26"/>
        <v>79000</v>
      </c>
      <c r="AF56" s="287">
        <v>0</v>
      </c>
    </row>
    <row r="57" spans="1:32" hidden="1">
      <c r="A57" s="284" t="s">
        <v>1055</v>
      </c>
      <c r="B57" s="1" t="s">
        <v>15</v>
      </c>
      <c r="C57" s="283" t="s">
        <v>6</v>
      </c>
      <c r="D57" s="283" t="s">
        <v>1056</v>
      </c>
      <c r="E57" s="283" t="s">
        <v>1057</v>
      </c>
      <c r="F57" s="1" t="s">
        <v>3</v>
      </c>
      <c r="G57" s="1" t="s">
        <v>1061</v>
      </c>
      <c r="H57" s="285">
        <v>1</v>
      </c>
      <c r="I57" s="285">
        <v>156587.2535217391</v>
      </c>
      <c r="J57" s="280">
        <f t="shared" si="0"/>
        <v>5046.1460696212825</v>
      </c>
      <c r="K57" s="288">
        <v>0.35</v>
      </c>
      <c r="L57" s="285">
        <v>460000</v>
      </c>
      <c r="M57" s="341"/>
      <c r="N57" s="291">
        <v>19000</v>
      </c>
      <c r="O57" s="291">
        <v>0</v>
      </c>
      <c r="P57" s="366">
        <f t="shared" si="5"/>
        <v>19000</v>
      </c>
      <c r="Q57" s="291">
        <v>0</v>
      </c>
      <c r="R57" s="345"/>
      <c r="S57" s="291">
        <v>0</v>
      </c>
      <c r="T57" s="345"/>
      <c r="U57" s="291" t="s">
        <v>1056</v>
      </c>
      <c r="V57" s="372"/>
      <c r="W57" s="291" t="s">
        <v>1056</v>
      </c>
      <c r="X57" s="372"/>
      <c r="Y57" s="285">
        <f t="shared" si="25"/>
        <v>0</v>
      </c>
      <c r="Z57" s="291">
        <v>0</v>
      </c>
      <c r="AA57" s="291">
        <v>14000</v>
      </c>
      <c r="AB57" s="291" t="s">
        <v>1056</v>
      </c>
      <c r="AC57" s="291" t="s">
        <v>1056</v>
      </c>
      <c r="AD57" s="345"/>
      <c r="AE57" s="285">
        <f t="shared" si="26"/>
        <v>14000</v>
      </c>
      <c r="AF57" s="287">
        <v>0</v>
      </c>
    </row>
    <row r="58" spans="1:32" hidden="1">
      <c r="A58" s="284" t="s">
        <v>1055</v>
      </c>
      <c r="B58" s="1" t="s">
        <v>15</v>
      </c>
      <c r="C58" s="283" t="s">
        <v>6</v>
      </c>
      <c r="D58" s="283" t="s">
        <v>1056</v>
      </c>
      <c r="E58" s="283" t="s">
        <v>1057</v>
      </c>
      <c r="F58" s="1" t="s">
        <v>3</v>
      </c>
      <c r="G58" s="1" t="s">
        <v>51</v>
      </c>
      <c r="H58" s="285">
        <v>0</v>
      </c>
      <c r="I58" s="285">
        <f>I57</f>
        <v>156587.2535217391</v>
      </c>
      <c r="J58" s="280">
        <f t="shared" si="0"/>
        <v>5046.1460696212825</v>
      </c>
      <c r="K58" s="288">
        <v>0.99</v>
      </c>
      <c r="L58" s="285">
        <f t="shared" ref="L58:S61" si="33">L57</f>
        <v>460000</v>
      </c>
      <c r="M58" s="341"/>
      <c r="N58" s="291">
        <f t="shared" ref="N58:O61" si="34">N57</f>
        <v>19000</v>
      </c>
      <c r="O58" s="291">
        <f t="shared" si="34"/>
        <v>0</v>
      </c>
      <c r="P58" s="366">
        <f t="shared" si="5"/>
        <v>19000</v>
      </c>
      <c r="Q58" s="291">
        <f t="shared" si="33"/>
        <v>0</v>
      </c>
      <c r="R58" s="345"/>
      <c r="S58" s="291">
        <f t="shared" si="33"/>
        <v>0</v>
      </c>
      <c r="T58" s="345"/>
      <c r="U58" s="291">
        <v>130</v>
      </c>
      <c r="V58" s="372"/>
      <c r="W58" s="291" t="s">
        <v>1056</v>
      </c>
      <c r="X58" s="372"/>
      <c r="Y58" s="285">
        <f t="shared" si="25"/>
        <v>130</v>
      </c>
      <c r="Z58" s="291">
        <f t="shared" ref="Z58:AA61" si="35">Z57</f>
        <v>0</v>
      </c>
      <c r="AA58" s="291">
        <f t="shared" si="35"/>
        <v>14000</v>
      </c>
      <c r="AB58" s="291">
        <v>9500</v>
      </c>
      <c r="AC58" s="291" t="s">
        <v>1056</v>
      </c>
      <c r="AD58" s="345"/>
      <c r="AE58" s="285">
        <f t="shared" si="26"/>
        <v>23500</v>
      </c>
      <c r="AF58" s="287">
        <v>0</v>
      </c>
    </row>
    <row r="59" spans="1:32" hidden="1">
      <c r="A59" s="284" t="s">
        <v>1055</v>
      </c>
      <c r="B59" s="1" t="s">
        <v>15</v>
      </c>
      <c r="C59" s="283" t="s">
        <v>6</v>
      </c>
      <c r="D59" s="283" t="s">
        <v>1056</v>
      </c>
      <c r="E59" s="283" t="s">
        <v>1057</v>
      </c>
      <c r="F59" s="1" t="s">
        <v>3</v>
      </c>
      <c r="G59" s="1" t="s">
        <v>1062</v>
      </c>
      <c r="H59" s="285">
        <v>0</v>
      </c>
      <c r="I59" s="285">
        <f>I58</f>
        <v>156587.2535217391</v>
      </c>
      <c r="J59" s="280">
        <f t="shared" si="0"/>
        <v>5046.1460696212825</v>
      </c>
      <c r="K59" s="288">
        <v>0.99</v>
      </c>
      <c r="L59" s="285">
        <f t="shared" si="33"/>
        <v>460000</v>
      </c>
      <c r="M59" s="341"/>
      <c r="N59" s="291">
        <f t="shared" si="34"/>
        <v>19000</v>
      </c>
      <c r="O59" s="291">
        <f t="shared" si="34"/>
        <v>0</v>
      </c>
      <c r="P59" s="366">
        <f t="shared" si="5"/>
        <v>19000</v>
      </c>
      <c r="Q59" s="291">
        <f t="shared" si="33"/>
        <v>0</v>
      </c>
      <c r="R59" s="345"/>
      <c r="S59" s="291">
        <f t="shared" si="33"/>
        <v>0</v>
      </c>
      <c r="T59" s="345"/>
      <c r="U59" s="291">
        <f>U58</f>
        <v>130</v>
      </c>
      <c r="V59" s="372"/>
      <c r="W59" s="291" t="s">
        <v>1056</v>
      </c>
      <c r="X59" s="372"/>
      <c r="Y59" s="285">
        <f t="shared" si="25"/>
        <v>130</v>
      </c>
      <c r="Z59" s="291">
        <f t="shared" si="35"/>
        <v>0</v>
      </c>
      <c r="AA59" s="291">
        <f t="shared" si="35"/>
        <v>14000</v>
      </c>
      <c r="AB59" s="291">
        <f>AB58</f>
        <v>9500</v>
      </c>
      <c r="AC59" s="291">
        <f>AC54</f>
        <v>900000</v>
      </c>
      <c r="AD59" s="363">
        <f>J59*1.2*5</f>
        <v>30276.876417727693</v>
      </c>
      <c r="AE59" s="285">
        <f t="shared" si="26"/>
        <v>953776.87641772768</v>
      </c>
      <c r="AF59" s="287">
        <v>0</v>
      </c>
    </row>
    <row r="60" spans="1:32" hidden="1">
      <c r="A60" s="284" t="s">
        <v>1055</v>
      </c>
      <c r="B60" s="1" t="s">
        <v>15</v>
      </c>
      <c r="C60" s="283" t="s">
        <v>6</v>
      </c>
      <c r="D60" s="283" t="s">
        <v>1056</v>
      </c>
      <c r="E60" s="283" t="s">
        <v>1057</v>
      </c>
      <c r="F60" s="1" t="s">
        <v>3</v>
      </c>
      <c r="G60" s="1" t="s">
        <v>1063</v>
      </c>
      <c r="H60" s="285">
        <v>0</v>
      </c>
      <c r="I60" s="285">
        <f>I59</f>
        <v>156587.2535217391</v>
      </c>
      <c r="J60" s="280">
        <f t="shared" si="0"/>
        <v>5046.1460696212825</v>
      </c>
      <c r="K60" s="288">
        <v>0</v>
      </c>
      <c r="L60" s="285">
        <f t="shared" si="33"/>
        <v>460000</v>
      </c>
      <c r="M60" s="341"/>
      <c r="N60" s="291">
        <f t="shared" si="34"/>
        <v>19000</v>
      </c>
      <c r="O60" s="291">
        <f t="shared" si="34"/>
        <v>0</v>
      </c>
      <c r="P60" s="366">
        <f t="shared" si="5"/>
        <v>19000</v>
      </c>
      <c r="Q60" s="291">
        <f t="shared" si="33"/>
        <v>0</v>
      </c>
      <c r="R60" s="345"/>
      <c r="S60" s="291">
        <f t="shared" si="33"/>
        <v>0</v>
      </c>
      <c r="T60" s="345"/>
      <c r="U60" s="291" t="s">
        <v>1056</v>
      </c>
      <c r="V60" s="372"/>
      <c r="W60" s="291">
        <f>W61</f>
        <v>54000000</v>
      </c>
      <c r="X60" s="372"/>
      <c r="Y60" s="285">
        <f t="shared" si="25"/>
        <v>54000000</v>
      </c>
      <c r="Z60" s="291">
        <f t="shared" si="35"/>
        <v>0</v>
      </c>
      <c r="AA60" s="291">
        <f t="shared" si="35"/>
        <v>14000</v>
      </c>
      <c r="AB60" s="291" t="s">
        <v>1056</v>
      </c>
      <c r="AC60" s="291" t="s">
        <v>1056</v>
      </c>
      <c r="AD60" s="345"/>
      <c r="AE60" s="285">
        <f t="shared" si="26"/>
        <v>14000</v>
      </c>
      <c r="AF60" s="287">
        <v>0</v>
      </c>
    </row>
    <row r="61" spans="1:32" hidden="1">
      <c r="A61" s="284" t="s">
        <v>1055</v>
      </c>
      <c r="B61" s="1" t="s">
        <v>15</v>
      </c>
      <c r="C61" s="283" t="s">
        <v>6</v>
      </c>
      <c r="D61" s="283" t="s">
        <v>1056</v>
      </c>
      <c r="E61" s="283" t="s">
        <v>1057</v>
      </c>
      <c r="F61" s="1" t="s">
        <v>3</v>
      </c>
      <c r="G61" s="1" t="s">
        <v>1064</v>
      </c>
      <c r="H61" s="285">
        <v>0</v>
      </c>
      <c r="I61" s="285">
        <f>I60</f>
        <v>156587.2535217391</v>
      </c>
      <c r="J61" s="280">
        <f t="shared" si="0"/>
        <v>5046.1460696212825</v>
      </c>
      <c r="K61" s="288">
        <v>0</v>
      </c>
      <c r="L61" s="285">
        <f t="shared" si="33"/>
        <v>460000</v>
      </c>
      <c r="M61" s="341"/>
      <c r="N61" s="291">
        <f t="shared" si="34"/>
        <v>19000</v>
      </c>
      <c r="O61" s="291">
        <f t="shared" si="34"/>
        <v>0</v>
      </c>
      <c r="P61" s="366">
        <f t="shared" si="5"/>
        <v>19000</v>
      </c>
      <c r="Q61" s="291">
        <f t="shared" si="33"/>
        <v>0</v>
      </c>
      <c r="R61" s="345"/>
      <c r="S61" s="291">
        <f t="shared" si="33"/>
        <v>0</v>
      </c>
      <c r="T61" s="345"/>
      <c r="U61" s="291" t="s">
        <v>1056</v>
      </c>
      <c r="V61" s="372"/>
      <c r="W61" s="291">
        <v>54000000</v>
      </c>
      <c r="X61" s="372"/>
      <c r="Y61" s="285">
        <f t="shared" si="25"/>
        <v>54000000</v>
      </c>
      <c r="Z61" s="291">
        <f t="shared" si="35"/>
        <v>0</v>
      </c>
      <c r="AA61" s="291">
        <f t="shared" si="35"/>
        <v>14000</v>
      </c>
      <c r="AB61" s="291" t="s">
        <v>1056</v>
      </c>
      <c r="AC61" s="291" t="s">
        <v>1056</v>
      </c>
      <c r="AD61" s="345"/>
      <c r="AE61" s="285">
        <f t="shared" si="26"/>
        <v>14000</v>
      </c>
      <c r="AF61" s="287">
        <v>0</v>
      </c>
    </row>
    <row r="62" spans="1:32" hidden="1">
      <c r="A62" s="284" t="s">
        <v>1055</v>
      </c>
      <c r="B62" s="283" t="s">
        <v>15</v>
      </c>
      <c r="C62" s="283" t="s">
        <v>7</v>
      </c>
      <c r="D62" s="283" t="s">
        <v>1056</v>
      </c>
      <c r="E62" s="1" t="s">
        <v>1059</v>
      </c>
      <c r="F62" s="1" t="s">
        <v>3</v>
      </c>
      <c r="G62" s="1" t="s">
        <v>1061</v>
      </c>
      <c r="H62" s="285">
        <v>0</v>
      </c>
      <c r="I62" s="285">
        <v>306421.90986363631</v>
      </c>
      <c r="J62" s="280">
        <f t="shared" si="0"/>
        <v>9874.6844416015556</v>
      </c>
      <c r="K62" s="288">
        <v>0.35</v>
      </c>
      <c r="L62" s="285">
        <v>590000</v>
      </c>
      <c r="M62" s="341"/>
      <c r="N62" s="291">
        <v>24000</v>
      </c>
      <c r="O62" s="291">
        <v>0</v>
      </c>
      <c r="P62" s="366">
        <f t="shared" si="5"/>
        <v>24000</v>
      </c>
      <c r="Q62" s="291">
        <v>0</v>
      </c>
      <c r="R62" s="345"/>
      <c r="S62" s="291">
        <v>0</v>
      </c>
      <c r="T62" s="345"/>
      <c r="U62" s="291" t="s">
        <v>1056</v>
      </c>
      <c r="V62" s="372"/>
      <c r="W62" s="291" t="s">
        <v>1056</v>
      </c>
      <c r="X62" s="372"/>
      <c r="Y62" s="285">
        <f t="shared" si="25"/>
        <v>0</v>
      </c>
      <c r="Z62" s="291">
        <v>0</v>
      </c>
      <c r="AA62" s="291">
        <v>18000</v>
      </c>
      <c r="AB62" s="291" t="s">
        <v>1056</v>
      </c>
      <c r="AC62" s="291" t="s">
        <v>1056</v>
      </c>
      <c r="AD62" s="345"/>
      <c r="AE62" s="285">
        <f t="shared" si="26"/>
        <v>18000</v>
      </c>
      <c r="AF62" s="287">
        <v>0</v>
      </c>
    </row>
    <row r="63" spans="1:32" hidden="1">
      <c r="A63" s="284" t="s">
        <v>1055</v>
      </c>
      <c r="B63" s="283" t="s">
        <v>15</v>
      </c>
      <c r="C63" s="283" t="s">
        <v>7</v>
      </c>
      <c r="D63" s="283" t="s">
        <v>1056</v>
      </c>
      <c r="E63" s="1" t="s">
        <v>1059</v>
      </c>
      <c r="F63" s="1" t="s">
        <v>3</v>
      </c>
      <c r="G63" s="1" t="s">
        <v>51</v>
      </c>
      <c r="H63" s="285">
        <v>0</v>
      </c>
      <c r="I63" s="285">
        <f>I62</f>
        <v>306421.90986363631</v>
      </c>
      <c r="J63" s="280">
        <f t="shared" si="0"/>
        <v>9874.6844416015556</v>
      </c>
      <c r="K63" s="288">
        <v>0.99</v>
      </c>
      <c r="L63" s="285">
        <f t="shared" ref="L63:S66" si="36">L62</f>
        <v>590000</v>
      </c>
      <c r="M63" s="341"/>
      <c r="N63" s="291">
        <f t="shared" ref="N63:O66" si="37">N62</f>
        <v>24000</v>
      </c>
      <c r="O63" s="291">
        <f t="shared" si="37"/>
        <v>0</v>
      </c>
      <c r="P63" s="366">
        <f t="shared" si="5"/>
        <v>24000</v>
      </c>
      <c r="Q63" s="291">
        <f t="shared" si="36"/>
        <v>0</v>
      </c>
      <c r="R63" s="345"/>
      <c r="S63" s="291">
        <f t="shared" si="36"/>
        <v>0</v>
      </c>
      <c r="T63" s="345"/>
      <c r="U63" s="291">
        <v>130</v>
      </c>
      <c r="V63" s="372"/>
      <c r="W63" s="291" t="s">
        <v>1056</v>
      </c>
      <c r="X63" s="372"/>
      <c r="Y63" s="285">
        <f t="shared" si="25"/>
        <v>130</v>
      </c>
      <c r="Z63" s="291">
        <f t="shared" ref="Z63:AA66" si="38">Z62</f>
        <v>0</v>
      </c>
      <c r="AA63" s="291">
        <f t="shared" si="38"/>
        <v>18000</v>
      </c>
      <c r="AB63" s="291">
        <v>9500</v>
      </c>
      <c r="AC63" s="291" t="s">
        <v>1056</v>
      </c>
      <c r="AD63" s="345"/>
      <c r="AE63" s="285">
        <f t="shared" si="26"/>
        <v>27500</v>
      </c>
      <c r="AF63" s="287">
        <v>0</v>
      </c>
    </row>
    <row r="64" spans="1:32" hidden="1">
      <c r="A64" s="284" t="s">
        <v>1055</v>
      </c>
      <c r="B64" s="283" t="s">
        <v>15</v>
      </c>
      <c r="C64" s="283" t="s">
        <v>7</v>
      </c>
      <c r="D64" s="283" t="s">
        <v>1056</v>
      </c>
      <c r="E64" s="1" t="s">
        <v>1059</v>
      </c>
      <c r="F64" s="1" t="s">
        <v>3</v>
      </c>
      <c r="G64" s="1" t="s">
        <v>1062</v>
      </c>
      <c r="H64" s="285">
        <v>0</v>
      </c>
      <c r="I64" s="285">
        <f>I63</f>
        <v>306421.90986363631</v>
      </c>
      <c r="J64" s="280">
        <f t="shared" si="0"/>
        <v>9874.6844416015556</v>
      </c>
      <c r="K64" s="288">
        <v>0.99</v>
      </c>
      <c r="L64" s="285">
        <f t="shared" si="36"/>
        <v>590000</v>
      </c>
      <c r="M64" s="341"/>
      <c r="N64" s="291">
        <f t="shared" si="37"/>
        <v>24000</v>
      </c>
      <c r="O64" s="291">
        <f t="shared" si="37"/>
        <v>0</v>
      </c>
      <c r="P64" s="366">
        <f t="shared" si="5"/>
        <v>24000</v>
      </c>
      <c r="Q64" s="291">
        <f t="shared" si="36"/>
        <v>0</v>
      </c>
      <c r="R64" s="345"/>
      <c r="S64" s="291">
        <f t="shared" si="36"/>
        <v>0</v>
      </c>
      <c r="T64" s="345"/>
      <c r="U64" s="291">
        <f>U63</f>
        <v>130</v>
      </c>
      <c r="V64" s="372"/>
      <c r="W64" s="291" t="s">
        <v>1056</v>
      </c>
      <c r="X64" s="372"/>
      <c r="Y64" s="285">
        <f t="shared" si="25"/>
        <v>130</v>
      </c>
      <c r="Z64" s="291">
        <f t="shared" si="38"/>
        <v>0</v>
      </c>
      <c r="AA64" s="291">
        <f t="shared" si="38"/>
        <v>18000</v>
      </c>
      <c r="AB64" s="291">
        <f>AB63</f>
        <v>9500</v>
      </c>
      <c r="AC64" s="291">
        <f>AC59</f>
        <v>900000</v>
      </c>
      <c r="AD64" s="363">
        <f>J64*1.2*5</f>
        <v>59248.106649609334</v>
      </c>
      <c r="AE64" s="285">
        <f t="shared" si="26"/>
        <v>986748.10664960928</v>
      </c>
      <c r="AF64" s="287">
        <v>0</v>
      </c>
    </row>
    <row r="65" spans="1:32" hidden="1">
      <c r="A65" s="284" t="s">
        <v>1055</v>
      </c>
      <c r="B65" s="283" t="s">
        <v>15</v>
      </c>
      <c r="C65" s="283" t="s">
        <v>7</v>
      </c>
      <c r="D65" s="283" t="s">
        <v>1056</v>
      </c>
      <c r="E65" s="1" t="s">
        <v>1059</v>
      </c>
      <c r="F65" s="1" t="s">
        <v>3</v>
      </c>
      <c r="G65" s="1" t="s">
        <v>1063</v>
      </c>
      <c r="H65" s="285">
        <v>0</v>
      </c>
      <c r="I65" s="285">
        <f>I64</f>
        <v>306421.90986363631</v>
      </c>
      <c r="J65" s="280">
        <f t="shared" si="0"/>
        <v>9874.6844416015556</v>
      </c>
      <c r="K65" s="288">
        <v>0</v>
      </c>
      <c r="L65" s="285">
        <f t="shared" si="36"/>
        <v>590000</v>
      </c>
      <c r="M65" s="341"/>
      <c r="N65" s="291">
        <f t="shared" si="37"/>
        <v>24000</v>
      </c>
      <c r="O65" s="291">
        <f t="shared" si="37"/>
        <v>0</v>
      </c>
      <c r="P65" s="366">
        <f t="shared" si="5"/>
        <v>24000</v>
      </c>
      <c r="Q65" s="291">
        <f t="shared" si="36"/>
        <v>0</v>
      </c>
      <c r="R65" s="345"/>
      <c r="S65" s="291">
        <f t="shared" si="36"/>
        <v>0</v>
      </c>
      <c r="T65" s="345"/>
      <c r="U65" s="291" t="s">
        <v>1056</v>
      </c>
      <c r="V65" s="372"/>
      <c r="W65" s="291">
        <f>W66</f>
        <v>54000000</v>
      </c>
      <c r="X65" s="372"/>
      <c r="Y65" s="285">
        <f t="shared" si="25"/>
        <v>54000000</v>
      </c>
      <c r="Z65" s="291">
        <f t="shared" si="38"/>
        <v>0</v>
      </c>
      <c r="AA65" s="291">
        <f t="shared" si="38"/>
        <v>18000</v>
      </c>
      <c r="AB65" s="291" t="s">
        <v>1056</v>
      </c>
      <c r="AC65" s="291" t="s">
        <v>1056</v>
      </c>
      <c r="AD65" s="345"/>
      <c r="AE65" s="285">
        <f t="shared" si="26"/>
        <v>18000</v>
      </c>
      <c r="AF65" s="287">
        <v>0</v>
      </c>
    </row>
    <row r="66" spans="1:32" hidden="1">
      <c r="A66" s="284" t="s">
        <v>1055</v>
      </c>
      <c r="B66" s="283" t="s">
        <v>15</v>
      </c>
      <c r="C66" s="283" t="s">
        <v>7</v>
      </c>
      <c r="D66" s="283" t="s">
        <v>1056</v>
      </c>
      <c r="E66" s="1" t="s">
        <v>1059</v>
      </c>
      <c r="F66" s="1" t="s">
        <v>3</v>
      </c>
      <c r="G66" s="1" t="s">
        <v>1064</v>
      </c>
      <c r="H66" s="285">
        <v>0</v>
      </c>
      <c r="I66" s="285">
        <f>I65</f>
        <v>306421.90986363631</v>
      </c>
      <c r="J66" s="280">
        <f t="shared" si="0"/>
        <v>9874.6844416015556</v>
      </c>
      <c r="K66" s="288">
        <v>0</v>
      </c>
      <c r="L66" s="285">
        <f t="shared" si="36"/>
        <v>590000</v>
      </c>
      <c r="M66" s="341"/>
      <c r="N66" s="291">
        <f t="shared" si="37"/>
        <v>24000</v>
      </c>
      <c r="O66" s="291">
        <f t="shared" si="37"/>
        <v>0</v>
      </c>
      <c r="P66" s="366">
        <f t="shared" si="5"/>
        <v>24000</v>
      </c>
      <c r="Q66" s="291">
        <f t="shared" si="36"/>
        <v>0</v>
      </c>
      <c r="R66" s="345"/>
      <c r="S66" s="291">
        <f t="shared" si="36"/>
        <v>0</v>
      </c>
      <c r="T66" s="345"/>
      <c r="U66" s="291" t="s">
        <v>1056</v>
      </c>
      <c r="V66" s="372"/>
      <c r="W66" s="291">
        <v>54000000</v>
      </c>
      <c r="X66" s="372"/>
      <c r="Y66" s="285">
        <f t="shared" si="25"/>
        <v>54000000</v>
      </c>
      <c r="Z66" s="291">
        <f t="shared" si="38"/>
        <v>0</v>
      </c>
      <c r="AA66" s="291">
        <f t="shared" si="38"/>
        <v>18000</v>
      </c>
      <c r="AB66" s="291" t="s">
        <v>1056</v>
      </c>
      <c r="AC66" s="291" t="s">
        <v>1056</v>
      </c>
      <c r="AD66" s="345"/>
      <c r="AE66" s="285">
        <f t="shared" si="26"/>
        <v>18000</v>
      </c>
      <c r="AF66" s="287">
        <v>0</v>
      </c>
    </row>
    <row r="67" spans="1:32" hidden="1">
      <c r="A67" s="284" t="s">
        <v>1055</v>
      </c>
      <c r="B67" s="283" t="s">
        <v>15</v>
      </c>
      <c r="C67" s="283" t="s">
        <v>8</v>
      </c>
      <c r="D67" s="283" t="s">
        <v>1056</v>
      </c>
      <c r="E67" s="1" t="s">
        <v>1060</v>
      </c>
      <c r="F67" s="1" t="s">
        <v>3</v>
      </c>
      <c r="G67" s="1" t="s">
        <v>1061</v>
      </c>
      <c r="H67" s="285">
        <v>12</v>
      </c>
      <c r="I67" s="285">
        <v>1345178.1924333333</v>
      </c>
      <c r="J67" s="280">
        <f t="shared" si="0"/>
        <v>43349.413799797883</v>
      </c>
      <c r="K67" s="288">
        <v>0.35</v>
      </c>
      <c r="L67" s="285">
        <v>1700000</v>
      </c>
      <c r="M67" s="341"/>
      <c r="N67" s="291">
        <v>68000</v>
      </c>
      <c r="O67" s="291">
        <v>0</v>
      </c>
      <c r="P67" s="366">
        <f t="shared" si="5"/>
        <v>68000</v>
      </c>
      <c r="Q67" s="291">
        <v>0</v>
      </c>
      <c r="R67" s="345"/>
      <c r="S67" s="291">
        <v>0</v>
      </c>
      <c r="T67" s="345"/>
      <c r="U67" s="291" t="s">
        <v>1056</v>
      </c>
      <c r="V67" s="372"/>
      <c r="W67" s="291" t="s">
        <v>1056</v>
      </c>
      <c r="X67" s="372"/>
      <c r="Y67" s="285">
        <f t="shared" si="25"/>
        <v>0</v>
      </c>
      <c r="Z67" s="291">
        <v>0</v>
      </c>
      <c r="AA67" s="291">
        <v>53000</v>
      </c>
      <c r="AB67" s="291" t="s">
        <v>1056</v>
      </c>
      <c r="AC67" s="291" t="s">
        <v>1056</v>
      </c>
      <c r="AD67" s="345"/>
      <c r="AE67" s="285">
        <f t="shared" si="26"/>
        <v>53000</v>
      </c>
      <c r="AF67" s="287">
        <v>0</v>
      </c>
    </row>
    <row r="68" spans="1:32" hidden="1">
      <c r="A68" s="284" t="s">
        <v>1055</v>
      </c>
      <c r="B68" s="283" t="s">
        <v>15</v>
      </c>
      <c r="C68" s="283" t="s">
        <v>8</v>
      </c>
      <c r="D68" s="283" t="s">
        <v>1056</v>
      </c>
      <c r="E68" s="283" t="s">
        <v>1060</v>
      </c>
      <c r="F68" s="1" t="s">
        <v>3</v>
      </c>
      <c r="G68" s="1" t="s">
        <v>51</v>
      </c>
      <c r="H68" s="285">
        <v>0</v>
      </c>
      <c r="I68" s="285">
        <f>I67</f>
        <v>1345178.1924333333</v>
      </c>
      <c r="J68" s="280">
        <f t="shared" ref="J68:J131" si="39">I68*$E$289</f>
        <v>43349.413799797883</v>
      </c>
      <c r="K68" s="288">
        <v>0.99</v>
      </c>
      <c r="L68" s="285">
        <f t="shared" ref="L68:S71" si="40">L67</f>
        <v>1700000</v>
      </c>
      <c r="M68" s="341"/>
      <c r="N68" s="291">
        <f t="shared" ref="N68:O71" si="41">N67</f>
        <v>68000</v>
      </c>
      <c r="O68" s="291">
        <f t="shared" si="41"/>
        <v>0</v>
      </c>
      <c r="P68" s="366">
        <f t="shared" si="5"/>
        <v>68000</v>
      </c>
      <c r="Q68" s="291">
        <f t="shared" si="40"/>
        <v>0</v>
      </c>
      <c r="R68" s="345"/>
      <c r="S68" s="291">
        <f t="shared" si="40"/>
        <v>0</v>
      </c>
      <c r="T68" s="345"/>
      <c r="U68" s="291">
        <v>200</v>
      </c>
      <c r="V68" s="372"/>
      <c r="W68" s="291" t="s">
        <v>1056</v>
      </c>
      <c r="X68" s="372"/>
      <c r="Y68" s="285">
        <f t="shared" si="25"/>
        <v>200</v>
      </c>
      <c r="Z68" s="291">
        <f t="shared" ref="Z68:AA71" si="42">Z67</f>
        <v>0</v>
      </c>
      <c r="AA68" s="291">
        <f t="shared" si="42"/>
        <v>53000</v>
      </c>
      <c r="AB68" s="291">
        <v>16000</v>
      </c>
      <c r="AC68" s="291" t="s">
        <v>1056</v>
      </c>
      <c r="AD68" s="345"/>
      <c r="AE68" s="285">
        <f t="shared" si="26"/>
        <v>69000</v>
      </c>
      <c r="AF68" s="287">
        <v>0</v>
      </c>
    </row>
    <row r="69" spans="1:32" hidden="1">
      <c r="A69" s="284" t="s">
        <v>1055</v>
      </c>
      <c r="B69" s="283" t="s">
        <v>15</v>
      </c>
      <c r="C69" s="283" t="s">
        <v>8</v>
      </c>
      <c r="D69" s="283" t="s">
        <v>1056</v>
      </c>
      <c r="E69" s="283" t="s">
        <v>1060</v>
      </c>
      <c r="F69" s="1" t="s">
        <v>3</v>
      </c>
      <c r="G69" s="1" t="s">
        <v>1062</v>
      </c>
      <c r="H69" s="285">
        <v>0</v>
      </c>
      <c r="I69" s="285">
        <f>I68</f>
        <v>1345178.1924333333</v>
      </c>
      <c r="J69" s="280">
        <f t="shared" si="39"/>
        <v>43349.413799797883</v>
      </c>
      <c r="K69" s="288">
        <v>0.99</v>
      </c>
      <c r="L69" s="285">
        <f t="shared" si="40"/>
        <v>1700000</v>
      </c>
      <c r="M69" s="341"/>
      <c r="N69" s="291">
        <f t="shared" si="41"/>
        <v>68000</v>
      </c>
      <c r="O69" s="291">
        <f t="shared" si="41"/>
        <v>0</v>
      </c>
      <c r="P69" s="366">
        <f t="shared" si="5"/>
        <v>68000</v>
      </c>
      <c r="Q69" s="291">
        <f t="shared" si="40"/>
        <v>0</v>
      </c>
      <c r="R69" s="345"/>
      <c r="S69" s="291">
        <f t="shared" si="40"/>
        <v>0</v>
      </c>
      <c r="T69" s="345"/>
      <c r="U69" s="291">
        <f>U68</f>
        <v>200</v>
      </c>
      <c r="V69" s="372"/>
      <c r="W69" s="291" t="s">
        <v>1056</v>
      </c>
      <c r="X69" s="372"/>
      <c r="Y69" s="285">
        <f t="shared" si="25"/>
        <v>200</v>
      </c>
      <c r="Z69" s="291">
        <f t="shared" si="42"/>
        <v>0</v>
      </c>
      <c r="AA69" s="291">
        <f t="shared" si="42"/>
        <v>53000</v>
      </c>
      <c r="AB69" s="291">
        <f>AB68</f>
        <v>16000</v>
      </c>
      <c r="AC69" s="291">
        <f>AC64</f>
        <v>900000</v>
      </c>
      <c r="AD69" s="363">
        <f>J69*1.2*5</f>
        <v>260096.4827987873</v>
      </c>
      <c r="AE69" s="285">
        <f t="shared" si="26"/>
        <v>1229096.4827987873</v>
      </c>
      <c r="AF69" s="287">
        <v>0</v>
      </c>
    </row>
    <row r="70" spans="1:32" hidden="1">
      <c r="A70" s="284" t="s">
        <v>1055</v>
      </c>
      <c r="B70" s="283" t="s">
        <v>15</v>
      </c>
      <c r="C70" s="283" t="s">
        <v>8</v>
      </c>
      <c r="D70" s="283" t="s">
        <v>1056</v>
      </c>
      <c r="E70" s="283" t="s">
        <v>1060</v>
      </c>
      <c r="F70" s="1" t="s">
        <v>3</v>
      </c>
      <c r="G70" s="1" t="s">
        <v>1063</v>
      </c>
      <c r="H70" s="285">
        <v>0</v>
      </c>
      <c r="I70" s="285">
        <f>I69</f>
        <v>1345178.1924333333</v>
      </c>
      <c r="J70" s="280">
        <f t="shared" si="39"/>
        <v>43349.413799797883</v>
      </c>
      <c r="K70" s="288">
        <v>0</v>
      </c>
      <c r="L70" s="285">
        <f t="shared" si="40"/>
        <v>1700000</v>
      </c>
      <c r="M70" s="341"/>
      <c r="N70" s="291">
        <f t="shared" si="41"/>
        <v>68000</v>
      </c>
      <c r="O70" s="291">
        <f t="shared" si="41"/>
        <v>0</v>
      </c>
      <c r="P70" s="366">
        <f t="shared" si="5"/>
        <v>68000</v>
      </c>
      <c r="Q70" s="291">
        <f t="shared" si="40"/>
        <v>0</v>
      </c>
      <c r="R70" s="345"/>
      <c r="S70" s="291">
        <f t="shared" si="40"/>
        <v>0</v>
      </c>
      <c r="T70" s="345"/>
      <c r="U70" s="291" t="s">
        <v>1056</v>
      </c>
      <c r="V70" s="372"/>
      <c r="W70" s="291">
        <f>W71</f>
        <v>54000000</v>
      </c>
      <c r="X70" s="372"/>
      <c r="Y70" s="285">
        <f t="shared" si="25"/>
        <v>54000000</v>
      </c>
      <c r="Z70" s="291">
        <f t="shared" si="42"/>
        <v>0</v>
      </c>
      <c r="AA70" s="291">
        <f t="shared" si="42"/>
        <v>53000</v>
      </c>
      <c r="AB70" s="291" t="s">
        <v>1056</v>
      </c>
      <c r="AC70" s="291" t="s">
        <v>1056</v>
      </c>
      <c r="AD70" s="345"/>
      <c r="AE70" s="285">
        <f t="shared" si="26"/>
        <v>53000</v>
      </c>
      <c r="AF70" s="287">
        <v>0</v>
      </c>
    </row>
    <row r="71" spans="1:32" hidden="1">
      <c r="A71" s="284" t="s">
        <v>1055</v>
      </c>
      <c r="B71" s="283" t="s">
        <v>15</v>
      </c>
      <c r="C71" s="283" t="s">
        <v>8</v>
      </c>
      <c r="D71" s="283" t="s">
        <v>1056</v>
      </c>
      <c r="E71" s="283" t="s">
        <v>1060</v>
      </c>
      <c r="F71" s="1" t="s">
        <v>3</v>
      </c>
      <c r="G71" s="1" t="s">
        <v>1064</v>
      </c>
      <c r="H71" s="285">
        <v>0</v>
      </c>
      <c r="I71" s="285">
        <f>I70</f>
        <v>1345178.1924333333</v>
      </c>
      <c r="J71" s="280">
        <f t="shared" si="39"/>
        <v>43349.413799797883</v>
      </c>
      <c r="K71" s="288">
        <v>0</v>
      </c>
      <c r="L71" s="285">
        <f t="shared" si="40"/>
        <v>1700000</v>
      </c>
      <c r="M71" s="341"/>
      <c r="N71" s="291">
        <f t="shared" si="41"/>
        <v>68000</v>
      </c>
      <c r="O71" s="291">
        <f t="shared" si="41"/>
        <v>0</v>
      </c>
      <c r="P71" s="366">
        <f t="shared" si="5"/>
        <v>68000</v>
      </c>
      <c r="Q71" s="291">
        <f t="shared" si="40"/>
        <v>0</v>
      </c>
      <c r="R71" s="345"/>
      <c r="S71" s="291">
        <f t="shared" si="40"/>
        <v>0</v>
      </c>
      <c r="T71" s="345"/>
      <c r="U71" s="291" t="s">
        <v>1056</v>
      </c>
      <c r="V71" s="372"/>
      <c r="W71" s="291">
        <v>54000000</v>
      </c>
      <c r="X71" s="372"/>
      <c r="Y71" s="285">
        <f t="shared" si="25"/>
        <v>54000000</v>
      </c>
      <c r="Z71" s="291">
        <f t="shared" si="42"/>
        <v>0</v>
      </c>
      <c r="AA71" s="291">
        <f t="shared" si="42"/>
        <v>53000</v>
      </c>
      <c r="AB71" s="291" t="s">
        <v>1056</v>
      </c>
      <c r="AC71" s="291" t="s">
        <v>1056</v>
      </c>
      <c r="AD71" s="345"/>
      <c r="AE71" s="285">
        <f t="shared" si="26"/>
        <v>53000</v>
      </c>
      <c r="AF71" s="287">
        <v>0</v>
      </c>
    </row>
    <row r="72" spans="1:32" hidden="1">
      <c r="A72" s="284" t="s">
        <v>1055</v>
      </c>
      <c r="B72" s="1" t="s">
        <v>13</v>
      </c>
      <c r="C72" s="283" t="s">
        <v>6</v>
      </c>
      <c r="D72" s="283" t="s">
        <v>1056</v>
      </c>
      <c r="E72" s="283" t="s">
        <v>1057</v>
      </c>
      <c r="F72" s="1" t="s">
        <v>4</v>
      </c>
      <c r="G72" s="1" t="s">
        <v>1061</v>
      </c>
      <c r="H72" s="285">
        <v>21</v>
      </c>
      <c r="I72" s="285">
        <v>409129.20063694264</v>
      </c>
      <c r="J72" s="280">
        <f t="shared" si="39"/>
        <v>13184.506793043574</v>
      </c>
      <c r="K72" s="288">
        <v>0.35</v>
      </c>
      <c r="L72" s="285">
        <v>1000000</v>
      </c>
      <c r="M72" s="341"/>
      <c r="N72" s="291">
        <v>41000</v>
      </c>
      <c r="O72" s="291">
        <v>65000</v>
      </c>
      <c r="P72" s="366">
        <f t="shared" si="5"/>
        <v>106000</v>
      </c>
      <c r="Q72" s="291">
        <v>0</v>
      </c>
      <c r="R72" s="345"/>
      <c r="S72" s="291">
        <v>0</v>
      </c>
      <c r="T72" s="345"/>
      <c r="U72" s="291" t="s">
        <v>1056</v>
      </c>
      <c r="V72" s="372"/>
      <c r="W72" s="291" t="s">
        <v>1056</v>
      </c>
      <c r="X72" s="372"/>
      <c r="Y72" s="285">
        <f t="shared" si="25"/>
        <v>0</v>
      </c>
      <c r="Z72" s="291">
        <v>0</v>
      </c>
      <c r="AA72" s="291">
        <v>32000</v>
      </c>
      <c r="AB72" s="291" t="s">
        <v>1056</v>
      </c>
      <c r="AC72" s="291" t="s">
        <v>1056</v>
      </c>
      <c r="AD72" s="345"/>
      <c r="AE72" s="285">
        <f t="shared" si="26"/>
        <v>32000</v>
      </c>
      <c r="AF72" s="287">
        <v>0</v>
      </c>
    </row>
    <row r="73" spans="1:32" hidden="1">
      <c r="A73" s="284" t="s">
        <v>1055</v>
      </c>
      <c r="B73" s="1" t="s">
        <v>13</v>
      </c>
      <c r="C73" s="283" t="s">
        <v>6</v>
      </c>
      <c r="D73" s="283" t="s">
        <v>1056</v>
      </c>
      <c r="E73" s="283" t="s">
        <v>1057</v>
      </c>
      <c r="F73" s="1" t="s">
        <v>4</v>
      </c>
      <c r="G73" s="1" t="s">
        <v>51</v>
      </c>
      <c r="H73" s="285">
        <v>0</v>
      </c>
      <c r="I73" s="285">
        <f>I72</f>
        <v>409129.20063694264</v>
      </c>
      <c r="J73" s="280">
        <f t="shared" si="39"/>
        <v>13184.506793043574</v>
      </c>
      <c r="K73" s="288">
        <v>0.99</v>
      </c>
      <c r="L73" s="285">
        <f t="shared" ref="L73:S76" si="43">L72</f>
        <v>1000000</v>
      </c>
      <c r="M73" s="341"/>
      <c r="N73" s="291">
        <f t="shared" ref="N73:O76" si="44">N72</f>
        <v>41000</v>
      </c>
      <c r="O73" s="291">
        <f t="shared" si="44"/>
        <v>65000</v>
      </c>
      <c r="P73" s="366">
        <f t="shared" si="5"/>
        <v>106000</v>
      </c>
      <c r="Q73" s="291">
        <f t="shared" si="43"/>
        <v>0</v>
      </c>
      <c r="R73" s="345"/>
      <c r="S73" s="291">
        <f t="shared" si="43"/>
        <v>0</v>
      </c>
      <c r="T73" s="345"/>
      <c r="U73" s="291">
        <v>130</v>
      </c>
      <c r="V73" s="372"/>
      <c r="W73" s="291" t="s">
        <v>1056</v>
      </c>
      <c r="X73" s="372"/>
      <c r="Y73" s="285">
        <f t="shared" si="25"/>
        <v>130</v>
      </c>
      <c r="Z73" s="291">
        <f t="shared" ref="Z73:AA76" si="45">Z72</f>
        <v>0</v>
      </c>
      <c r="AA73" s="291">
        <f t="shared" si="45"/>
        <v>32000</v>
      </c>
      <c r="AB73" s="291">
        <v>9500</v>
      </c>
      <c r="AC73" s="291" t="s">
        <v>1056</v>
      </c>
      <c r="AD73" s="345"/>
      <c r="AE73" s="285">
        <f t="shared" si="26"/>
        <v>41500</v>
      </c>
      <c r="AF73" s="287">
        <v>0</v>
      </c>
    </row>
    <row r="74" spans="1:32" hidden="1">
      <c r="A74" s="284" t="s">
        <v>1055</v>
      </c>
      <c r="B74" s="1" t="s">
        <v>13</v>
      </c>
      <c r="C74" s="283" t="s">
        <v>6</v>
      </c>
      <c r="D74" s="283" t="s">
        <v>1056</v>
      </c>
      <c r="E74" s="283" t="s">
        <v>1057</v>
      </c>
      <c r="F74" s="1" t="s">
        <v>4</v>
      </c>
      <c r="G74" s="1" t="s">
        <v>1062</v>
      </c>
      <c r="H74" s="285">
        <v>0</v>
      </c>
      <c r="I74" s="285">
        <f>I73</f>
        <v>409129.20063694264</v>
      </c>
      <c r="J74" s="280">
        <f t="shared" si="39"/>
        <v>13184.506793043574</v>
      </c>
      <c r="K74" s="288">
        <v>0.99</v>
      </c>
      <c r="L74" s="285">
        <f t="shared" si="43"/>
        <v>1000000</v>
      </c>
      <c r="M74" s="341"/>
      <c r="N74" s="291">
        <f t="shared" si="44"/>
        <v>41000</v>
      </c>
      <c r="O74" s="291">
        <f t="shared" si="44"/>
        <v>65000</v>
      </c>
      <c r="P74" s="366">
        <f t="shared" si="5"/>
        <v>106000</v>
      </c>
      <c r="Q74" s="291">
        <f t="shared" si="43"/>
        <v>0</v>
      </c>
      <c r="R74" s="345"/>
      <c r="S74" s="291">
        <f t="shared" si="43"/>
        <v>0</v>
      </c>
      <c r="T74" s="345"/>
      <c r="U74" s="291">
        <f>U73</f>
        <v>130</v>
      </c>
      <c r="V74" s="372"/>
      <c r="W74" s="291" t="s">
        <v>1056</v>
      </c>
      <c r="X74" s="372"/>
      <c r="Y74" s="285">
        <f t="shared" si="25"/>
        <v>130</v>
      </c>
      <c r="Z74" s="291">
        <f t="shared" si="45"/>
        <v>0</v>
      </c>
      <c r="AA74" s="291">
        <f t="shared" si="45"/>
        <v>32000</v>
      </c>
      <c r="AB74" s="291">
        <f>AB73</f>
        <v>9500</v>
      </c>
      <c r="AC74" s="291">
        <f>AC69</f>
        <v>900000</v>
      </c>
      <c r="AD74" s="363">
        <f>J74*1.2*5</f>
        <v>79107.040758261443</v>
      </c>
      <c r="AE74" s="285">
        <f t="shared" si="26"/>
        <v>1020607.0407582615</v>
      </c>
      <c r="AF74" s="287">
        <v>0</v>
      </c>
    </row>
    <row r="75" spans="1:32" hidden="1">
      <c r="A75" s="284" t="s">
        <v>1055</v>
      </c>
      <c r="B75" s="1" t="s">
        <v>13</v>
      </c>
      <c r="C75" s="283" t="s">
        <v>6</v>
      </c>
      <c r="D75" s="283" t="s">
        <v>1056</v>
      </c>
      <c r="E75" s="283" t="s">
        <v>1057</v>
      </c>
      <c r="F75" s="1" t="s">
        <v>4</v>
      </c>
      <c r="G75" s="1" t="s">
        <v>1063</v>
      </c>
      <c r="H75" s="285">
        <v>0</v>
      </c>
      <c r="I75" s="285">
        <f>I74</f>
        <v>409129.20063694264</v>
      </c>
      <c r="J75" s="280">
        <f t="shared" si="39"/>
        <v>13184.506793043574</v>
      </c>
      <c r="K75" s="288">
        <v>0</v>
      </c>
      <c r="L75" s="285">
        <f t="shared" si="43"/>
        <v>1000000</v>
      </c>
      <c r="M75" s="341"/>
      <c r="N75" s="291">
        <f t="shared" si="44"/>
        <v>41000</v>
      </c>
      <c r="O75" s="291">
        <f t="shared" si="44"/>
        <v>65000</v>
      </c>
      <c r="P75" s="366">
        <f t="shared" si="5"/>
        <v>106000</v>
      </c>
      <c r="Q75" s="291">
        <f t="shared" si="43"/>
        <v>0</v>
      </c>
      <c r="R75" s="345"/>
      <c r="S75" s="291">
        <f t="shared" si="43"/>
        <v>0</v>
      </c>
      <c r="T75" s="345"/>
      <c r="U75" s="291" t="s">
        <v>1056</v>
      </c>
      <c r="V75" s="372"/>
      <c r="W75" s="291">
        <f>W76</f>
        <v>54000000</v>
      </c>
      <c r="X75" s="372"/>
      <c r="Y75" s="285">
        <f t="shared" si="25"/>
        <v>54000000</v>
      </c>
      <c r="Z75" s="291">
        <f t="shared" si="45"/>
        <v>0</v>
      </c>
      <c r="AA75" s="291">
        <f t="shared" si="45"/>
        <v>32000</v>
      </c>
      <c r="AB75" s="291" t="s">
        <v>1056</v>
      </c>
      <c r="AC75" s="291" t="s">
        <v>1056</v>
      </c>
      <c r="AD75" s="345"/>
      <c r="AE75" s="285">
        <f t="shared" si="26"/>
        <v>32000</v>
      </c>
      <c r="AF75" s="287">
        <v>0</v>
      </c>
    </row>
    <row r="76" spans="1:32" hidden="1">
      <c r="A76" s="284" t="s">
        <v>1055</v>
      </c>
      <c r="B76" s="1" t="s">
        <v>13</v>
      </c>
      <c r="C76" s="283" t="s">
        <v>6</v>
      </c>
      <c r="D76" s="283" t="s">
        <v>1056</v>
      </c>
      <c r="E76" s="283" t="s">
        <v>1057</v>
      </c>
      <c r="F76" s="1" t="s">
        <v>4</v>
      </c>
      <c r="G76" s="1" t="s">
        <v>1064</v>
      </c>
      <c r="H76" s="285">
        <v>0</v>
      </c>
      <c r="I76" s="285">
        <f>I75</f>
        <v>409129.20063694264</v>
      </c>
      <c r="J76" s="280">
        <f t="shared" si="39"/>
        <v>13184.506793043574</v>
      </c>
      <c r="K76" s="288">
        <v>0</v>
      </c>
      <c r="L76" s="285">
        <f t="shared" si="43"/>
        <v>1000000</v>
      </c>
      <c r="M76" s="341"/>
      <c r="N76" s="291">
        <f t="shared" si="44"/>
        <v>41000</v>
      </c>
      <c r="O76" s="291">
        <f t="shared" si="44"/>
        <v>65000</v>
      </c>
      <c r="P76" s="366">
        <f t="shared" si="5"/>
        <v>106000</v>
      </c>
      <c r="Q76" s="291">
        <f t="shared" si="43"/>
        <v>0</v>
      </c>
      <c r="R76" s="345"/>
      <c r="S76" s="291">
        <f t="shared" si="43"/>
        <v>0</v>
      </c>
      <c r="T76" s="345"/>
      <c r="U76" s="291" t="s">
        <v>1056</v>
      </c>
      <c r="V76" s="372"/>
      <c r="W76" s="291">
        <v>54000000</v>
      </c>
      <c r="X76" s="372"/>
      <c r="Y76" s="285">
        <f t="shared" si="25"/>
        <v>54000000</v>
      </c>
      <c r="Z76" s="291">
        <f t="shared" si="45"/>
        <v>0</v>
      </c>
      <c r="AA76" s="291">
        <f t="shared" si="45"/>
        <v>32000</v>
      </c>
      <c r="AB76" s="291" t="s">
        <v>1056</v>
      </c>
      <c r="AC76" s="291" t="s">
        <v>1056</v>
      </c>
      <c r="AD76" s="345"/>
      <c r="AE76" s="285">
        <f t="shared" ref="AE76:AE116" si="46">SUM(Z76:AD76)</f>
        <v>32000</v>
      </c>
      <c r="AF76" s="287">
        <v>0</v>
      </c>
    </row>
    <row r="77" spans="1:32" hidden="1">
      <c r="A77" s="284" t="s">
        <v>1055</v>
      </c>
      <c r="B77" s="283" t="s">
        <v>13</v>
      </c>
      <c r="C77" s="283" t="s">
        <v>7</v>
      </c>
      <c r="D77" s="283" t="s">
        <v>1056</v>
      </c>
      <c r="E77" s="1" t="s">
        <v>1059</v>
      </c>
      <c r="F77" s="1" t="s">
        <v>4</v>
      </c>
      <c r="G77" s="1" t="s">
        <v>1061</v>
      </c>
      <c r="H77" s="285">
        <v>33</v>
      </c>
      <c r="I77" s="285">
        <v>795458.63157894742</v>
      </c>
      <c r="J77" s="280">
        <f t="shared" si="39"/>
        <v>25634.273269446952</v>
      </c>
      <c r="K77" s="288">
        <v>0.35</v>
      </c>
      <c r="L77" s="285">
        <v>1400000</v>
      </c>
      <c r="M77" s="341"/>
      <c r="N77" s="291">
        <v>58000</v>
      </c>
      <c r="O77" s="291">
        <v>92000</v>
      </c>
      <c r="P77" s="366">
        <f t="shared" ref="P77:P116" si="47">SUM(N77:O77)</f>
        <v>150000</v>
      </c>
      <c r="Q77" s="291">
        <v>0</v>
      </c>
      <c r="R77" s="345"/>
      <c r="S77" s="291">
        <v>0</v>
      </c>
      <c r="T77" s="345"/>
      <c r="U77" s="291" t="s">
        <v>1056</v>
      </c>
      <c r="V77" s="372"/>
      <c r="W77" s="291" t="s">
        <v>1056</v>
      </c>
      <c r="X77" s="372"/>
      <c r="Y77" s="285">
        <f t="shared" si="25"/>
        <v>0</v>
      </c>
      <c r="Z77" s="291">
        <v>0</v>
      </c>
      <c r="AA77" s="291">
        <v>45000</v>
      </c>
      <c r="AB77" s="291" t="s">
        <v>1056</v>
      </c>
      <c r="AC77" s="291" t="s">
        <v>1056</v>
      </c>
      <c r="AD77" s="345"/>
      <c r="AE77" s="285">
        <f t="shared" si="46"/>
        <v>45000</v>
      </c>
      <c r="AF77" s="287">
        <v>0</v>
      </c>
    </row>
    <row r="78" spans="1:32" hidden="1">
      <c r="A78" s="284" t="s">
        <v>1055</v>
      </c>
      <c r="B78" s="283" t="s">
        <v>13</v>
      </c>
      <c r="C78" s="283" t="s">
        <v>7</v>
      </c>
      <c r="D78" s="283" t="s">
        <v>1056</v>
      </c>
      <c r="E78" s="1" t="s">
        <v>1059</v>
      </c>
      <c r="F78" s="1" t="s">
        <v>4</v>
      </c>
      <c r="G78" s="1" t="s">
        <v>51</v>
      </c>
      <c r="H78" s="285">
        <v>0</v>
      </c>
      <c r="I78" s="285">
        <f>I77</f>
        <v>795458.63157894742</v>
      </c>
      <c r="J78" s="280">
        <f t="shared" si="39"/>
        <v>25634.273269446952</v>
      </c>
      <c r="K78" s="288">
        <v>0.99</v>
      </c>
      <c r="L78" s="285">
        <f t="shared" ref="L78:S81" si="48">L77</f>
        <v>1400000</v>
      </c>
      <c r="M78" s="341"/>
      <c r="N78" s="291">
        <f t="shared" ref="N78:O81" si="49">N77</f>
        <v>58000</v>
      </c>
      <c r="O78" s="291">
        <f t="shared" si="49"/>
        <v>92000</v>
      </c>
      <c r="P78" s="366">
        <f t="shared" si="47"/>
        <v>150000</v>
      </c>
      <c r="Q78" s="291">
        <f t="shared" si="48"/>
        <v>0</v>
      </c>
      <c r="R78" s="345"/>
      <c r="S78" s="291">
        <f t="shared" si="48"/>
        <v>0</v>
      </c>
      <c r="T78" s="345"/>
      <c r="U78" s="291">
        <v>130</v>
      </c>
      <c r="V78" s="372"/>
      <c r="W78" s="291" t="s">
        <v>1056</v>
      </c>
      <c r="X78" s="372"/>
      <c r="Y78" s="285">
        <f t="shared" si="25"/>
        <v>130</v>
      </c>
      <c r="Z78" s="291">
        <f t="shared" ref="Z78:AA81" si="50">Z77</f>
        <v>0</v>
      </c>
      <c r="AA78" s="291">
        <f t="shared" si="50"/>
        <v>45000</v>
      </c>
      <c r="AB78" s="291">
        <v>9500</v>
      </c>
      <c r="AC78" s="291" t="s">
        <v>1056</v>
      </c>
      <c r="AD78" s="345"/>
      <c r="AE78" s="285">
        <f t="shared" si="46"/>
        <v>54500</v>
      </c>
      <c r="AF78" s="287">
        <v>0</v>
      </c>
    </row>
    <row r="79" spans="1:32" hidden="1">
      <c r="A79" s="284" t="s">
        <v>1055</v>
      </c>
      <c r="B79" s="283" t="s">
        <v>13</v>
      </c>
      <c r="C79" s="283" t="s">
        <v>7</v>
      </c>
      <c r="D79" s="283" t="s">
        <v>1056</v>
      </c>
      <c r="E79" s="1" t="s">
        <v>1059</v>
      </c>
      <c r="F79" s="1" t="s">
        <v>4</v>
      </c>
      <c r="G79" s="1" t="s">
        <v>1062</v>
      </c>
      <c r="H79" s="285">
        <v>0</v>
      </c>
      <c r="I79" s="285">
        <f>I78</f>
        <v>795458.63157894742</v>
      </c>
      <c r="J79" s="280">
        <f t="shared" si="39"/>
        <v>25634.273269446952</v>
      </c>
      <c r="K79" s="288">
        <v>0.99</v>
      </c>
      <c r="L79" s="285">
        <f t="shared" si="48"/>
        <v>1400000</v>
      </c>
      <c r="M79" s="341"/>
      <c r="N79" s="291">
        <f t="shared" si="49"/>
        <v>58000</v>
      </c>
      <c r="O79" s="291">
        <f t="shared" si="49"/>
        <v>92000</v>
      </c>
      <c r="P79" s="366">
        <f t="shared" si="47"/>
        <v>150000</v>
      </c>
      <c r="Q79" s="291">
        <f t="shared" si="48"/>
        <v>0</v>
      </c>
      <c r="R79" s="345"/>
      <c r="S79" s="291">
        <f t="shared" si="48"/>
        <v>0</v>
      </c>
      <c r="T79" s="345"/>
      <c r="U79" s="291">
        <f>U78</f>
        <v>130</v>
      </c>
      <c r="V79" s="372"/>
      <c r="W79" s="291" t="s">
        <v>1056</v>
      </c>
      <c r="X79" s="372"/>
      <c r="Y79" s="285">
        <f t="shared" si="25"/>
        <v>130</v>
      </c>
      <c r="Z79" s="291">
        <f t="shared" si="50"/>
        <v>0</v>
      </c>
      <c r="AA79" s="291">
        <f t="shared" si="50"/>
        <v>45000</v>
      </c>
      <c r="AB79" s="291">
        <f>AB78</f>
        <v>9500</v>
      </c>
      <c r="AC79" s="291">
        <f>AC74</f>
        <v>900000</v>
      </c>
      <c r="AD79" s="363">
        <f>J79*1.2*5</f>
        <v>153805.6396166817</v>
      </c>
      <c r="AE79" s="285">
        <f t="shared" si="46"/>
        <v>1108305.6396166817</v>
      </c>
      <c r="AF79" s="287">
        <v>0</v>
      </c>
    </row>
    <row r="80" spans="1:32" hidden="1">
      <c r="A80" s="284" t="s">
        <v>1055</v>
      </c>
      <c r="B80" s="283" t="s">
        <v>13</v>
      </c>
      <c r="C80" s="283" t="s">
        <v>7</v>
      </c>
      <c r="D80" s="283" t="s">
        <v>1056</v>
      </c>
      <c r="E80" s="1" t="s">
        <v>1059</v>
      </c>
      <c r="F80" s="1" t="s">
        <v>4</v>
      </c>
      <c r="G80" s="1" t="s">
        <v>1063</v>
      </c>
      <c r="H80" s="285">
        <v>0</v>
      </c>
      <c r="I80" s="285">
        <f>I79</f>
        <v>795458.63157894742</v>
      </c>
      <c r="J80" s="280">
        <f t="shared" si="39"/>
        <v>25634.273269446952</v>
      </c>
      <c r="K80" s="288">
        <v>0</v>
      </c>
      <c r="L80" s="285">
        <f t="shared" si="48"/>
        <v>1400000</v>
      </c>
      <c r="M80" s="341"/>
      <c r="N80" s="291">
        <f t="shared" si="49"/>
        <v>58000</v>
      </c>
      <c r="O80" s="291">
        <f t="shared" si="49"/>
        <v>92000</v>
      </c>
      <c r="P80" s="366">
        <f t="shared" si="47"/>
        <v>150000</v>
      </c>
      <c r="Q80" s="291">
        <f t="shared" si="48"/>
        <v>0</v>
      </c>
      <c r="R80" s="345"/>
      <c r="S80" s="291">
        <f t="shared" si="48"/>
        <v>0</v>
      </c>
      <c r="T80" s="345"/>
      <c r="U80" s="291" t="s">
        <v>1056</v>
      </c>
      <c r="V80" s="372"/>
      <c r="W80" s="291">
        <f>W81</f>
        <v>54000000</v>
      </c>
      <c r="X80" s="372"/>
      <c r="Y80" s="285">
        <f t="shared" si="25"/>
        <v>54000000</v>
      </c>
      <c r="Z80" s="291">
        <f t="shared" si="50"/>
        <v>0</v>
      </c>
      <c r="AA80" s="291">
        <f t="shared" si="50"/>
        <v>45000</v>
      </c>
      <c r="AB80" s="291" t="s">
        <v>1056</v>
      </c>
      <c r="AC80" s="291" t="s">
        <v>1056</v>
      </c>
      <c r="AD80" s="345"/>
      <c r="AE80" s="285">
        <f t="shared" si="46"/>
        <v>45000</v>
      </c>
      <c r="AF80" s="287">
        <v>0</v>
      </c>
    </row>
    <row r="81" spans="1:32" hidden="1">
      <c r="A81" s="284" t="s">
        <v>1055</v>
      </c>
      <c r="B81" s="283" t="s">
        <v>13</v>
      </c>
      <c r="C81" s="283" t="s">
        <v>7</v>
      </c>
      <c r="D81" s="283" t="s">
        <v>1056</v>
      </c>
      <c r="E81" s="1" t="s">
        <v>1059</v>
      </c>
      <c r="F81" s="1" t="s">
        <v>4</v>
      </c>
      <c r="G81" s="1" t="s">
        <v>1064</v>
      </c>
      <c r="H81" s="285">
        <v>0</v>
      </c>
      <c r="I81" s="285">
        <f>I80</f>
        <v>795458.63157894742</v>
      </c>
      <c r="J81" s="280">
        <f t="shared" si="39"/>
        <v>25634.273269446952</v>
      </c>
      <c r="K81" s="288">
        <v>0</v>
      </c>
      <c r="L81" s="285">
        <f t="shared" si="48"/>
        <v>1400000</v>
      </c>
      <c r="M81" s="341"/>
      <c r="N81" s="291">
        <f t="shared" si="49"/>
        <v>58000</v>
      </c>
      <c r="O81" s="291">
        <f t="shared" si="49"/>
        <v>92000</v>
      </c>
      <c r="P81" s="366">
        <f t="shared" si="47"/>
        <v>150000</v>
      </c>
      <c r="Q81" s="291">
        <f t="shared" si="48"/>
        <v>0</v>
      </c>
      <c r="R81" s="345"/>
      <c r="S81" s="291">
        <f t="shared" si="48"/>
        <v>0</v>
      </c>
      <c r="T81" s="345"/>
      <c r="U81" s="291" t="s">
        <v>1056</v>
      </c>
      <c r="V81" s="372"/>
      <c r="W81" s="291">
        <v>54000000</v>
      </c>
      <c r="X81" s="372"/>
      <c r="Y81" s="285">
        <f t="shared" si="25"/>
        <v>54000000</v>
      </c>
      <c r="Z81" s="291">
        <f t="shared" si="50"/>
        <v>0</v>
      </c>
      <c r="AA81" s="291">
        <f t="shared" si="50"/>
        <v>45000</v>
      </c>
      <c r="AB81" s="291" t="s">
        <v>1056</v>
      </c>
      <c r="AC81" s="291" t="s">
        <v>1056</v>
      </c>
      <c r="AD81" s="345"/>
      <c r="AE81" s="285">
        <f t="shared" si="46"/>
        <v>45000</v>
      </c>
      <c r="AF81" s="287">
        <v>0</v>
      </c>
    </row>
    <row r="82" spans="1:32" hidden="1">
      <c r="A82" s="284" t="s">
        <v>1055</v>
      </c>
      <c r="B82" s="283" t="s">
        <v>13</v>
      </c>
      <c r="C82" s="283" t="s">
        <v>8</v>
      </c>
      <c r="D82" s="283" t="s">
        <v>1056</v>
      </c>
      <c r="E82" s="1" t="s">
        <v>1060</v>
      </c>
      <c r="F82" s="1" t="s">
        <v>4</v>
      </c>
      <c r="G82" s="1" t="s">
        <v>1061</v>
      </c>
      <c r="H82" s="285">
        <v>37</v>
      </c>
      <c r="I82" s="285">
        <v>2255984.782051282</v>
      </c>
      <c r="J82" s="280">
        <f t="shared" si="39"/>
        <v>72700.864757763004</v>
      </c>
      <c r="K82" s="288">
        <v>0.35</v>
      </c>
      <c r="L82" s="285">
        <v>3000000</v>
      </c>
      <c r="M82" s="341"/>
      <c r="N82" s="291">
        <v>120000</v>
      </c>
      <c r="O82" s="291">
        <v>190000</v>
      </c>
      <c r="P82" s="366">
        <f t="shared" si="47"/>
        <v>310000</v>
      </c>
      <c r="Q82" s="291">
        <v>0</v>
      </c>
      <c r="R82" s="345"/>
      <c r="S82" s="291">
        <v>0</v>
      </c>
      <c r="T82" s="345"/>
      <c r="U82" s="291" t="s">
        <v>1056</v>
      </c>
      <c r="V82" s="372"/>
      <c r="W82" s="291" t="s">
        <v>1056</v>
      </c>
      <c r="X82" s="372"/>
      <c r="Y82" s="285">
        <f t="shared" si="25"/>
        <v>0</v>
      </c>
      <c r="Z82" s="291">
        <v>0</v>
      </c>
      <c r="AA82" s="291">
        <v>94000</v>
      </c>
      <c r="AB82" s="291" t="s">
        <v>1056</v>
      </c>
      <c r="AC82" s="291" t="s">
        <v>1056</v>
      </c>
      <c r="AD82" s="345"/>
      <c r="AE82" s="285">
        <f t="shared" si="46"/>
        <v>94000</v>
      </c>
      <c r="AF82" s="287">
        <v>0</v>
      </c>
    </row>
    <row r="83" spans="1:32" hidden="1">
      <c r="A83" s="284" t="s">
        <v>1055</v>
      </c>
      <c r="B83" s="283" t="s">
        <v>13</v>
      </c>
      <c r="C83" s="283" t="s">
        <v>8</v>
      </c>
      <c r="D83" s="283" t="s">
        <v>1056</v>
      </c>
      <c r="E83" s="283" t="s">
        <v>1060</v>
      </c>
      <c r="F83" s="1" t="s">
        <v>4</v>
      </c>
      <c r="G83" s="1" t="s">
        <v>51</v>
      </c>
      <c r="H83" s="285">
        <v>0</v>
      </c>
      <c r="I83" s="285">
        <f>I82</f>
        <v>2255984.782051282</v>
      </c>
      <c r="J83" s="280">
        <f t="shared" si="39"/>
        <v>72700.864757763004</v>
      </c>
      <c r="K83" s="288">
        <v>0.99</v>
      </c>
      <c r="L83" s="285">
        <f t="shared" ref="L83:S86" si="51">L82</f>
        <v>3000000</v>
      </c>
      <c r="M83" s="341"/>
      <c r="N83" s="291">
        <f t="shared" ref="N83:O86" si="52">N82</f>
        <v>120000</v>
      </c>
      <c r="O83" s="291">
        <f t="shared" si="52"/>
        <v>190000</v>
      </c>
      <c r="P83" s="366">
        <f t="shared" si="47"/>
        <v>310000</v>
      </c>
      <c r="Q83" s="291">
        <f t="shared" si="51"/>
        <v>0</v>
      </c>
      <c r="R83" s="345"/>
      <c r="S83" s="291">
        <f t="shared" si="51"/>
        <v>0</v>
      </c>
      <c r="T83" s="345"/>
      <c r="U83" s="291">
        <v>200</v>
      </c>
      <c r="V83" s="372"/>
      <c r="W83" s="291" t="s">
        <v>1056</v>
      </c>
      <c r="X83" s="372"/>
      <c r="Y83" s="285">
        <f t="shared" si="25"/>
        <v>200</v>
      </c>
      <c r="Z83" s="291">
        <f t="shared" ref="Z83:AA86" si="53">Z82</f>
        <v>0</v>
      </c>
      <c r="AA83" s="291">
        <f t="shared" si="53"/>
        <v>94000</v>
      </c>
      <c r="AB83" s="291">
        <v>16000</v>
      </c>
      <c r="AC83" s="291" t="s">
        <v>1056</v>
      </c>
      <c r="AD83" s="345"/>
      <c r="AE83" s="285">
        <f t="shared" si="46"/>
        <v>110000</v>
      </c>
      <c r="AF83" s="287">
        <v>0</v>
      </c>
    </row>
    <row r="84" spans="1:32" hidden="1">
      <c r="A84" s="284" t="s">
        <v>1055</v>
      </c>
      <c r="B84" s="283" t="s">
        <v>13</v>
      </c>
      <c r="C84" s="283" t="s">
        <v>8</v>
      </c>
      <c r="D84" s="283" t="s">
        <v>1056</v>
      </c>
      <c r="E84" s="283" t="s">
        <v>1060</v>
      </c>
      <c r="F84" s="1" t="s">
        <v>4</v>
      </c>
      <c r="G84" s="1" t="s">
        <v>1062</v>
      </c>
      <c r="H84" s="285">
        <v>0</v>
      </c>
      <c r="I84" s="285">
        <f>I83</f>
        <v>2255984.782051282</v>
      </c>
      <c r="J84" s="280">
        <f t="shared" si="39"/>
        <v>72700.864757763004</v>
      </c>
      <c r="K84" s="288">
        <v>0.99</v>
      </c>
      <c r="L84" s="285">
        <f t="shared" si="51"/>
        <v>3000000</v>
      </c>
      <c r="M84" s="341"/>
      <c r="N84" s="291">
        <f t="shared" si="52"/>
        <v>120000</v>
      </c>
      <c r="O84" s="291">
        <f t="shared" si="52"/>
        <v>190000</v>
      </c>
      <c r="P84" s="366">
        <f t="shared" si="47"/>
        <v>310000</v>
      </c>
      <c r="Q84" s="291">
        <f t="shared" si="51"/>
        <v>0</v>
      </c>
      <c r="R84" s="345"/>
      <c r="S84" s="291">
        <f t="shared" si="51"/>
        <v>0</v>
      </c>
      <c r="T84" s="345"/>
      <c r="U84" s="291">
        <f>U83</f>
        <v>200</v>
      </c>
      <c r="V84" s="372"/>
      <c r="W84" s="291" t="s">
        <v>1056</v>
      </c>
      <c r="X84" s="372"/>
      <c r="Y84" s="285">
        <f t="shared" si="25"/>
        <v>200</v>
      </c>
      <c r="Z84" s="291">
        <f t="shared" si="53"/>
        <v>0</v>
      </c>
      <c r="AA84" s="291">
        <f t="shared" si="53"/>
        <v>94000</v>
      </c>
      <c r="AB84" s="291">
        <f>AB83</f>
        <v>16000</v>
      </c>
      <c r="AC84" s="291">
        <f>AC79</f>
        <v>900000</v>
      </c>
      <c r="AD84" s="363">
        <f>J84*1.2*5</f>
        <v>436205.18854657799</v>
      </c>
      <c r="AE84" s="285">
        <f t="shared" si="46"/>
        <v>1446205.1885465779</v>
      </c>
      <c r="AF84" s="287">
        <v>0</v>
      </c>
    </row>
    <row r="85" spans="1:32" hidden="1">
      <c r="A85" s="284" t="s">
        <v>1055</v>
      </c>
      <c r="B85" s="283" t="s">
        <v>13</v>
      </c>
      <c r="C85" s="283" t="s">
        <v>8</v>
      </c>
      <c r="D85" s="283" t="s">
        <v>1056</v>
      </c>
      <c r="E85" s="283" t="s">
        <v>1060</v>
      </c>
      <c r="F85" s="1" t="s">
        <v>4</v>
      </c>
      <c r="G85" s="1" t="s">
        <v>1063</v>
      </c>
      <c r="H85" s="285">
        <v>0</v>
      </c>
      <c r="I85" s="285">
        <f>I84</f>
        <v>2255984.782051282</v>
      </c>
      <c r="J85" s="280">
        <f t="shared" si="39"/>
        <v>72700.864757763004</v>
      </c>
      <c r="K85" s="288">
        <v>0</v>
      </c>
      <c r="L85" s="285">
        <f t="shared" si="51"/>
        <v>3000000</v>
      </c>
      <c r="M85" s="341"/>
      <c r="N85" s="291">
        <f t="shared" si="52"/>
        <v>120000</v>
      </c>
      <c r="O85" s="291">
        <f t="shared" si="52"/>
        <v>190000</v>
      </c>
      <c r="P85" s="366">
        <f t="shared" si="47"/>
        <v>310000</v>
      </c>
      <c r="Q85" s="291">
        <f t="shared" si="51"/>
        <v>0</v>
      </c>
      <c r="R85" s="345"/>
      <c r="S85" s="291">
        <f t="shared" si="51"/>
        <v>0</v>
      </c>
      <c r="T85" s="345"/>
      <c r="U85" s="291" t="s">
        <v>1056</v>
      </c>
      <c r="V85" s="372"/>
      <c r="W85" s="291">
        <f>W86</f>
        <v>54000000</v>
      </c>
      <c r="X85" s="372"/>
      <c r="Y85" s="285">
        <f t="shared" si="25"/>
        <v>54000000</v>
      </c>
      <c r="Z85" s="291">
        <f t="shared" si="53"/>
        <v>0</v>
      </c>
      <c r="AA85" s="291">
        <f t="shared" si="53"/>
        <v>94000</v>
      </c>
      <c r="AB85" s="291" t="s">
        <v>1056</v>
      </c>
      <c r="AC85" s="291" t="s">
        <v>1056</v>
      </c>
      <c r="AD85" s="345"/>
      <c r="AE85" s="285">
        <f t="shared" si="46"/>
        <v>94000</v>
      </c>
      <c r="AF85" s="287">
        <v>0</v>
      </c>
    </row>
    <row r="86" spans="1:32" hidden="1">
      <c r="A86" s="284" t="s">
        <v>1055</v>
      </c>
      <c r="B86" s="283" t="s">
        <v>13</v>
      </c>
      <c r="C86" s="283" t="s">
        <v>8</v>
      </c>
      <c r="D86" s="283" t="s">
        <v>1056</v>
      </c>
      <c r="E86" s="283" t="s">
        <v>1060</v>
      </c>
      <c r="F86" s="1" t="s">
        <v>4</v>
      </c>
      <c r="G86" s="1" t="s">
        <v>1064</v>
      </c>
      <c r="H86" s="285">
        <v>0</v>
      </c>
      <c r="I86" s="285">
        <f>I85</f>
        <v>2255984.782051282</v>
      </c>
      <c r="J86" s="280">
        <f t="shared" si="39"/>
        <v>72700.864757763004</v>
      </c>
      <c r="K86" s="288">
        <v>0</v>
      </c>
      <c r="L86" s="285">
        <f t="shared" si="51"/>
        <v>3000000</v>
      </c>
      <c r="M86" s="341"/>
      <c r="N86" s="291">
        <f t="shared" si="52"/>
        <v>120000</v>
      </c>
      <c r="O86" s="291">
        <f t="shared" si="52"/>
        <v>190000</v>
      </c>
      <c r="P86" s="366">
        <f t="shared" si="47"/>
        <v>310000</v>
      </c>
      <c r="Q86" s="291">
        <f t="shared" si="51"/>
        <v>0</v>
      </c>
      <c r="R86" s="345"/>
      <c r="S86" s="291">
        <f t="shared" si="51"/>
        <v>0</v>
      </c>
      <c r="T86" s="345"/>
      <c r="U86" s="291" t="s">
        <v>1056</v>
      </c>
      <c r="V86" s="372"/>
      <c r="W86" s="291">
        <v>54000000</v>
      </c>
      <c r="X86" s="372"/>
      <c r="Y86" s="285">
        <f t="shared" si="25"/>
        <v>54000000</v>
      </c>
      <c r="Z86" s="291">
        <f t="shared" si="53"/>
        <v>0</v>
      </c>
      <c r="AA86" s="291">
        <f t="shared" si="53"/>
        <v>94000</v>
      </c>
      <c r="AB86" s="291" t="s">
        <v>1056</v>
      </c>
      <c r="AC86" s="291" t="s">
        <v>1056</v>
      </c>
      <c r="AD86" s="345"/>
      <c r="AE86" s="285">
        <f t="shared" si="46"/>
        <v>94000</v>
      </c>
      <c r="AF86" s="287">
        <v>0</v>
      </c>
    </row>
    <row r="87" spans="1:32" hidden="1">
      <c r="A87" s="284" t="s">
        <v>1055</v>
      </c>
      <c r="B87" s="1" t="s">
        <v>15</v>
      </c>
      <c r="C87" s="283" t="s">
        <v>6</v>
      </c>
      <c r="D87" s="283" t="s">
        <v>1056</v>
      </c>
      <c r="E87" s="283" t="s">
        <v>1057</v>
      </c>
      <c r="F87" s="1" t="s">
        <v>4</v>
      </c>
      <c r="G87" s="1" t="s">
        <v>1061</v>
      </c>
      <c r="H87" s="285">
        <v>0</v>
      </c>
      <c r="I87" s="285">
        <v>156587.2535217391</v>
      </c>
      <c r="J87" s="280">
        <f t="shared" si="39"/>
        <v>5046.1460696212825</v>
      </c>
      <c r="K87" s="288">
        <v>0.35</v>
      </c>
      <c r="L87" s="285">
        <v>730000</v>
      </c>
      <c r="M87" s="341"/>
      <c r="N87" s="291">
        <v>29000</v>
      </c>
      <c r="O87" s="291">
        <v>0</v>
      </c>
      <c r="P87" s="366">
        <f t="shared" si="47"/>
        <v>29000</v>
      </c>
      <c r="Q87" s="291">
        <v>0</v>
      </c>
      <c r="R87" s="345"/>
      <c r="S87" s="291">
        <v>0</v>
      </c>
      <c r="T87" s="345"/>
      <c r="U87" s="291" t="s">
        <v>1056</v>
      </c>
      <c r="V87" s="372"/>
      <c r="W87" s="291" t="s">
        <v>1056</v>
      </c>
      <c r="X87" s="372"/>
      <c r="Y87" s="285">
        <f t="shared" si="25"/>
        <v>0</v>
      </c>
      <c r="Z87" s="291">
        <v>0</v>
      </c>
      <c r="AA87" s="291">
        <v>23000</v>
      </c>
      <c r="AB87" s="291" t="s">
        <v>1056</v>
      </c>
      <c r="AC87" s="291" t="s">
        <v>1056</v>
      </c>
      <c r="AD87" s="345"/>
      <c r="AE87" s="285">
        <f t="shared" si="46"/>
        <v>23000</v>
      </c>
      <c r="AF87" s="287">
        <v>0</v>
      </c>
    </row>
    <row r="88" spans="1:32" hidden="1">
      <c r="A88" s="284" t="s">
        <v>1055</v>
      </c>
      <c r="B88" s="1" t="s">
        <v>15</v>
      </c>
      <c r="C88" s="283" t="s">
        <v>6</v>
      </c>
      <c r="D88" s="283" t="s">
        <v>1056</v>
      </c>
      <c r="E88" s="283" t="s">
        <v>1057</v>
      </c>
      <c r="F88" s="1" t="s">
        <v>4</v>
      </c>
      <c r="G88" s="1" t="s">
        <v>51</v>
      </c>
      <c r="H88" s="285">
        <v>0</v>
      </c>
      <c r="I88" s="285">
        <f>I87</f>
        <v>156587.2535217391</v>
      </c>
      <c r="J88" s="280">
        <f t="shared" si="39"/>
        <v>5046.1460696212825</v>
      </c>
      <c r="K88" s="288">
        <v>0.99</v>
      </c>
      <c r="L88" s="285">
        <f t="shared" ref="L88:S91" si="54">L87</f>
        <v>730000</v>
      </c>
      <c r="M88" s="341"/>
      <c r="N88" s="291">
        <f t="shared" ref="N88:O91" si="55">N87</f>
        <v>29000</v>
      </c>
      <c r="O88" s="291">
        <f t="shared" si="55"/>
        <v>0</v>
      </c>
      <c r="P88" s="366">
        <f t="shared" si="47"/>
        <v>29000</v>
      </c>
      <c r="Q88" s="291">
        <f t="shared" si="54"/>
        <v>0</v>
      </c>
      <c r="R88" s="345"/>
      <c r="S88" s="291">
        <f t="shared" si="54"/>
        <v>0</v>
      </c>
      <c r="T88" s="345"/>
      <c r="U88" s="291">
        <v>130</v>
      </c>
      <c r="V88" s="372"/>
      <c r="W88" s="291" t="s">
        <v>1056</v>
      </c>
      <c r="X88" s="372"/>
      <c r="Y88" s="285">
        <f t="shared" si="25"/>
        <v>130</v>
      </c>
      <c r="Z88" s="291">
        <f t="shared" ref="Z88:AA91" si="56">Z87</f>
        <v>0</v>
      </c>
      <c r="AA88" s="291">
        <f t="shared" si="56"/>
        <v>23000</v>
      </c>
      <c r="AB88" s="291">
        <v>9500</v>
      </c>
      <c r="AC88" s="291" t="s">
        <v>1056</v>
      </c>
      <c r="AD88" s="345"/>
      <c r="AE88" s="285">
        <f t="shared" si="46"/>
        <v>32500</v>
      </c>
      <c r="AF88" s="287">
        <v>0</v>
      </c>
    </row>
    <row r="89" spans="1:32" hidden="1">
      <c r="A89" s="284" t="s">
        <v>1055</v>
      </c>
      <c r="B89" s="1" t="s">
        <v>15</v>
      </c>
      <c r="C89" s="283" t="s">
        <v>6</v>
      </c>
      <c r="D89" s="283" t="s">
        <v>1056</v>
      </c>
      <c r="E89" s="283" t="s">
        <v>1057</v>
      </c>
      <c r="F89" s="1" t="s">
        <v>4</v>
      </c>
      <c r="G89" s="1" t="s">
        <v>1062</v>
      </c>
      <c r="H89" s="285">
        <v>0</v>
      </c>
      <c r="I89" s="285">
        <f>I88</f>
        <v>156587.2535217391</v>
      </c>
      <c r="J89" s="280">
        <f t="shared" si="39"/>
        <v>5046.1460696212825</v>
      </c>
      <c r="K89" s="288">
        <v>0.99</v>
      </c>
      <c r="L89" s="285">
        <f t="shared" si="54"/>
        <v>730000</v>
      </c>
      <c r="M89" s="341"/>
      <c r="N89" s="291">
        <f t="shared" si="55"/>
        <v>29000</v>
      </c>
      <c r="O89" s="291">
        <f t="shared" si="55"/>
        <v>0</v>
      </c>
      <c r="P89" s="366">
        <f t="shared" si="47"/>
        <v>29000</v>
      </c>
      <c r="Q89" s="291">
        <f t="shared" si="54"/>
        <v>0</v>
      </c>
      <c r="R89" s="345"/>
      <c r="S89" s="291">
        <f t="shared" si="54"/>
        <v>0</v>
      </c>
      <c r="T89" s="345"/>
      <c r="U89" s="291">
        <f>U88</f>
        <v>130</v>
      </c>
      <c r="V89" s="372"/>
      <c r="W89" s="291" t="s">
        <v>1056</v>
      </c>
      <c r="X89" s="372"/>
      <c r="Y89" s="285">
        <f t="shared" si="25"/>
        <v>130</v>
      </c>
      <c r="Z89" s="291">
        <f t="shared" si="56"/>
        <v>0</v>
      </c>
      <c r="AA89" s="291">
        <f t="shared" si="56"/>
        <v>23000</v>
      </c>
      <c r="AB89" s="291">
        <f>AB88</f>
        <v>9500</v>
      </c>
      <c r="AC89" s="291">
        <f>AC84</f>
        <v>900000</v>
      </c>
      <c r="AD89" s="363">
        <f>J89*1.2*5</f>
        <v>30276.876417727693</v>
      </c>
      <c r="AE89" s="285">
        <f t="shared" si="46"/>
        <v>962776.87641772768</v>
      </c>
      <c r="AF89" s="287">
        <v>0</v>
      </c>
    </row>
    <row r="90" spans="1:32" hidden="1">
      <c r="A90" s="284" t="s">
        <v>1055</v>
      </c>
      <c r="B90" s="1" t="s">
        <v>15</v>
      </c>
      <c r="C90" s="283" t="s">
        <v>6</v>
      </c>
      <c r="D90" s="283" t="s">
        <v>1056</v>
      </c>
      <c r="E90" s="283" t="s">
        <v>1057</v>
      </c>
      <c r="F90" s="1" t="s">
        <v>4</v>
      </c>
      <c r="G90" s="1" t="s">
        <v>1063</v>
      </c>
      <c r="H90" s="285">
        <v>0</v>
      </c>
      <c r="I90" s="285">
        <f>I89</f>
        <v>156587.2535217391</v>
      </c>
      <c r="J90" s="280">
        <f t="shared" si="39"/>
        <v>5046.1460696212825</v>
      </c>
      <c r="K90" s="288">
        <v>0</v>
      </c>
      <c r="L90" s="285">
        <f t="shared" si="54"/>
        <v>730000</v>
      </c>
      <c r="M90" s="341"/>
      <c r="N90" s="291">
        <f t="shared" si="55"/>
        <v>29000</v>
      </c>
      <c r="O90" s="291">
        <f t="shared" si="55"/>
        <v>0</v>
      </c>
      <c r="P90" s="366">
        <f t="shared" si="47"/>
        <v>29000</v>
      </c>
      <c r="Q90" s="291">
        <f t="shared" si="54"/>
        <v>0</v>
      </c>
      <c r="R90" s="345"/>
      <c r="S90" s="291">
        <f t="shared" si="54"/>
        <v>0</v>
      </c>
      <c r="T90" s="345"/>
      <c r="U90" s="291" t="s">
        <v>1056</v>
      </c>
      <c r="V90" s="372"/>
      <c r="W90" s="291">
        <f>W91</f>
        <v>54000000</v>
      </c>
      <c r="X90" s="372"/>
      <c r="Y90" s="285">
        <f t="shared" si="25"/>
        <v>54000000</v>
      </c>
      <c r="Z90" s="291">
        <f t="shared" si="56"/>
        <v>0</v>
      </c>
      <c r="AA90" s="291">
        <f t="shared" si="56"/>
        <v>23000</v>
      </c>
      <c r="AB90" s="291" t="s">
        <v>1056</v>
      </c>
      <c r="AC90" s="291" t="s">
        <v>1056</v>
      </c>
      <c r="AD90" s="345"/>
      <c r="AE90" s="285">
        <f t="shared" si="46"/>
        <v>23000</v>
      </c>
      <c r="AF90" s="287">
        <v>0</v>
      </c>
    </row>
    <row r="91" spans="1:32" hidden="1">
      <c r="A91" s="284" t="s">
        <v>1055</v>
      </c>
      <c r="B91" s="1" t="s">
        <v>15</v>
      </c>
      <c r="C91" s="283" t="s">
        <v>6</v>
      </c>
      <c r="D91" s="283" t="s">
        <v>1056</v>
      </c>
      <c r="E91" s="283" t="s">
        <v>1057</v>
      </c>
      <c r="F91" s="1" t="s">
        <v>4</v>
      </c>
      <c r="G91" s="1" t="s">
        <v>1064</v>
      </c>
      <c r="H91" s="285">
        <v>0</v>
      </c>
      <c r="I91" s="285">
        <f>I90</f>
        <v>156587.2535217391</v>
      </c>
      <c r="J91" s="280">
        <f t="shared" si="39"/>
        <v>5046.1460696212825</v>
      </c>
      <c r="K91" s="288">
        <v>0</v>
      </c>
      <c r="L91" s="285">
        <f t="shared" si="54"/>
        <v>730000</v>
      </c>
      <c r="M91" s="341"/>
      <c r="N91" s="291">
        <f t="shared" si="55"/>
        <v>29000</v>
      </c>
      <c r="O91" s="291">
        <f t="shared" si="55"/>
        <v>0</v>
      </c>
      <c r="P91" s="366">
        <f t="shared" si="47"/>
        <v>29000</v>
      </c>
      <c r="Q91" s="291">
        <f t="shared" si="54"/>
        <v>0</v>
      </c>
      <c r="R91" s="345"/>
      <c r="S91" s="291">
        <f t="shared" si="54"/>
        <v>0</v>
      </c>
      <c r="T91" s="345"/>
      <c r="U91" s="291" t="s">
        <v>1056</v>
      </c>
      <c r="V91" s="372"/>
      <c r="W91" s="291">
        <v>54000000</v>
      </c>
      <c r="X91" s="372"/>
      <c r="Y91" s="285">
        <f t="shared" si="25"/>
        <v>54000000</v>
      </c>
      <c r="Z91" s="291">
        <f t="shared" si="56"/>
        <v>0</v>
      </c>
      <c r="AA91" s="291">
        <f t="shared" si="56"/>
        <v>23000</v>
      </c>
      <c r="AB91" s="291" t="s">
        <v>1056</v>
      </c>
      <c r="AC91" s="291" t="s">
        <v>1056</v>
      </c>
      <c r="AD91" s="345"/>
      <c r="AE91" s="285">
        <f t="shared" si="46"/>
        <v>23000</v>
      </c>
      <c r="AF91" s="287">
        <v>0</v>
      </c>
    </row>
    <row r="92" spans="1:32" hidden="1">
      <c r="A92" s="284" t="s">
        <v>1055</v>
      </c>
      <c r="B92" s="283" t="s">
        <v>15</v>
      </c>
      <c r="C92" s="283" t="s">
        <v>7</v>
      </c>
      <c r="D92" s="283" t="s">
        <v>1056</v>
      </c>
      <c r="E92" s="1" t="s">
        <v>1059</v>
      </c>
      <c r="F92" s="1" t="s">
        <v>4</v>
      </c>
      <c r="G92" s="1" t="s">
        <v>1061</v>
      </c>
      <c r="H92" s="285">
        <v>2</v>
      </c>
      <c r="I92" s="285">
        <v>306421.90986363631</v>
      </c>
      <c r="J92" s="280">
        <f t="shared" si="39"/>
        <v>9874.6844416015556</v>
      </c>
      <c r="K92" s="288">
        <v>0.35</v>
      </c>
      <c r="L92" s="285">
        <v>870000</v>
      </c>
      <c r="M92" s="341"/>
      <c r="N92" s="291">
        <v>35000</v>
      </c>
      <c r="O92" s="291">
        <v>0</v>
      </c>
      <c r="P92" s="366">
        <f t="shared" si="47"/>
        <v>35000</v>
      </c>
      <c r="Q92" s="291">
        <v>0</v>
      </c>
      <c r="R92" s="345"/>
      <c r="S92" s="291">
        <v>0</v>
      </c>
      <c r="T92" s="345"/>
      <c r="U92" s="291" t="s">
        <v>1056</v>
      </c>
      <c r="V92" s="372"/>
      <c r="W92" s="291" t="s">
        <v>1056</v>
      </c>
      <c r="X92" s="372"/>
      <c r="Y92" s="285">
        <f t="shared" si="25"/>
        <v>0</v>
      </c>
      <c r="Z92" s="291">
        <v>0</v>
      </c>
      <c r="AA92" s="291">
        <v>27000</v>
      </c>
      <c r="AB92" s="291" t="s">
        <v>1056</v>
      </c>
      <c r="AC92" s="291" t="s">
        <v>1056</v>
      </c>
      <c r="AD92" s="345"/>
      <c r="AE92" s="285">
        <f t="shared" si="46"/>
        <v>27000</v>
      </c>
      <c r="AF92" s="287">
        <v>0</v>
      </c>
    </row>
    <row r="93" spans="1:32" hidden="1">
      <c r="A93" s="284" t="s">
        <v>1055</v>
      </c>
      <c r="B93" s="283" t="s">
        <v>15</v>
      </c>
      <c r="C93" s="283" t="s">
        <v>7</v>
      </c>
      <c r="D93" s="283" t="s">
        <v>1056</v>
      </c>
      <c r="E93" s="1" t="s">
        <v>1059</v>
      </c>
      <c r="F93" s="1" t="s">
        <v>4</v>
      </c>
      <c r="G93" s="1" t="s">
        <v>51</v>
      </c>
      <c r="H93" s="285">
        <v>0</v>
      </c>
      <c r="I93" s="285">
        <f>I92</f>
        <v>306421.90986363631</v>
      </c>
      <c r="J93" s="280">
        <f t="shared" si="39"/>
        <v>9874.6844416015556</v>
      </c>
      <c r="K93" s="288">
        <v>0.99</v>
      </c>
      <c r="L93" s="285">
        <f t="shared" ref="L93:S96" si="57">L92</f>
        <v>870000</v>
      </c>
      <c r="M93" s="341"/>
      <c r="N93" s="291">
        <f t="shared" ref="N93:O96" si="58">N92</f>
        <v>35000</v>
      </c>
      <c r="O93" s="291">
        <f t="shared" si="58"/>
        <v>0</v>
      </c>
      <c r="P93" s="366">
        <f t="shared" si="47"/>
        <v>35000</v>
      </c>
      <c r="Q93" s="291">
        <f t="shared" si="57"/>
        <v>0</v>
      </c>
      <c r="R93" s="345"/>
      <c r="S93" s="291">
        <f t="shared" si="57"/>
        <v>0</v>
      </c>
      <c r="T93" s="345"/>
      <c r="U93" s="291">
        <v>130</v>
      </c>
      <c r="V93" s="372"/>
      <c r="W93" s="291" t="s">
        <v>1056</v>
      </c>
      <c r="X93" s="372"/>
      <c r="Y93" s="285">
        <f t="shared" si="25"/>
        <v>130</v>
      </c>
      <c r="Z93" s="291">
        <f t="shared" ref="Z93:AA96" si="59">Z92</f>
        <v>0</v>
      </c>
      <c r="AA93" s="291">
        <f t="shared" si="59"/>
        <v>27000</v>
      </c>
      <c r="AB93" s="291">
        <v>9500</v>
      </c>
      <c r="AC93" s="291" t="s">
        <v>1056</v>
      </c>
      <c r="AD93" s="345"/>
      <c r="AE93" s="285">
        <f t="shared" si="46"/>
        <v>36500</v>
      </c>
      <c r="AF93" s="287">
        <v>0</v>
      </c>
    </row>
    <row r="94" spans="1:32" hidden="1">
      <c r="A94" s="284" t="s">
        <v>1055</v>
      </c>
      <c r="B94" s="283" t="s">
        <v>15</v>
      </c>
      <c r="C94" s="283" t="s">
        <v>7</v>
      </c>
      <c r="D94" s="283" t="s">
        <v>1056</v>
      </c>
      <c r="E94" s="1" t="s">
        <v>1059</v>
      </c>
      <c r="F94" s="1" t="s">
        <v>4</v>
      </c>
      <c r="G94" s="1" t="s">
        <v>1062</v>
      </c>
      <c r="H94" s="285">
        <v>0</v>
      </c>
      <c r="I94" s="285">
        <f>I93</f>
        <v>306421.90986363631</v>
      </c>
      <c r="J94" s="280">
        <f t="shared" si="39"/>
        <v>9874.6844416015556</v>
      </c>
      <c r="K94" s="288">
        <v>0.99</v>
      </c>
      <c r="L94" s="285">
        <f t="shared" si="57"/>
        <v>870000</v>
      </c>
      <c r="M94" s="341"/>
      <c r="N94" s="291">
        <f t="shared" si="58"/>
        <v>35000</v>
      </c>
      <c r="O94" s="291">
        <f t="shared" si="58"/>
        <v>0</v>
      </c>
      <c r="P94" s="366">
        <f t="shared" si="47"/>
        <v>35000</v>
      </c>
      <c r="Q94" s="291">
        <f t="shared" si="57"/>
        <v>0</v>
      </c>
      <c r="R94" s="345"/>
      <c r="S94" s="291">
        <f t="shared" si="57"/>
        <v>0</v>
      </c>
      <c r="T94" s="345"/>
      <c r="U94" s="291">
        <f>U93</f>
        <v>130</v>
      </c>
      <c r="V94" s="372"/>
      <c r="W94" s="291" t="s">
        <v>1056</v>
      </c>
      <c r="X94" s="372"/>
      <c r="Y94" s="285">
        <f t="shared" si="25"/>
        <v>130</v>
      </c>
      <c r="Z94" s="291">
        <f t="shared" si="59"/>
        <v>0</v>
      </c>
      <c r="AA94" s="291">
        <f t="shared" si="59"/>
        <v>27000</v>
      </c>
      <c r="AB94" s="291">
        <f>AB93</f>
        <v>9500</v>
      </c>
      <c r="AC94" s="291">
        <f>AC89</f>
        <v>900000</v>
      </c>
      <c r="AD94" s="363">
        <f>J94*1.2*5</f>
        <v>59248.106649609334</v>
      </c>
      <c r="AE94" s="285">
        <f t="shared" si="46"/>
        <v>995748.10664960928</v>
      </c>
      <c r="AF94" s="287">
        <v>0</v>
      </c>
    </row>
    <row r="95" spans="1:32" hidden="1">
      <c r="A95" s="284" t="s">
        <v>1055</v>
      </c>
      <c r="B95" s="283" t="s">
        <v>15</v>
      </c>
      <c r="C95" s="283" t="s">
        <v>7</v>
      </c>
      <c r="D95" s="283" t="s">
        <v>1056</v>
      </c>
      <c r="E95" s="1" t="s">
        <v>1059</v>
      </c>
      <c r="F95" s="1" t="s">
        <v>4</v>
      </c>
      <c r="G95" s="1" t="s">
        <v>1063</v>
      </c>
      <c r="H95" s="285">
        <v>0</v>
      </c>
      <c r="I95" s="285">
        <f>I94</f>
        <v>306421.90986363631</v>
      </c>
      <c r="J95" s="280">
        <f t="shared" si="39"/>
        <v>9874.6844416015556</v>
      </c>
      <c r="K95" s="288">
        <v>0</v>
      </c>
      <c r="L95" s="285">
        <f t="shared" si="57"/>
        <v>870000</v>
      </c>
      <c r="M95" s="341"/>
      <c r="N95" s="291">
        <f t="shared" si="58"/>
        <v>35000</v>
      </c>
      <c r="O95" s="291">
        <f t="shared" si="58"/>
        <v>0</v>
      </c>
      <c r="P95" s="366">
        <f t="shared" si="47"/>
        <v>35000</v>
      </c>
      <c r="Q95" s="291">
        <f t="shared" si="57"/>
        <v>0</v>
      </c>
      <c r="R95" s="345"/>
      <c r="S95" s="291">
        <f t="shared" si="57"/>
        <v>0</v>
      </c>
      <c r="T95" s="345"/>
      <c r="U95" s="291" t="s">
        <v>1056</v>
      </c>
      <c r="V95" s="372"/>
      <c r="W95" s="291">
        <f>W96</f>
        <v>54000000</v>
      </c>
      <c r="X95" s="372"/>
      <c r="Y95" s="285">
        <f t="shared" si="25"/>
        <v>54000000</v>
      </c>
      <c r="Z95" s="291">
        <f t="shared" si="59"/>
        <v>0</v>
      </c>
      <c r="AA95" s="291">
        <f t="shared" si="59"/>
        <v>27000</v>
      </c>
      <c r="AB95" s="291" t="s">
        <v>1056</v>
      </c>
      <c r="AC95" s="291" t="s">
        <v>1056</v>
      </c>
      <c r="AD95" s="345"/>
      <c r="AE95" s="285">
        <f t="shared" si="46"/>
        <v>27000</v>
      </c>
      <c r="AF95" s="287">
        <v>0</v>
      </c>
    </row>
    <row r="96" spans="1:32" hidden="1">
      <c r="A96" s="284" t="s">
        <v>1055</v>
      </c>
      <c r="B96" s="283" t="s">
        <v>15</v>
      </c>
      <c r="C96" s="283" t="s">
        <v>7</v>
      </c>
      <c r="D96" s="283" t="s">
        <v>1056</v>
      </c>
      <c r="E96" s="1" t="s">
        <v>1059</v>
      </c>
      <c r="F96" s="1" t="s">
        <v>4</v>
      </c>
      <c r="G96" s="1" t="s">
        <v>1064</v>
      </c>
      <c r="H96" s="285">
        <v>0</v>
      </c>
      <c r="I96" s="285">
        <f>I95</f>
        <v>306421.90986363631</v>
      </c>
      <c r="J96" s="280">
        <f t="shared" si="39"/>
        <v>9874.6844416015556</v>
      </c>
      <c r="K96" s="288">
        <v>0</v>
      </c>
      <c r="L96" s="285">
        <f t="shared" si="57"/>
        <v>870000</v>
      </c>
      <c r="M96" s="341"/>
      <c r="N96" s="291">
        <f t="shared" si="58"/>
        <v>35000</v>
      </c>
      <c r="O96" s="291">
        <f t="shared" si="58"/>
        <v>0</v>
      </c>
      <c r="P96" s="366">
        <f t="shared" si="47"/>
        <v>35000</v>
      </c>
      <c r="Q96" s="291">
        <f t="shared" si="57"/>
        <v>0</v>
      </c>
      <c r="R96" s="345"/>
      <c r="S96" s="291">
        <f t="shared" si="57"/>
        <v>0</v>
      </c>
      <c r="T96" s="345"/>
      <c r="U96" s="291" t="s">
        <v>1056</v>
      </c>
      <c r="V96" s="372"/>
      <c r="W96" s="291">
        <v>54000000</v>
      </c>
      <c r="X96" s="372"/>
      <c r="Y96" s="285">
        <f t="shared" si="25"/>
        <v>54000000</v>
      </c>
      <c r="Z96" s="291">
        <f t="shared" si="59"/>
        <v>0</v>
      </c>
      <c r="AA96" s="291">
        <f t="shared" si="59"/>
        <v>27000</v>
      </c>
      <c r="AB96" s="291" t="s">
        <v>1056</v>
      </c>
      <c r="AC96" s="291" t="s">
        <v>1056</v>
      </c>
      <c r="AD96" s="345"/>
      <c r="AE96" s="285">
        <f t="shared" si="46"/>
        <v>27000</v>
      </c>
      <c r="AF96" s="287">
        <v>0</v>
      </c>
    </row>
    <row r="97" spans="1:32" hidden="1">
      <c r="A97" s="284" t="s">
        <v>1055</v>
      </c>
      <c r="B97" s="283" t="s">
        <v>15</v>
      </c>
      <c r="C97" s="283" t="s">
        <v>8</v>
      </c>
      <c r="D97" s="283" t="s">
        <v>1056</v>
      </c>
      <c r="E97" s="1" t="s">
        <v>1060</v>
      </c>
      <c r="F97" s="1" t="s">
        <v>4</v>
      </c>
      <c r="G97" s="1" t="s">
        <v>1061</v>
      </c>
      <c r="H97" s="285">
        <v>3</v>
      </c>
      <c r="I97" s="285">
        <v>1345178.1924333333</v>
      </c>
      <c r="J97" s="280">
        <f t="shared" si="39"/>
        <v>43349.413799797883</v>
      </c>
      <c r="K97" s="288">
        <v>0.35</v>
      </c>
      <c r="L97" s="285">
        <v>2100000</v>
      </c>
      <c r="M97" s="341"/>
      <c r="N97" s="291">
        <v>83000</v>
      </c>
      <c r="O97" s="291">
        <v>0</v>
      </c>
      <c r="P97" s="366">
        <f t="shared" si="47"/>
        <v>83000</v>
      </c>
      <c r="Q97" s="291">
        <v>0</v>
      </c>
      <c r="R97" s="345"/>
      <c r="S97" s="291">
        <v>0</v>
      </c>
      <c r="T97" s="345"/>
      <c r="U97" s="291" t="s">
        <v>1056</v>
      </c>
      <c r="V97" s="372"/>
      <c r="W97" s="291" t="s">
        <v>1056</v>
      </c>
      <c r="X97" s="372"/>
      <c r="Y97" s="285">
        <f t="shared" si="25"/>
        <v>0</v>
      </c>
      <c r="Z97" s="291">
        <v>0</v>
      </c>
      <c r="AA97" s="291">
        <v>65000</v>
      </c>
      <c r="AB97" s="291" t="s">
        <v>1056</v>
      </c>
      <c r="AC97" s="291" t="s">
        <v>1056</v>
      </c>
      <c r="AD97" s="345"/>
      <c r="AE97" s="285">
        <f t="shared" si="46"/>
        <v>65000</v>
      </c>
      <c r="AF97" s="287">
        <v>0</v>
      </c>
    </row>
    <row r="98" spans="1:32" hidden="1">
      <c r="A98" s="284" t="s">
        <v>1055</v>
      </c>
      <c r="B98" s="283" t="s">
        <v>15</v>
      </c>
      <c r="C98" s="283" t="s">
        <v>8</v>
      </c>
      <c r="D98" s="283" t="s">
        <v>1056</v>
      </c>
      <c r="E98" s="283" t="s">
        <v>1060</v>
      </c>
      <c r="F98" s="1" t="s">
        <v>4</v>
      </c>
      <c r="G98" s="1" t="s">
        <v>51</v>
      </c>
      <c r="H98" s="285">
        <v>0</v>
      </c>
      <c r="I98" s="285">
        <f>I97</f>
        <v>1345178.1924333333</v>
      </c>
      <c r="J98" s="280">
        <f t="shared" si="39"/>
        <v>43349.413799797883</v>
      </c>
      <c r="K98" s="288">
        <v>0.99</v>
      </c>
      <c r="L98" s="285">
        <f t="shared" ref="L98:S101" si="60">L97</f>
        <v>2100000</v>
      </c>
      <c r="M98" s="341"/>
      <c r="N98" s="291">
        <f t="shared" ref="N98:O101" si="61">N97</f>
        <v>83000</v>
      </c>
      <c r="O98" s="291">
        <f t="shared" si="61"/>
        <v>0</v>
      </c>
      <c r="P98" s="366">
        <f t="shared" si="47"/>
        <v>83000</v>
      </c>
      <c r="Q98" s="291">
        <f t="shared" si="60"/>
        <v>0</v>
      </c>
      <c r="R98" s="345"/>
      <c r="S98" s="291">
        <f t="shared" si="60"/>
        <v>0</v>
      </c>
      <c r="T98" s="345"/>
      <c r="U98" s="291">
        <v>200</v>
      </c>
      <c r="V98" s="372"/>
      <c r="W98" s="291" t="s">
        <v>1056</v>
      </c>
      <c r="X98" s="372"/>
      <c r="Y98" s="285">
        <f t="shared" si="25"/>
        <v>200</v>
      </c>
      <c r="Z98" s="291">
        <f t="shared" ref="Z98:AA101" si="62">Z97</f>
        <v>0</v>
      </c>
      <c r="AA98" s="291">
        <f t="shared" si="62"/>
        <v>65000</v>
      </c>
      <c r="AB98" s="291">
        <v>16000</v>
      </c>
      <c r="AC98" s="291" t="s">
        <v>1056</v>
      </c>
      <c r="AD98" s="345"/>
      <c r="AE98" s="285">
        <f t="shared" si="46"/>
        <v>81000</v>
      </c>
      <c r="AF98" s="287">
        <v>0</v>
      </c>
    </row>
    <row r="99" spans="1:32" hidden="1">
      <c r="A99" s="284" t="s">
        <v>1055</v>
      </c>
      <c r="B99" s="283" t="s">
        <v>15</v>
      </c>
      <c r="C99" s="283" t="s">
        <v>8</v>
      </c>
      <c r="D99" s="283" t="s">
        <v>1056</v>
      </c>
      <c r="E99" s="283" t="s">
        <v>1060</v>
      </c>
      <c r="F99" s="1" t="s">
        <v>4</v>
      </c>
      <c r="G99" s="1" t="s">
        <v>1062</v>
      </c>
      <c r="H99" s="285">
        <v>0</v>
      </c>
      <c r="I99" s="285">
        <f>I98</f>
        <v>1345178.1924333333</v>
      </c>
      <c r="J99" s="280">
        <f t="shared" si="39"/>
        <v>43349.413799797883</v>
      </c>
      <c r="K99" s="288">
        <v>0.99</v>
      </c>
      <c r="L99" s="285">
        <f t="shared" si="60"/>
        <v>2100000</v>
      </c>
      <c r="M99" s="341"/>
      <c r="N99" s="291">
        <f t="shared" si="61"/>
        <v>83000</v>
      </c>
      <c r="O99" s="291">
        <f t="shared" si="61"/>
        <v>0</v>
      </c>
      <c r="P99" s="366">
        <f t="shared" si="47"/>
        <v>83000</v>
      </c>
      <c r="Q99" s="291">
        <f t="shared" si="60"/>
        <v>0</v>
      </c>
      <c r="R99" s="345"/>
      <c r="S99" s="291">
        <f t="shared" si="60"/>
        <v>0</v>
      </c>
      <c r="T99" s="345"/>
      <c r="U99" s="291">
        <f>U98</f>
        <v>200</v>
      </c>
      <c r="V99" s="372"/>
      <c r="W99" s="291" t="s">
        <v>1056</v>
      </c>
      <c r="X99" s="372"/>
      <c r="Y99" s="285">
        <f t="shared" si="25"/>
        <v>200</v>
      </c>
      <c r="Z99" s="291">
        <f t="shared" si="62"/>
        <v>0</v>
      </c>
      <c r="AA99" s="291">
        <f t="shared" si="62"/>
        <v>65000</v>
      </c>
      <c r="AB99" s="291">
        <f>AB98</f>
        <v>16000</v>
      </c>
      <c r="AC99" s="291">
        <f>AC94</f>
        <v>900000</v>
      </c>
      <c r="AD99" s="363">
        <f>J99*1.2*5</f>
        <v>260096.4827987873</v>
      </c>
      <c r="AE99" s="285">
        <f t="shared" si="46"/>
        <v>1241096.4827987873</v>
      </c>
      <c r="AF99" s="287">
        <v>0</v>
      </c>
    </row>
    <row r="100" spans="1:32" hidden="1">
      <c r="A100" s="284" t="s">
        <v>1055</v>
      </c>
      <c r="B100" s="283" t="s">
        <v>15</v>
      </c>
      <c r="C100" s="283" t="s">
        <v>8</v>
      </c>
      <c r="D100" s="283" t="s">
        <v>1056</v>
      </c>
      <c r="E100" s="283" t="s">
        <v>1060</v>
      </c>
      <c r="F100" s="1" t="s">
        <v>4</v>
      </c>
      <c r="G100" s="1" t="s">
        <v>1063</v>
      </c>
      <c r="H100" s="285">
        <v>0</v>
      </c>
      <c r="I100" s="285">
        <f>I99</f>
        <v>1345178.1924333333</v>
      </c>
      <c r="J100" s="280">
        <f t="shared" si="39"/>
        <v>43349.413799797883</v>
      </c>
      <c r="K100" s="288">
        <v>0</v>
      </c>
      <c r="L100" s="285">
        <f t="shared" si="60"/>
        <v>2100000</v>
      </c>
      <c r="M100" s="341"/>
      <c r="N100" s="291">
        <f t="shared" si="61"/>
        <v>83000</v>
      </c>
      <c r="O100" s="291">
        <f t="shared" si="61"/>
        <v>0</v>
      </c>
      <c r="P100" s="366">
        <f t="shared" si="47"/>
        <v>83000</v>
      </c>
      <c r="Q100" s="291">
        <f t="shared" si="60"/>
        <v>0</v>
      </c>
      <c r="R100" s="345"/>
      <c r="S100" s="291">
        <f t="shared" si="60"/>
        <v>0</v>
      </c>
      <c r="T100" s="345"/>
      <c r="U100" s="291" t="s">
        <v>1056</v>
      </c>
      <c r="V100" s="372"/>
      <c r="W100" s="291">
        <f>W101</f>
        <v>54000000</v>
      </c>
      <c r="X100" s="372"/>
      <c r="Y100" s="285">
        <f t="shared" si="25"/>
        <v>54000000</v>
      </c>
      <c r="Z100" s="291">
        <f t="shared" si="62"/>
        <v>0</v>
      </c>
      <c r="AA100" s="291">
        <f t="shared" si="62"/>
        <v>65000</v>
      </c>
      <c r="AB100" s="291" t="s">
        <v>1056</v>
      </c>
      <c r="AC100" s="291" t="s">
        <v>1056</v>
      </c>
      <c r="AD100" s="345"/>
      <c r="AE100" s="285">
        <f t="shared" si="46"/>
        <v>65000</v>
      </c>
      <c r="AF100" s="287">
        <v>0</v>
      </c>
    </row>
    <row r="101" spans="1:32" hidden="1">
      <c r="A101" s="284" t="s">
        <v>1055</v>
      </c>
      <c r="B101" s="283" t="s">
        <v>15</v>
      </c>
      <c r="C101" s="283" t="s">
        <v>8</v>
      </c>
      <c r="D101" s="283" t="s">
        <v>1056</v>
      </c>
      <c r="E101" s="283" t="s">
        <v>1060</v>
      </c>
      <c r="F101" s="1" t="s">
        <v>4</v>
      </c>
      <c r="G101" s="1" t="s">
        <v>1064</v>
      </c>
      <c r="H101" s="285">
        <v>0</v>
      </c>
      <c r="I101" s="285">
        <f>I100</f>
        <v>1345178.1924333333</v>
      </c>
      <c r="J101" s="280">
        <f t="shared" si="39"/>
        <v>43349.413799797883</v>
      </c>
      <c r="K101" s="288">
        <v>0</v>
      </c>
      <c r="L101" s="285">
        <f t="shared" si="60"/>
        <v>2100000</v>
      </c>
      <c r="M101" s="341"/>
      <c r="N101" s="291">
        <f t="shared" si="61"/>
        <v>83000</v>
      </c>
      <c r="O101" s="291">
        <f t="shared" si="61"/>
        <v>0</v>
      </c>
      <c r="P101" s="366">
        <f t="shared" si="47"/>
        <v>83000</v>
      </c>
      <c r="Q101" s="291">
        <f t="shared" si="60"/>
        <v>0</v>
      </c>
      <c r="R101" s="345"/>
      <c r="S101" s="291">
        <f t="shared" si="60"/>
        <v>0</v>
      </c>
      <c r="T101" s="345"/>
      <c r="U101" s="291" t="s">
        <v>1056</v>
      </c>
      <c r="V101" s="372"/>
      <c r="W101" s="291">
        <v>54000000</v>
      </c>
      <c r="X101" s="372"/>
      <c r="Y101" s="285">
        <f t="shared" si="25"/>
        <v>54000000</v>
      </c>
      <c r="Z101" s="291">
        <f t="shared" si="62"/>
        <v>0</v>
      </c>
      <c r="AA101" s="291">
        <f t="shared" si="62"/>
        <v>65000</v>
      </c>
      <c r="AB101" s="291" t="s">
        <v>1056</v>
      </c>
      <c r="AC101" s="291" t="s">
        <v>1056</v>
      </c>
      <c r="AD101" s="345"/>
      <c r="AE101" s="285">
        <f t="shared" si="46"/>
        <v>65000</v>
      </c>
      <c r="AF101" s="287">
        <v>0</v>
      </c>
    </row>
    <row r="102" spans="1:32">
      <c r="A102" s="284" t="s">
        <v>1055</v>
      </c>
      <c r="B102" s="1" t="s">
        <v>16</v>
      </c>
      <c r="C102" s="283" t="s">
        <v>6</v>
      </c>
      <c r="D102" s="283" t="s">
        <v>1056</v>
      </c>
      <c r="E102" s="283" t="s">
        <v>1057</v>
      </c>
      <c r="F102" s="1" t="s">
        <v>4</v>
      </c>
      <c r="G102" s="1" t="s">
        <v>1061</v>
      </c>
      <c r="H102" s="285">
        <v>0</v>
      </c>
      <c r="I102" s="285">
        <v>72065.531914893611</v>
      </c>
      <c r="J102" s="280">
        <f t="shared" si="39"/>
        <v>2322.3678329412764</v>
      </c>
      <c r="K102" s="288">
        <v>0.35</v>
      </c>
      <c r="L102" s="285">
        <v>700000</v>
      </c>
      <c r="M102" s="341"/>
      <c r="N102" s="291">
        <v>28000</v>
      </c>
      <c r="O102" s="291">
        <v>45000</v>
      </c>
      <c r="P102" s="366">
        <f>SUM(N102:O102)</f>
        <v>73000</v>
      </c>
      <c r="Q102" s="291">
        <v>0</v>
      </c>
      <c r="R102" s="345"/>
      <c r="S102" s="291">
        <v>0</v>
      </c>
      <c r="T102" s="345"/>
      <c r="U102" s="291" t="s">
        <v>1056</v>
      </c>
      <c r="V102" s="372"/>
      <c r="W102" s="291" t="s">
        <v>1056</v>
      </c>
      <c r="X102" s="372"/>
      <c r="Y102" s="285">
        <f t="shared" si="25"/>
        <v>0</v>
      </c>
      <c r="Z102" s="291">
        <v>0</v>
      </c>
      <c r="AA102" s="291">
        <v>22000</v>
      </c>
      <c r="AB102" s="291" t="s">
        <v>1056</v>
      </c>
      <c r="AC102" s="291" t="s">
        <v>1056</v>
      </c>
      <c r="AD102" s="345"/>
      <c r="AE102" s="285">
        <f t="shared" si="46"/>
        <v>22000</v>
      </c>
      <c r="AF102" s="287">
        <v>0</v>
      </c>
    </row>
    <row r="103" spans="1:32">
      <c r="A103" s="284" t="s">
        <v>1055</v>
      </c>
      <c r="B103" s="1" t="s">
        <v>16</v>
      </c>
      <c r="C103" s="283" t="s">
        <v>6</v>
      </c>
      <c r="D103" s="283" t="s">
        <v>1056</v>
      </c>
      <c r="E103" s="283" t="s">
        <v>1057</v>
      </c>
      <c r="F103" s="1" t="s">
        <v>4</v>
      </c>
      <c r="G103" s="1" t="s">
        <v>51</v>
      </c>
      <c r="H103" s="285">
        <v>0</v>
      </c>
      <c r="I103" s="285">
        <f>I102</f>
        <v>72065.531914893611</v>
      </c>
      <c r="J103" s="280">
        <f t="shared" si="39"/>
        <v>2322.3678329412764</v>
      </c>
      <c r="K103" s="288">
        <v>0.99</v>
      </c>
      <c r="L103" s="285">
        <f t="shared" ref="L103:S106" si="63">L102</f>
        <v>700000</v>
      </c>
      <c r="M103" s="341"/>
      <c r="N103" s="291">
        <f t="shared" ref="N103:O106" si="64">N102</f>
        <v>28000</v>
      </c>
      <c r="O103" s="291">
        <f t="shared" si="64"/>
        <v>45000</v>
      </c>
      <c r="P103" s="366">
        <f t="shared" si="47"/>
        <v>73000</v>
      </c>
      <c r="Q103" s="291">
        <f t="shared" si="63"/>
        <v>0</v>
      </c>
      <c r="R103" s="345"/>
      <c r="S103" s="291">
        <f t="shared" si="63"/>
        <v>0</v>
      </c>
      <c r="T103" s="345"/>
      <c r="U103" s="291">
        <v>130</v>
      </c>
      <c r="V103" s="372"/>
      <c r="W103" s="291" t="s">
        <v>1056</v>
      </c>
      <c r="X103" s="372"/>
      <c r="Y103" s="285">
        <f t="shared" si="25"/>
        <v>130</v>
      </c>
      <c r="Z103" s="291">
        <f t="shared" ref="Z103:AA106" si="65">Z102</f>
        <v>0</v>
      </c>
      <c r="AA103" s="291">
        <f t="shared" si="65"/>
        <v>22000</v>
      </c>
      <c r="AB103" s="291">
        <v>9500</v>
      </c>
      <c r="AC103" s="291" t="s">
        <v>1056</v>
      </c>
      <c r="AD103" s="345"/>
      <c r="AE103" s="285">
        <f t="shared" si="46"/>
        <v>31500</v>
      </c>
      <c r="AF103" s="287">
        <v>0</v>
      </c>
    </row>
    <row r="104" spans="1:32">
      <c r="A104" s="284" t="s">
        <v>1055</v>
      </c>
      <c r="B104" s="1" t="s">
        <v>16</v>
      </c>
      <c r="C104" s="283" t="s">
        <v>6</v>
      </c>
      <c r="D104" s="283" t="s">
        <v>1056</v>
      </c>
      <c r="E104" s="283" t="s">
        <v>1057</v>
      </c>
      <c r="F104" s="1" t="s">
        <v>4</v>
      </c>
      <c r="G104" s="1" t="s">
        <v>1062</v>
      </c>
      <c r="H104" s="285">
        <v>0</v>
      </c>
      <c r="I104" s="285">
        <f>I103</f>
        <v>72065.531914893611</v>
      </c>
      <c r="J104" s="280">
        <f t="shared" si="39"/>
        <v>2322.3678329412764</v>
      </c>
      <c r="K104" s="288">
        <v>0.99</v>
      </c>
      <c r="L104" s="285">
        <f t="shared" si="63"/>
        <v>700000</v>
      </c>
      <c r="M104" s="341"/>
      <c r="N104" s="291">
        <f t="shared" si="64"/>
        <v>28000</v>
      </c>
      <c r="O104" s="291">
        <f t="shared" si="64"/>
        <v>45000</v>
      </c>
      <c r="P104" s="366">
        <f t="shared" si="47"/>
        <v>73000</v>
      </c>
      <c r="Q104" s="291">
        <f t="shared" si="63"/>
        <v>0</v>
      </c>
      <c r="R104" s="345"/>
      <c r="S104" s="291">
        <f t="shared" si="63"/>
        <v>0</v>
      </c>
      <c r="T104" s="345"/>
      <c r="U104" s="291">
        <f>U103</f>
        <v>130</v>
      </c>
      <c r="V104" s="372"/>
      <c r="W104" s="291" t="s">
        <v>1056</v>
      </c>
      <c r="X104" s="372"/>
      <c r="Y104" s="285">
        <f t="shared" si="25"/>
        <v>130</v>
      </c>
      <c r="Z104" s="291">
        <f t="shared" si="65"/>
        <v>0</v>
      </c>
      <c r="AA104" s="291">
        <f t="shared" si="65"/>
        <v>22000</v>
      </c>
      <c r="AB104" s="291">
        <f>AB103</f>
        <v>9500</v>
      </c>
      <c r="AC104" s="291">
        <f>AC99</f>
        <v>900000</v>
      </c>
      <c r="AD104" s="363">
        <f>J104*1.2*5</f>
        <v>13934.20699764766</v>
      </c>
      <c r="AE104" s="285">
        <f t="shared" si="46"/>
        <v>945434.20699764765</v>
      </c>
      <c r="AF104" s="287">
        <v>0</v>
      </c>
    </row>
    <row r="105" spans="1:32">
      <c r="A105" s="284" t="s">
        <v>1055</v>
      </c>
      <c r="B105" s="1" t="s">
        <v>16</v>
      </c>
      <c r="C105" s="283" t="s">
        <v>6</v>
      </c>
      <c r="D105" s="283" t="s">
        <v>1056</v>
      </c>
      <c r="E105" s="283" t="s">
        <v>1057</v>
      </c>
      <c r="F105" s="1" t="s">
        <v>4</v>
      </c>
      <c r="G105" s="1" t="s">
        <v>1063</v>
      </c>
      <c r="H105" s="285">
        <v>0</v>
      </c>
      <c r="I105" s="285">
        <f>I104</f>
        <v>72065.531914893611</v>
      </c>
      <c r="J105" s="280">
        <f t="shared" si="39"/>
        <v>2322.3678329412764</v>
      </c>
      <c r="K105" s="288">
        <v>0</v>
      </c>
      <c r="L105" s="285">
        <f t="shared" si="63"/>
        <v>700000</v>
      </c>
      <c r="M105" s="341"/>
      <c r="N105" s="291">
        <f t="shared" si="64"/>
        <v>28000</v>
      </c>
      <c r="O105" s="291">
        <f t="shared" si="64"/>
        <v>45000</v>
      </c>
      <c r="P105" s="366">
        <f t="shared" si="47"/>
        <v>73000</v>
      </c>
      <c r="Q105" s="291">
        <f t="shared" si="63"/>
        <v>0</v>
      </c>
      <c r="R105" s="345"/>
      <c r="S105" s="291">
        <f t="shared" si="63"/>
        <v>0</v>
      </c>
      <c r="T105" s="345"/>
      <c r="U105" s="291" t="s">
        <v>1056</v>
      </c>
      <c r="V105" s="372"/>
      <c r="W105" s="291">
        <f>W106</f>
        <v>54000000</v>
      </c>
      <c r="X105" s="372"/>
      <c r="Y105" s="285">
        <f t="shared" si="25"/>
        <v>54000000</v>
      </c>
      <c r="Z105" s="291">
        <f t="shared" si="65"/>
        <v>0</v>
      </c>
      <c r="AA105" s="291">
        <f t="shared" si="65"/>
        <v>22000</v>
      </c>
      <c r="AB105" s="291" t="s">
        <v>1056</v>
      </c>
      <c r="AC105" s="291" t="s">
        <v>1056</v>
      </c>
      <c r="AD105" s="345"/>
      <c r="AE105" s="285">
        <f t="shared" si="46"/>
        <v>22000</v>
      </c>
      <c r="AF105" s="287">
        <v>0</v>
      </c>
    </row>
    <row r="106" spans="1:32">
      <c r="A106" s="284" t="s">
        <v>1055</v>
      </c>
      <c r="B106" s="1" t="s">
        <v>16</v>
      </c>
      <c r="C106" s="283" t="s">
        <v>6</v>
      </c>
      <c r="D106" s="283" t="s">
        <v>1056</v>
      </c>
      <c r="E106" s="283" t="s">
        <v>1057</v>
      </c>
      <c r="F106" s="1" t="s">
        <v>4</v>
      </c>
      <c r="G106" s="1" t="s">
        <v>1064</v>
      </c>
      <c r="H106" s="285">
        <v>0</v>
      </c>
      <c r="I106" s="285">
        <f>I105</f>
        <v>72065.531914893611</v>
      </c>
      <c r="J106" s="280">
        <f t="shared" si="39"/>
        <v>2322.3678329412764</v>
      </c>
      <c r="K106" s="288">
        <v>0</v>
      </c>
      <c r="L106" s="285">
        <f t="shared" si="63"/>
        <v>700000</v>
      </c>
      <c r="M106" s="341"/>
      <c r="N106" s="291">
        <f t="shared" si="64"/>
        <v>28000</v>
      </c>
      <c r="O106" s="291">
        <f t="shared" si="64"/>
        <v>45000</v>
      </c>
      <c r="P106" s="366">
        <f t="shared" si="47"/>
        <v>73000</v>
      </c>
      <c r="Q106" s="291">
        <f t="shared" si="63"/>
        <v>0</v>
      </c>
      <c r="R106" s="345"/>
      <c r="S106" s="291">
        <f t="shared" si="63"/>
        <v>0</v>
      </c>
      <c r="T106" s="345"/>
      <c r="U106" s="291" t="s">
        <v>1056</v>
      </c>
      <c r="V106" s="372"/>
      <c r="W106" s="291">
        <v>54000000</v>
      </c>
      <c r="X106" s="372"/>
      <c r="Y106" s="285">
        <f t="shared" si="25"/>
        <v>54000000</v>
      </c>
      <c r="Z106" s="291">
        <f t="shared" si="65"/>
        <v>0</v>
      </c>
      <c r="AA106" s="291">
        <f t="shared" si="65"/>
        <v>22000</v>
      </c>
      <c r="AB106" s="291" t="s">
        <v>1056</v>
      </c>
      <c r="AC106" s="291" t="s">
        <v>1056</v>
      </c>
      <c r="AD106" s="345"/>
      <c r="AE106" s="285">
        <f t="shared" si="46"/>
        <v>22000</v>
      </c>
      <c r="AF106" s="287">
        <v>0</v>
      </c>
    </row>
    <row r="107" spans="1:32">
      <c r="A107" s="284" t="s">
        <v>1055</v>
      </c>
      <c r="B107" s="283" t="s">
        <v>16</v>
      </c>
      <c r="C107" s="283" t="s">
        <v>7</v>
      </c>
      <c r="D107" s="283" t="s">
        <v>1056</v>
      </c>
      <c r="E107" s="1" t="s">
        <v>1059</v>
      </c>
      <c r="F107" s="1" t="s">
        <v>4</v>
      </c>
      <c r="G107" s="1" t="s">
        <v>1061</v>
      </c>
      <c r="H107" s="285">
        <v>0</v>
      </c>
      <c r="I107" s="285">
        <v>141934.78095238094</v>
      </c>
      <c r="J107" s="280">
        <f t="shared" si="39"/>
        <v>4573.9587414500575</v>
      </c>
      <c r="K107" s="288">
        <v>0.35</v>
      </c>
      <c r="L107" s="285">
        <v>820000</v>
      </c>
      <c r="M107" s="341"/>
      <c r="N107" s="291">
        <v>33000</v>
      </c>
      <c r="O107" s="291">
        <v>53000</v>
      </c>
      <c r="P107" s="366">
        <f t="shared" si="47"/>
        <v>86000</v>
      </c>
      <c r="Q107" s="291">
        <v>0</v>
      </c>
      <c r="R107" s="345"/>
      <c r="S107" s="291">
        <v>0</v>
      </c>
      <c r="T107" s="345"/>
      <c r="U107" s="291" t="s">
        <v>1056</v>
      </c>
      <c r="V107" s="372"/>
      <c r="W107" s="291" t="s">
        <v>1056</v>
      </c>
      <c r="X107" s="372"/>
      <c r="Y107" s="285">
        <f t="shared" si="25"/>
        <v>0</v>
      </c>
      <c r="Z107" s="291">
        <v>0</v>
      </c>
      <c r="AA107" s="291">
        <v>26000</v>
      </c>
      <c r="AB107" s="291" t="s">
        <v>1056</v>
      </c>
      <c r="AC107" s="291" t="s">
        <v>1056</v>
      </c>
      <c r="AD107" s="345"/>
      <c r="AE107" s="285">
        <f t="shared" si="46"/>
        <v>26000</v>
      </c>
      <c r="AF107" s="287">
        <v>0</v>
      </c>
    </row>
    <row r="108" spans="1:32">
      <c r="A108" s="284" t="s">
        <v>1055</v>
      </c>
      <c r="B108" s="283" t="s">
        <v>16</v>
      </c>
      <c r="C108" s="283" t="s">
        <v>7</v>
      </c>
      <c r="D108" s="283" t="s">
        <v>1056</v>
      </c>
      <c r="E108" s="1" t="s">
        <v>1059</v>
      </c>
      <c r="F108" s="1" t="s">
        <v>4</v>
      </c>
      <c r="G108" s="1" t="s">
        <v>51</v>
      </c>
      <c r="H108" s="285">
        <v>0</v>
      </c>
      <c r="I108" s="285">
        <f>I107</f>
        <v>141934.78095238094</v>
      </c>
      <c r="J108" s="280">
        <f t="shared" si="39"/>
        <v>4573.9587414500575</v>
      </c>
      <c r="K108" s="288">
        <v>0.99</v>
      </c>
      <c r="L108" s="285">
        <f t="shared" ref="L108:S111" si="66">L107</f>
        <v>820000</v>
      </c>
      <c r="M108" s="341"/>
      <c r="N108" s="291">
        <f t="shared" ref="N108:O111" si="67">N107</f>
        <v>33000</v>
      </c>
      <c r="O108" s="291">
        <f t="shared" si="67"/>
        <v>53000</v>
      </c>
      <c r="P108" s="366">
        <f t="shared" si="47"/>
        <v>86000</v>
      </c>
      <c r="Q108" s="291">
        <f t="shared" si="66"/>
        <v>0</v>
      </c>
      <c r="R108" s="345"/>
      <c r="S108" s="291">
        <f t="shared" si="66"/>
        <v>0</v>
      </c>
      <c r="T108" s="345"/>
      <c r="U108" s="291">
        <v>130</v>
      </c>
      <c r="V108" s="372"/>
      <c r="W108" s="291" t="s">
        <v>1056</v>
      </c>
      <c r="X108" s="372"/>
      <c r="Y108" s="285">
        <f t="shared" ref="Y108:Y116" si="68">SUM(Q108:W108)</f>
        <v>130</v>
      </c>
      <c r="Z108" s="291">
        <f t="shared" ref="Z108:AA111" si="69">Z107</f>
        <v>0</v>
      </c>
      <c r="AA108" s="291">
        <f t="shared" si="69"/>
        <v>26000</v>
      </c>
      <c r="AB108" s="291">
        <v>9500</v>
      </c>
      <c r="AC108" s="291" t="s">
        <v>1056</v>
      </c>
      <c r="AD108" s="345"/>
      <c r="AE108" s="285">
        <f t="shared" si="46"/>
        <v>35500</v>
      </c>
      <c r="AF108" s="287">
        <v>0</v>
      </c>
    </row>
    <row r="109" spans="1:32">
      <c r="A109" s="284" t="s">
        <v>1055</v>
      </c>
      <c r="B109" s="283" t="s">
        <v>16</v>
      </c>
      <c r="C109" s="283" t="s">
        <v>7</v>
      </c>
      <c r="D109" s="283" t="s">
        <v>1056</v>
      </c>
      <c r="E109" s="1" t="s">
        <v>1059</v>
      </c>
      <c r="F109" s="1" t="s">
        <v>4</v>
      </c>
      <c r="G109" s="1" t="s">
        <v>1062</v>
      </c>
      <c r="H109" s="285">
        <v>0</v>
      </c>
      <c r="I109" s="285">
        <f>I108</f>
        <v>141934.78095238094</v>
      </c>
      <c r="J109" s="280">
        <f t="shared" si="39"/>
        <v>4573.9587414500575</v>
      </c>
      <c r="K109" s="288">
        <v>0.99</v>
      </c>
      <c r="L109" s="285">
        <f t="shared" si="66"/>
        <v>820000</v>
      </c>
      <c r="M109" s="341"/>
      <c r="N109" s="291">
        <f t="shared" si="67"/>
        <v>33000</v>
      </c>
      <c r="O109" s="291">
        <f t="shared" si="67"/>
        <v>53000</v>
      </c>
      <c r="P109" s="366">
        <f t="shared" si="47"/>
        <v>86000</v>
      </c>
      <c r="Q109" s="291">
        <f t="shared" si="66"/>
        <v>0</v>
      </c>
      <c r="R109" s="345"/>
      <c r="S109" s="291">
        <f t="shared" si="66"/>
        <v>0</v>
      </c>
      <c r="T109" s="345"/>
      <c r="U109" s="291">
        <f>U108</f>
        <v>130</v>
      </c>
      <c r="V109" s="372"/>
      <c r="W109" s="291" t="s">
        <v>1056</v>
      </c>
      <c r="X109" s="372"/>
      <c r="Y109" s="285">
        <f t="shared" si="68"/>
        <v>130</v>
      </c>
      <c r="Z109" s="291">
        <f t="shared" si="69"/>
        <v>0</v>
      </c>
      <c r="AA109" s="291">
        <f t="shared" si="69"/>
        <v>26000</v>
      </c>
      <c r="AB109" s="291">
        <f>AB108</f>
        <v>9500</v>
      </c>
      <c r="AC109" s="291">
        <f>AC104</f>
        <v>900000</v>
      </c>
      <c r="AD109" s="363">
        <f>J109*1.2*5</f>
        <v>27443.752448700343</v>
      </c>
      <c r="AE109" s="285">
        <f t="shared" si="46"/>
        <v>962943.75244870037</v>
      </c>
      <c r="AF109" s="287">
        <v>0</v>
      </c>
    </row>
    <row r="110" spans="1:32">
      <c r="A110" s="284" t="s">
        <v>1055</v>
      </c>
      <c r="B110" s="283" t="s">
        <v>16</v>
      </c>
      <c r="C110" s="283" t="s">
        <v>7</v>
      </c>
      <c r="D110" s="283" t="s">
        <v>1056</v>
      </c>
      <c r="E110" s="1" t="s">
        <v>1059</v>
      </c>
      <c r="F110" s="1" t="s">
        <v>4</v>
      </c>
      <c r="G110" s="1" t="s">
        <v>1063</v>
      </c>
      <c r="H110" s="285">
        <v>0</v>
      </c>
      <c r="I110" s="285">
        <f>I109</f>
        <v>141934.78095238094</v>
      </c>
      <c r="J110" s="280">
        <f t="shared" si="39"/>
        <v>4573.9587414500575</v>
      </c>
      <c r="K110" s="288">
        <v>0</v>
      </c>
      <c r="L110" s="285">
        <f t="shared" si="66"/>
        <v>820000</v>
      </c>
      <c r="M110" s="341"/>
      <c r="N110" s="291">
        <f t="shared" si="67"/>
        <v>33000</v>
      </c>
      <c r="O110" s="291">
        <f t="shared" si="67"/>
        <v>53000</v>
      </c>
      <c r="P110" s="366">
        <f t="shared" si="47"/>
        <v>86000</v>
      </c>
      <c r="Q110" s="291">
        <f t="shared" si="66"/>
        <v>0</v>
      </c>
      <c r="R110" s="345"/>
      <c r="S110" s="291">
        <f t="shared" si="66"/>
        <v>0</v>
      </c>
      <c r="T110" s="345"/>
      <c r="U110" s="291" t="s">
        <v>1056</v>
      </c>
      <c r="V110" s="372"/>
      <c r="W110" s="291">
        <f>W111</f>
        <v>54000000</v>
      </c>
      <c r="X110" s="372"/>
      <c r="Y110" s="285">
        <f t="shared" si="68"/>
        <v>54000000</v>
      </c>
      <c r="Z110" s="291">
        <f t="shared" si="69"/>
        <v>0</v>
      </c>
      <c r="AA110" s="291">
        <f t="shared" si="69"/>
        <v>26000</v>
      </c>
      <c r="AB110" s="291" t="s">
        <v>1056</v>
      </c>
      <c r="AC110" s="291" t="s">
        <v>1056</v>
      </c>
      <c r="AD110" s="345"/>
      <c r="AE110" s="285">
        <f t="shared" si="46"/>
        <v>26000</v>
      </c>
      <c r="AF110" s="287">
        <v>0</v>
      </c>
    </row>
    <row r="111" spans="1:32">
      <c r="A111" s="284" t="s">
        <v>1055</v>
      </c>
      <c r="B111" s="283" t="s">
        <v>16</v>
      </c>
      <c r="C111" s="283" t="s">
        <v>7</v>
      </c>
      <c r="D111" s="283" t="s">
        <v>1056</v>
      </c>
      <c r="E111" s="1" t="s">
        <v>1059</v>
      </c>
      <c r="F111" s="1" t="s">
        <v>4</v>
      </c>
      <c r="G111" s="1" t="s">
        <v>1064</v>
      </c>
      <c r="H111" s="285">
        <v>0</v>
      </c>
      <c r="I111" s="285">
        <f>I110</f>
        <v>141934.78095238094</v>
      </c>
      <c r="J111" s="280">
        <f t="shared" si="39"/>
        <v>4573.9587414500575</v>
      </c>
      <c r="K111" s="288">
        <v>0</v>
      </c>
      <c r="L111" s="285">
        <f t="shared" si="66"/>
        <v>820000</v>
      </c>
      <c r="M111" s="341"/>
      <c r="N111" s="291">
        <f t="shared" si="67"/>
        <v>33000</v>
      </c>
      <c r="O111" s="291">
        <f t="shared" si="67"/>
        <v>53000</v>
      </c>
      <c r="P111" s="366">
        <f t="shared" si="47"/>
        <v>86000</v>
      </c>
      <c r="Q111" s="291">
        <f t="shared" si="66"/>
        <v>0</v>
      </c>
      <c r="R111" s="345"/>
      <c r="S111" s="291">
        <f t="shared" si="66"/>
        <v>0</v>
      </c>
      <c r="T111" s="345"/>
      <c r="U111" s="291" t="s">
        <v>1056</v>
      </c>
      <c r="V111" s="372"/>
      <c r="W111" s="291">
        <v>54000000</v>
      </c>
      <c r="X111" s="372"/>
      <c r="Y111" s="285">
        <f t="shared" si="68"/>
        <v>54000000</v>
      </c>
      <c r="Z111" s="291">
        <f t="shared" si="69"/>
        <v>0</v>
      </c>
      <c r="AA111" s="291">
        <f t="shared" si="69"/>
        <v>26000</v>
      </c>
      <c r="AB111" s="291" t="s">
        <v>1056</v>
      </c>
      <c r="AC111" s="291" t="s">
        <v>1056</v>
      </c>
      <c r="AD111" s="345"/>
      <c r="AE111" s="285">
        <f t="shared" si="46"/>
        <v>26000</v>
      </c>
      <c r="AF111" s="287">
        <v>0</v>
      </c>
    </row>
    <row r="112" spans="1:32" s="283" customFormat="1">
      <c r="A112" s="284" t="s">
        <v>1055</v>
      </c>
      <c r="B112" s="283" t="s">
        <v>16</v>
      </c>
      <c r="C112" s="283" t="s">
        <v>8</v>
      </c>
      <c r="D112" s="283" t="s">
        <v>1056</v>
      </c>
      <c r="E112" s="1" t="s">
        <v>1060</v>
      </c>
      <c r="F112" s="1" t="s">
        <v>4</v>
      </c>
      <c r="G112" s="1" t="s">
        <v>1061</v>
      </c>
      <c r="H112" s="285">
        <v>4</v>
      </c>
      <c r="I112" s="285">
        <v>349292.625</v>
      </c>
      <c r="J112" s="280">
        <f t="shared" si="39"/>
        <v>11256.226590287251</v>
      </c>
      <c r="K112" s="288">
        <v>0.35</v>
      </c>
      <c r="L112" s="285">
        <v>1500000</v>
      </c>
      <c r="M112" s="341"/>
      <c r="N112" s="291">
        <v>60000</v>
      </c>
      <c r="O112" s="291">
        <v>96000</v>
      </c>
      <c r="P112" s="366">
        <f t="shared" si="47"/>
        <v>156000</v>
      </c>
      <c r="Q112" s="291">
        <v>0</v>
      </c>
      <c r="R112" s="345"/>
      <c r="S112" s="291">
        <v>0</v>
      </c>
      <c r="T112" s="345"/>
      <c r="U112" s="291" t="s">
        <v>1056</v>
      </c>
      <c r="V112" s="372"/>
      <c r="W112" s="291" t="s">
        <v>1056</v>
      </c>
      <c r="X112" s="372"/>
      <c r="Y112" s="285">
        <f t="shared" si="68"/>
        <v>0</v>
      </c>
      <c r="Z112" s="291">
        <v>0</v>
      </c>
      <c r="AA112" s="291">
        <v>46000</v>
      </c>
      <c r="AB112" s="291" t="s">
        <v>1056</v>
      </c>
      <c r="AC112" s="291" t="s">
        <v>1056</v>
      </c>
      <c r="AD112" s="345"/>
      <c r="AE112" s="285">
        <f t="shared" si="46"/>
        <v>46000</v>
      </c>
      <c r="AF112" s="287">
        <v>0</v>
      </c>
    </row>
    <row r="113" spans="1:32" s="283" customFormat="1">
      <c r="A113" s="284" t="s">
        <v>1055</v>
      </c>
      <c r="B113" s="283" t="s">
        <v>16</v>
      </c>
      <c r="C113" s="283" t="s">
        <v>8</v>
      </c>
      <c r="D113" s="283" t="s">
        <v>1056</v>
      </c>
      <c r="E113" s="283" t="s">
        <v>1060</v>
      </c>
      <c r="F113" s="1" t="s">
        <v>4</v>
      </c>
      <c r="G113" s="1" t="s">
        <v>51</v>
      </c>
      <c r="H113" s="285">
        <v>0</v>
      </c>
      <c r="I113" s="285">
        <f>I112</f>
        <v>349292.625</v>
      </c>
      <c r="J113" s="280">
        <f t="shared" si="39"/>
        <v>11256.226590287251</v>
      </c>
      <c r="K113" s="288">
        <v>0.99</v>
      </c>
      <c r="L113" s="285">
        <f t="shared" ref="L113:S116" si="70">L112</f>
        <v>1500000</v>
      </c>
      <c r="M113" s="341"/>
      <c r="N113" s="291">
        <f t="shared" ref="N113:O116" si="71">N112</f>
        <v>60000</v>
      </c>
      <c r="O113" s="291">
        <f t="shared" si="71"/>
        <v>96000</v>
      </c>
      <c r="P113" s="366">
        <f t="shared" si="47"/>
        <v>156000</v>
      </c>
      <c r="Q113" s="291">
        <f t="shared" si="70"/>
        <v>0</v>
      </c>
      <c r="R113" s="345"/>
      <c r="S113" s="291">
        <f t="shared" si="70"/>
        <v>0</v>
      </c>
      <c r="T113" s="345"/>
      <c r="U113" s="291">
        <v>200</v>
      </c>
      <c r="V113" s="372"/>
      <c r="W113" s="291" t="s">
        <v>1056</v>
      </c>
      <c r="X113" s="372"/>
      <c r="Y113" s="285">
        <f t="shared" si="68"/>
        <v>200</v>
      </c>
      <c r="Z113" s="291">
        <f t="shared" ref="Z113:AA116" si="72">Z112</f>
        <v>0</v>
      </c>
      <c r="AA113" s="291">
        <f t="shared" si="72"/>
        <v>46000</v>
      </c>
      <c r="AB113" s="291">
        <v>16000</v>
      </c>
      <c r="AC113" s="291" t="s">
        <v>1056</v>
      </c>
      <c r="AD113" s="345"/>
      <c r="AE113" s="285">
        <f t="shared" si="46"/>
        <v>62000</v>
      </c>
      <c r="AF113" s="287">
        <v>0</v>
      </c>
    </row>
    <row r="114" spans="1:32" s="283" customFormat="1">
      <c r="A114" s="284" t="s">
        <v>1055</v>
      </c>
      <c r="B114" s="283" t="s">
        <v>16</v>
      </c>
      <c r="C114" s="283" t="s">
        <v>8</v>
      </c>
      <c r="D114" s="283" t="s">
        <v>1056</v>
      </c>
      <c r="E114" s="283" t="s">
        <v>1060</v>
      </c>
      <c r="F114" s="1" t="s">
        <v>4</v>
      </c>
      <c r="G114" s="1" t="s">
        <v>1062</v>
      </c>
      <c r="H114" s="285">
        <v>0</v>
      </c>
      <c r="I114" s="285">
        <f>I113</f>
        <v>349292.625</v>
      </c>
      <c r="J114" s="280">
        <f t="shared" si="39"/>
        <v>11256.226590287251</v>
      </c>
      <c r="K114" s="288">
        <v>0.99</v>
      </c>
      <c r="L114" s="285">
        <f t="shared" si="70"/>
        <v>1500000</v>
      </c>
      <c r="M114" s="341"/>
      <c r="N114" s="291">
        <f t="shared" si="71"/>
        <v>60000</v>
      </c>
      <c r="O114" s="291">
        <f t="shared" si="71"/>
        <v>96000</v>
      </c>
      <c r="P114" s="366">
        <f t="shared" si="47"/>
        <v>156000</v>
      </c>
      <c r="Q114" s="291">
        <f t="shared" si="70"/>
        <v>0</v>
      </c>
      <c r="R114" s="345"/>
      <c r="S114" s="291">
        <f t="shared" si="70"/>
        <v>0</v>
      </c>
      <c r="T114" s="345"/>
      <c r="U114" s="291">
        <f>U113</f>
        <v>200</v>
      </c>
      <c r="V114" s="372"/>
      <c r="W114" s="291" t="s">
        <v>1056</v>
      </c>
      <c r="X114" s="372"/>
      <c r="Y114" s="285">
        <f t="shared" si="68"/>
        <v>200</v>
      </c>
      <c r="Z114" s="291">
        <f t="shared" si="72"/>
        <v>0</v>
      </c>
      <c r="AA114" s="291">
        <f t="shared" si="72"/>
        <v>46000</v>
      </c>
      <c r="AB114" s="291">
        <f>AB113</f>
        <v>16000</v>
      </c>
      <c r="AC114" s="291">
        <f>AC109</f>
        <v>900000</v>
      </c>
      <c r="AD114" s="363">
        <f>J114*1.2*5</f>
        <v>67537.359541723505</v>
      </c>
      <c r="AE114" s="285">
        <f t="shared" si="46"/>
        <v>1029537.3595417235</v>
      </c>
      <c r="AF114" s="287">
        <v>0</v>
      </c>
    </row>
    <row r="115" spans="1:32" s="283" customFormat="1">
      <c r="A115" s="284" t="s">
        <v>1055</v>
      </c>
      <c r="B115" s="283" t="s">
        <v>16</v>
      </c>
      <c r="C115" s="283" t="s">
        <v>8</v>
      </c>
      <c r="D115" s="283" t="s">
        <v>1056</v>
      </c>
      <c r="E115" s="283" t="s">
        <v>1060</v>
      </c>
      <c r="F115" s="1" t="s">
        <v>4</v>
      </c>
      <c r="G115" s="1" t="s">
        <v>1063</v>
      </c>
      <c r="H115" s="285">
        <v>0</v>
      </c>
      <c r="I115" s="285">
        <f>I114</f>
        <v>349292.625</v>
      </c>
      <c r="J115" s="280">
        <f t="shared" si="39"/>
        <v>11256.226590287251</v>
      </c>
      <c r="K115" s="288">
        <v>0</v>
      </c>
      <c r="L115" s="285">
        <f t="shared" si="70"/>
        <v>1500000</v>
      </c>
      <c r="M115" s="341"/>
      <c r="N115" s="291">
        <f t="shared" si="71"/>
        <v>60000</v>
      </c>
      <c r="O115" s="291">
        <f t="shared" si="71"/>
        <v>96000</v>
      </c>
      <c r="P115" s="366">
        <f t="shared" si="47"/>
        <v>156000</v>
      </c>
      <c r="Q115" s="291">
        <f t="shared" si="70"/>
        <v>0</v>
      </c>
      <c r="R115" s="345"/>
      <c r="S115" s="291">
        <f t="shared" si="70"/>
        <v>0</v>
      </c>
      <c r="T115" s="345"/>
      <c r="U115" s="291" t="s">
        <v>1056</v>
      </c>
      <c r="V115" s="372"/>
      <c r="W115" s="291">
        <f>W116</f>
        <v>54000000</v>
      </c>
      <c r="X115" s="372"/>
      <c r="Y115" s="285">
        <f t="shared" si="68"/>
        <v>54000000</v>
      </c>
      <c r="Z115" s="291">
        <f t="shared" si="72"/>
        <v>0</v>
      </c>
      <c r="AA115" s="291">
        <f t="shared" si="72"/>
        <v>46000</v>
      </c>
      <c r="AB115" s="291" t="s">
        <v>1056</v>
      </c>
      <c r="AC115" s="291" t="s">
        <v>1056</v>
      </c>
      <c r="AD115" s="345"/>
      <c r="AE115" s="285">
        <f t="shared" si="46"/>
        <v>46000</v>
      </c>
      <c r="AF115" s="287">
        <v>0</v>
      </c>
    </row>
    <row r="116" spans="1:32" s="283" customFormat="1">
      <c r="A116" s="292" t="s">
        <v>1055</v>
      </c>
      <c r="B116" s="293" t="s">
        <v>16</v>
      </c>
      <c r="C116" s="293" t="s">
        <v>8</v>
      </c>
      <c r="D116" s="293" t="s">
        <v>1056</v>
      </c>
      <c r="E116" s="293" t="s">
        <v>1060</v>
      </c>
      <c r="F116" s="294" t="s">
        <v>4</v>
      </c>
      <c r="G116" s="294" t="s">
        <v>1064</v>
      </c>
      <c r="H116" s="295">
        <v>0</v>
      </c>
      <c r="I116" s="295">
        <f>I115</f>
        <v>349292.625</v>
      </c>
      <c r="J116" s="296">
        <f t="shared" si="39"/>
        <v>11256.226590287251</v>
      </c>
      <c r="K116" s="297">
        <v>0</v>
      </c>
      <c r="L116" s="295">
        <f t="shared" si="70"/>
        <v>1500000</v>
      </c>
      <c r="M116" s="342"/>
      <c r="N116" s="298">
        <f t="shared" si="71"/>
        <v>60000</v>
      </c>
      <c r="O116" s="298">
        <f t="shared" si="71"/>
        <v>96000</v>
      </c>
      <c r="P116" s="367">
        <f t="shared" si="47"/>
        <v>156000</v>
      </c>
      <c r="Q116" s="298">
        <f t="shared" si="70"/>
        <v>0</v>
      </c>
      <c r="R116" s="346"/>
      <c r="S116" s="298">
        <f t="shared" si="70"/>
        <v>0</v>
      </c>
      <c r="T116" s="346"/>
      <c r="U116" s="298" t="s">
        <v>1056</v>
      </c>
      <c r="V116" s="374"/>
      <c r="W116" s="298">
        <v>54000000</v>
      </c>
      <c r="X116" s="374"/>
      <c r="Y116" s="295">
        <f t="shared" si="68"/>
        <v>54000000</v>
      </c>
      <c r="Z116" s="298">
        <f t="shared" si="72"/>
        <v>0</v>
      </c>
      <c r="AA116" s="298">
        <f t="shared" si="72"/>
        <v>46000</v>
      </c>
      <c r="AB116" s="298" t="s">
        <v>1056</v>
      </c>
      <c r="AC116" s="298" t="s">
        <v>1056</v>
      </c>
      <c r="AD116" s="346"/>
      <c r="AE116" s="295">
        <f t="shared" si="46"/>
        <v>46000</v>
      </c>
      <c r="AF116" s="299">
        <v>0</v>
      </c>
    </row>
    <row r="117" spans="1:32" hidden="1">
      <c r="A117" s="300" t="s">
        <v>1065</v>
      </c>
      <c r="B117" s="301" t="s">
        <v>1066</v>
      </c>
      <c r="C117" s="1" t="s">
        <v>754</v>
      </c>
      <c r="D117" s="1" t="s">
        <v>1067</v>
      </c>
      <c r="E117" s="1" t="s">
        <v>1068</v>
      </c>
      <c r="F117" s="302" t="s">
        <v>1056</v>
      </c>
      <c r="G117" s="1" t="s">
        <v>1056</v>
      </c>
      <c r="H117" s="285" t="s">
        <v>1069</v>
      </c>
      <c r="I117" s="285">
        <v>4</v>
      </c>
      <c r="J117" s="280">
        <f t="shared" si="39"/>
        <v>0.12890311200000001</v>
      </c>
      <c r="K117" s="288" t="s">
        <v>1056</v>
      </c>
      <c r="L117" s="285" t="s">
        <v>1056</v>
      </c>
      <c r="M117" s="340"/>
      <c r="N117" s="286" t="s">
        <v>1056</v>
      </c>
      <c r="O117" s="286" t="s">
        <v>1056</v>
      </c>
      <c r="P117" s="366" t="s">
        <v>1056</v>
      </c>
      <c r="Q117" s="286" t="s">
        <v>1056</v>
      </c>
      <c r="R117" s="344"/>
      <c r="S117" s="286" t="s">
        <v>1056</v>
      </c>
      <c r="T117" s="344"/>
      <c r="U117" s="286" t="s">
        <v>1056</v>
      </c>
      <c r="V117" s="371"/>
      <c r="W117" s="286" t="s">
        <v>1056</v>
      </c>
      <c r="X117" s="371"/>
      <c r="Y117" s="285" t="s">
        <v>1056</v>
      </c>
      <c r="Z117" s="286" t="s">
        <v>1056</v>
      </c>
      <c r="AA117" s="286" t="s">
        <v>1056</v>
      </c>
      <c r="AB117" s="286" t="s">
        <v>1056</v>
      </c>
      <c r="AC117" s="286" t="s">
        <v>1056</v>
      </c>
      <c r="AD117" s="344"/>
      <c r="AE117" s="285" t="s">
        <v>1056</v>
      </c>
      <c r="AF117" s="287" t="s">
        <v>1056</v>
      </c>
    </row>
    <row r="118" spans="1:32" hidden="1">
      <c r="A118" s="300" t="s">
        <v>1065</v>
      </c>
      <c r="B118" s="301" t="s">
        <v>1066</v>
      </c>
      <c r="C118" s="1" t="s">
        <v>758</v>
      </c>
      <c r="D118" s="1" t="s">
        <v>1067</v>
      </c>
      <c r="E118" s="1" t="s">
        <v>1070</v>
      </c>
      <c r="F118" s="302" t="s">
        <v>1056</v>
      </c>
      <c r="G118" s="1" t="s">
        <v>1056</v>
      </c>
      <c r="H118" s="285" t="s">
        <v>1069</v>
      </c>
      <c r="I118" s="285">
        <v>6</v>
      </c>
      <c r="J118" s="280">
        <f t="shared" si="39"/>
        <v>0.19335466800000001</v>
      </c>
      <c r="K118" s="288" t="s">
        <v>1056</v>
      </c>
      <c r="L118" s="285" t="s">
        <v>1056</v>
      </c>
      <c r="M118" s="340"/>
      <c r="N118" s="286" t="s">
        <v>1056</v>
      </c>
      <c r="O118" s="286" t="s">
        <v>1056</v>
      </c>
      <c r="P118" s="366" t="s">
        <v>1056</v>
      </c>
      <c r="Q118" s="286" t="s">
        <v>1056</v>
      </c>
      <c r="R118" s="344"/>
      <c r="S118" s="286" t="s">
        <v>1056</v>
      </c>
      <c r="T118" s="344"/>
      <c r="U118" s="286" t="s">
        <v>1056</v>
      </c>
      <c r="V118" s="371"/>
      <c r="W118" s="286" t="s">
        <v>1056</v>
      </c>
      <c r="X118" s="371"/>
      <c r="Y118" s="285" t="s">
        <v>1056</v>
      </c>
      <c r="Z118" s="286" t="s">
        <v>1056</v>
      </c>
      <c r="AA118" s="286" t="s">
        <v>1056</v>
      </c>
      <c r="AB118" s="286" t="s">
        <v>1056</v>
      </c>
      <c r="AC118" s="286" t="s">
        <v>1056</v>
      </c>
      <c r="AD118" s="344"/>
      <c r="AE118" s="285" t="s">
        <v>1056</v>
      </c>
      <c r="AF118" s="287" t="s">
        <v>1056</v>
      </c>
    </row>
    <row r="119" spans="1:32" hidden="1">
      <c r="A119" s="300" t="s">
        <v>1065</v>
      </c>
      <c r="B119" s="301" t="s">
        <v>1071</v>
      </c>
      <c r="C119" s="1" t="s">
        <v>754</v>
      </c>
      <c r="D119" s="1" t="s">
        <v>1067</v>
      </c>
      <c r="E119" s="1" t="s">
        <v>1068</v>
      </c>
      <c r="F119" s="302" t="s">
        <v>1056</v>
      </c>
      <c r="G119" s="1" t="s">
        <v>1056</v>
      </c>
      <c r="H119" s="285" t="s">
        <v>1069</v>
      </c>
      <c r="I119" s="285">
        <v>4</v>
      </c>
      <c r="J119" s="280">
        <f t="shared" si="39"/>
        <v>0.12890311200000001</v>
      </c>
      <c r="K119" s="288" t="s">
        <v>1056</v>
      </c>
      <c r="L119" s="285" t="s">
        <v>1056</v>
      </c>
      <c r="M119" s="340"/>
      <c r="N119" s="286" t="s">
        <v>1056</v>
      </c>
      <c r="O119" s="286" t="s">
        <v>1056</v>
      </c>
      <c r="P119" s="366" t="s">
        <v>1056</v>
      </c>
      <c r="Q119" s="286" t="s">
        <v>1056</v>
      </c>
      <c r="R119" s="344"/>
      <c r="S119" s="286" t="s">
        <v>1056</v>
      </c>
      <c r="T119" s="344"/>
      <c r="U119" s="286" t="s">
        <v>1056</v>
      </c>
      <c r="V119" s="371"/>
      <c r="W119" s="286" t="s">
        <v>1056</v>
      </c>
      <c r="X119" s="371"/>
      <c r="Y119" s="285" t="s">
        <v>1056</v>
      </c>
      <c r="Z119" s="286" t="s">
        <v>1056</v>
      </c>
      <c r="AA119" s="286" t="s">
        <v>1056</v>
      </c>
      <c r="AB119" s="286" t="s">
        <v>1056</v>
      </c>
      <c r="AC119" s="286" t="s">
        <v>1056</v>
      </c>
      <c r="AD119" s="344"/>
      <c r="AE119" s="285" t="s">
        <v>1056</v>
      </c>
      <c r="AF119" s="287" t="s">
        <v>1056</v>
      </c>
    </row>
    <row r="120" spans="1:32" hidden="1">
      <c r="A120" s="300" t="s">
        <v>1065</v>
      </c>
      <c r="B120" s="301" t="s">
        <v>1071</v>
      </c>
      <c r="C120" s="1" t="s">
        <v>758</v>
      </c>
      <c r="D120" s="1" t="s">
        <v>1067</v>
      </c>
      <c r="E120" s="1" t="s">
        <v>1070</v>
      </c>
      <c r="F120" s="302" t="s">
        <v>1056</v>
      </c>
      <c r="G120" s="1" t="s">
        <v>1056</v>
      </c>
      <c r="H120" s="285" t="s">
        <v>1069</v>
      </c>
      <c r="I120" s="285">
        <v>6</v>
      </c>
      <c r="J120" s="280">
        <f t="shared" si="39"/>
        <v>0.19335466800000001</v>
      </c>
      <c r="K120" s="288" t="s">
        <v>1056</v>
      </c>
      <c r="L120" s="285" t="s">
        <v>1056</v>
      </c>
      <c r="M120" s="340"/>
      <c r="N120" s="289" t="s">
        <v>1056</v>
      </c>
      <c r="O120" s="289" t="s">
        <v>1056</v>
      </c>
      <c r="P120" s="366" t="s">
        <v>1056</v>
      </c>
      <c r="Q120" s="289" t="s">
        <v>1056</v>
      </c>
      <c r="R120" s="345"/>
      <c r="S120" s="289" t="s">
        <v>1056</v>
      </c>
      <c r="T120" s="345"/>
      <c r="U120" s="289" t="s">
        <v>1056</v>
      </c>
      <c r="V120" s="372"/>
      <c r="W120" s="289" t="s">
        <v>1056</v>
      </c>
      <c r="X120" s="372"/>
      <c r="Y120" s="285" t="s">
        <v>1056</v>
      </c>
      <c r="Z120" s="289" t="s">
        <v>1056</v>
      </c>
      <c r="AA120" s="289" t="s">
        <v>1056</v>
      </c>
      <c r="AB120" s="289" t="s">
        <v>1056</v>
      </c>
      <c r="AC120" s="289" t="s">
        <v>1056</v>
      </c>
      <c r="AD120" s="345"/>
      <c r="AE120" s="285" t="s">
        <v>1056</v>
      </c>
      <c r="AF120" s="287" t="s">
        <v>1056</v>
      </c>
    </row>
    <row r="121" spans="1:32" hidden="1">
      <c r="A121" s="300" t="s">
        <v>1065</v>
      </c>
      <c r="B121" s="301" t="s">
        <v>1066</v>
      </c>
      <c r="C121" s="1" t="s">
        <v>754</v>
      </c>
      <c r="D121" s="1" t="s">
        <v>1072</v>
      </c>
      <c r="E121" s="1" t="s">
        <v>1068</v>
      </c>
      <c r="F121" s="302" t="s">
        <v>1056</v>
      </c>
      <c r="G121" s="1" t="s">
        <v>1056</v>
      </c>
      <c r="H121" s="285" t="s">
        <v>1069</v>
      </c>
      <c r="I121" s="285">
        <v>5</v>
      </c>
      <c r="J121" s="280">
        <f t="shared" si="39"/>
        <v>0.16112889000000002</v>
      </c>
      <c r="K121" s="288" t="s">
        <v>1056</v>
      </c>
      <c r="L121" s="285" t="s">
        <v>1056</v>
      </c>
      <c r="M121" s="340"/>
      <c r="N121" s="286" t="s">
        <v>1056</v>
      </c>
      <c r="O121" s="286" t="s">
        <v>1056</v>
      </c>
      <c r="P121" s="366" t="s">
        <v>1056</v>
      </c>
      <c r="Q121" s="286" t="s">
        <v>1056</v>
      </c>
      <c r="R121" s="344"/>
      <c r="S121" s="286" t="s">
        <v>1056</v>
      </c>
      <c r="T121" s="344"/>
      <c r="U121" s="286" t="s">
        <v>1056</v>
      </c>
      <c r="V121" s="371"/>
      <c r="W121" s="286" t="s">
        <v>1056</v>
      </c>
      <c r="X121" s="371"/>
      <c r="Y121" s="285" t="s">
        <v>1056</v>
      </c>
      <c r="Z121" s="286" t="s">
        <v>1056</v>
      </c>
      <c r="AA121" s="286" t="s">
        <v>1056</v>
      </c>
      <c r="AB121" s="286" t="s">
        <v>1056</v>
      </c>
      <c r="AC121" s="286" t="s">
        <v>1056</v>
      </c>
      <c r="AD121" s="344"/>
      <c r="AE121" s="285" t="s">
        <v>1056</v>
      </c>
      <c r="AF121" s="287" t="s">
        <v>1056</v>
      </c>
    </row>
    <row r="122" spans="1:32" hidden="1">
      <c r="A122" s="300" t="s">
        <v>1065</v>
      </c>
      <c r="B122" s="301" t="s">
        <v>1066</v>
      </c>
      <c r="C122" s="1" t="s">
        <v>758</v>
      </c>
      <c r="D122" s="1" t="s">
        <v>1072</v>
      </c>
      <c r="E122" s="1" t="s">
        <v>1070</v>
      </c>
      <c r="F122" s="302" t="s">
        <v>1056</v>
      </c>
      <c r="G122" s="1" t="s">
        <v>1056</v>
      </c>
      <c r="H122" s="285" t="s">
        <v>1069</v>
      </c>
      <c r="I122" s="285">
        <v>7</v>
      </c>
      <c r="J122" s="280">
        <f t="shared" si="39"/>
        <v>0.22558044600000002</v>
      </c>
      <c r="K122" s="288" t="s">
        <v>1056</v>
      </c>
      <c r="L122" s="285" t="s">
        <v>1056</v>
      </c>
      <c r="M122" s="340"/>
      <c r="N122" s="286" t="s">
        <v>1056</v>
      </c>
      <c r="O122" s="286" t="s">
        <v>1056</v>
      </c>
      <c r="P122" s="366" t="s">
        <v>1056</v>
      </c>
      <c r="Q122" s="286" t="s">
        <v>1056</v>
      </c>
      <c r="R122" s="344"/>
      <c r="S122" s="286" t="s">
        <v>1056</v>
      </c>
      <c r="T122" s="344"/>
      <c r="U122" s="286" t="s">
        <v>1056</v>
      </c>
      <c r="V122" s="371"/>
      <c r="W122" s="286" t="s">
        <v>1056</v>
      </c>
      <c r="X122" s="371"/>
      <c r="Y122" s="285" t="s">
        <v>1056</v>
      </c>
      <c r="Z122" s="286" t="s">
        <v>1056</v>
      </c>
      <c r="AA122" s="286" t="s">
        <v>1056</v>
      </c>
      <c r="AB122" s="286" t="s">
        <v>1056</v>
      </c>
      <c r="AC122" s="286" t="s">
        <v>1056</v>
      </c>
      <c r="AD122" s="344"/>
      <c r="AE122" s="285" t="s">
        <v>1056</v>
      </c>
      <c r="AF122" s="287" t="s">
        <v>1056</v>
      </c>
    </row>
    <row r="123" spans="1:32" hidden="1">
      <c r="A123" s="300" t="s">
        <v>1065</v>
      </c>
      <c r="B123" s="301" t="s">
        <v>1071</v>
      </c>
      <c r="C123" s="1" t="s">
        <v>754</v>
      </c>
      <c r="D123" s="1" t="s">
        <v>1072</v>
      </c>
      <c r="E123" s="1" t="s">
        <v>1068</v>
      </c>
      <c r="F123" s="302" t="s">
        <v>1056</v>
      </c>
      <c r="G123" s="1" t="s">
        <v>1056</v>
      </c>
      <c r="H123" s="285" t="s">
        <v>1069</v>
      </c>
      <c r="I123" s="285">
        <v>5</v>
      </c>
      <c r="J123" s="280">
        <f t="shared" si="39"/>
        <v>0.16112889000000002</v>
      </c>
      <c r="K123" s="288" t="s">
        <v>1056</v>
      </c>
      <c r="L123" s="285" t="s">
        <v>1056</v>
      </c>
      <c r="M123" s="340"/>
      <c r="N123" s="286" t="s">
        <v>1056</v>
      </c>
      <c r="O123" s="286" t="s">
        <v>1056</v>
      </c>
      <c r="P123" s="366" t="s">
        <v>1056</v>
      </c>
      <c r="Q123" s="286" t="s">
        <v>1056</v>
      </c>
      <c r="R123" s="344"/>
      <c r="S123" s="286" t="s">
        <v>1056</v>
      </c>
      <c r="T123" s="344"/>
      <c r="U123" s="286" t="s">
        <v>1056</v>
      </c>
      <c r="V123" s="371"/>
      <c r="W123" s="286" t="s">
        <v>1056</v>
      </c>
      <c r="X123" s="371"/>
      <c r="Y123" s="285" t="s">
        <v>1056</v>
      </c>
      <c r="Z123" s="286" t="s">
        <v>1056</v>
      </c>
      <c r="AA123" s="286" t="s">
        <v>1056</v>
      </c>
      <c r="AB123" s="286" t="s">
        <v>1056</v>
      </c>
      <c r="AC123" s="286" t="s">
        <v>1056</v>
      </c>
      <c r="AD123" s="344"/>
      <c r="AE123" s="285" t="s">
        <v>1056</v>
      </c>
      <c r="AF123" s="287" t="s">
        <v>1056</v>
      </c>
    </row>
    <row r="124" spans="1:32" hidden="1">
      <c r="A124" s="300" t="s">
        <v>1065</v>
      </c>
      <c r="B124" s="301" t="s">
        <v>1071</v>
      </c>
      <c r="C124" s="1" t="s">
        <v>758</v>
      </c>
      <c r="D124" s="1" t="s">
        <v>1072</v>
      </c>
      <c r="E124" s="1" t="s">
        <v>1070</v>
      </c>
      <c r="F124" s="302" t="s">
        <v>1056</v>
      </c>
      <c r="G124" s="1" t="s">
        <v>1056</v>
      </c>
      <c r="H124" s="285" t="s">
        <v>1069</v>
      </c>
      <c r="I124" s="285">
        <v>7</v>
      </c>
      <c r="J124" s="280">
        <f t="shared" si="39"/>
        <v>0.22558044600000002</v>
      </c>
      <c r="K124" s="288" t="s">
        <v>1056</v>
      </c>
      <c r="L124" s="285" t="s">
        <v>1056</v>
      </c>
      <c r="M124" s="340"/>
      <c r="N124" s="289" t="s">
        <v>1056</v>
      </c>
      <c r="O124" s="289" t="s">
        <v>1056</v>
      </c>
      <c r="P124" s="366" t="s">
        <v>1056</v>
      </c>
      <c r="Q124" s="289" t="s">
        <v>1056</v>
      </c>
      <c r="R124" s="345"/>
      <c r="S124" s="289" t="s">
        <v>1056</v>
      </c>
      <c r="T124" s="345"/>
      <c r="U124" s="289" t="s">
        <v>1056</v>
      </c>
      <c r="V124" s="372"/>
      <c r="W124" s="289" t="s">
        <v>1056</v>
      </c>
      <c r="X124" s="372"/>
      <c r="Y124" s="285" t="s">
        <v>1056</v>
      </c>
      <c r="Z124" s="289" t="s">
        <v>1056</v>
      </c>
      <c r="AA124" s="289" t="s">
        <v>1056</v>
      </c>
      <c r="AB124" s="289" t="s">
        <v>1056</v>
      </c>
      <c r="AC124" s="289" t="s">
        <v>1056</v>
      </c>
      <c r="AD124" s="345"/>
      <c r="AE124" s="285" t="s">
        <v>1056</v>
      </c>
      <c r="AF124" s="287" t="s">
        <v>1056</v>
      </c>
    </row>
    <row r="125" spans="1:32" hidden="1">
      <c r="A125" s="300" t="s">
        <v>1065</v>
      </c>
      <c r="B125" s="301" t="s">
        <v>1073</v>
      </c>
      <c r="C125" s="1" t="s">
        <v>754</v>
      </c>
      <c r="D125" s="1" t="s">
        <v>1067</v>
      </c>
      <c r="E125" s="1" t="s">
        <v>1068</v>
      </c>
      <c r="F125" s="302" t="s">
        <v>1056</v>
      </c>
      <c r="G125" s="1" t="s">
        <v>1061</v>
      </c>
      <c r="H125" s="285" t="s">
        <v>1069</v>
      </c>
      <c r="I125" s="285">
        <v>4</v>
      </c>
      <c r="J125" s="280">
        <f t="shared" si="39"/>
        <v>0.12890311200000001</v>
      </c>
      <c r="K125" s="288">
        <v>0.35</v>
      </c>
      <c r="L125" s="285" t="s">
        <v>1056</v>
      </c>
      <c r="M125" s="340"/>
      <c r="N125" s="289" t="s">
        <v>1056</v>
      </c>
      <c r="O125" s="289" t="s">
        <v>1056</v>
      </c>
      <c r="P125" s="366" t="s">
        <v>1056</v>
      </c>
      <c r="Q125" s="289" t="s">
        <v>1056</v>
      </c>
      <c r="R125" s="345"/>
      <c r="S125" s="289">
        <v>3000000</v>
      </c>
      <c r="T125" s="345"/>
      <c r="U125" s="289" t="s">
        <v>1056</v>
      </c>
      <c r="V125" s="372"/>
      <c r="W125" s="289" t="s">
        <v>1056</v>
      </c>
      <c r="X125" s="372"/>
      <c r="Y125" s="285">
        <f t="shared" ref="Y125:Y164" si="73">SUM(Q125:W125)</f>
        <v>3000000</v>
      </c>
      <c r="Z125" s="289" t="s">
        <v>1056</v>
      </c>
      <c r="AA125" s="289">
        <v>130000</v>
      </c>
      <c r="AB125" s="289" t="s">
        <v>1056</v>
      </c>
      <c r="AC125" s="289" t="s">
        <v>1056</v>
      </c>
      <c r="AD125" s="345"/>
      <c r="AE125" s="285">
        <f t="shared" ref="AE125:AE164" si="74">SUM(Z125:AD125)</f>
        <v>130000</v>
      </c>
      <c r="AF125" s="287">
        <v>0</v>
      </c>
    </row>
    <row r="126" spans="1:32" hidden="1">
      <c r="A126" s="300" t="s">
        <v>1065</v>
      </c>
      <c r="B126" s="301" t="s">
        <v>1073</v>
      </c>
      <c r="C126" s="1" t="s">
        <v>754</v>
      </c>
      <c r="D126" s="1" t="s">
        <v>1067</v>
      </c>
      <c r="E126" s="1" t="s">
        <v>1068</v>
      </c>
      <c r="F126" s="302" t="s">
        <v>1056</v>
      </c>
      <c r="G126" s="1" t="s">
        <v>51</v>
      </c>
      <c r="H126" s="285" t="s">
        <v>1069</v>
      </c>
      <c r="I126" s="285">
        <f>I125</f>
        <v>4</v>
      </c>
      <c r="J126" s="280">
        <f t="shared" si="39"/>
        <v>0.12890311200000001</v>
      </c>
      <c r="K126" s="288">
        <v>0.99</v>
      </c>
      <c r="L126" s="285" t="s">
        <v>1056</v>
      </c>
      <c r="M126" s="340"/>
      <c r="N126" s="289" t="s">
        <v>1056</v>
      </c>
      <c r="O126" s="289" t="s">
        <v>1056</v>
      </c>
      <c r="P126" s="366" t="s">
        <v>1056</v>
      </c>
      <c r="Q126" s="289" t="s">
        <v>1056</v>
      </c>
      <c r="R126" s="345"/>
      <c r="S126" s="289">
        <f>S125</f>
        <v>3000000</v>
      </c>
      <c r="T126" s="345"/>
      <c r="U126" s="289">
        <v>230000</v>
      </c>
      <c r="V126" s="372"/>
      <c r="W126" s="289" t="s">
        <v>1056</v>
      </c>
      <c r="X126" s="372"/>
      <c r="Y126" s="285">
        <f t="shared" si="73"/>
        <v>3230000</v>
      </c>
      <c r="Z126" s="289" t="s">
        <v>1056</v>
      </c>
      <c r="AA126" s="289">
        <v>130000</v>
      </c>
      <c r="AB126" s="289">
        <v>46000</v>
      </c>
      <c r="AC126" s="289" t="s">
        <v>1056</v>
      </c>
      <c r="AD126" s="345"/>
      <c r="AE126" s="285">
        <f t="shared" si="74"/>
        <v>176000</v>
      </c>
      <c r="AF126" s="287">
        <v>0</v>
      </c>
    </row>
    <row r="127" spans="1:32" hidden="1">
      <c r="A127" s="300" t="s">
        <v>1065</v>
      </c>
      <c r="B127" s="301" t="s">
        <v>1073</v>
      </c>
      <c r="C127" s="1" t="s">
        <v>754</v>
      </c>
      <c r="D127" s="1" t="s">
        <v>1067</v>
      </c>
      <c r="E127" s="1" t="s">
        <v>1068</v>
      </c>
      <c r="F127" s="302" t="s">
        <v>1056</v>
      </c>
      <c r="G127" s="1" t="s">
        <v>1062</v>
      </c>
      <c r="H127" s="285" t="s">
        <v>1069</v>
      </c>
      <c r="I127" s="285">
        <f>I126</f>
        <v>4</v>
      </c>
      <c r="J127" s="280">
        <f t="shared" si="39"/>
        <v>0.12890311200000001</v>
      </c>
      <c r="K127" s="288">
        <v>0.99</v>
      </c>
      <c r="L127" s="285" t="s">
        <v>1056</v>
      </c>
      <c r="M127" s="340"/>
      <c r="N127" s="289" t="s">
        <v>1056</v>
      </c>
      <c r="O127" s="289" t="s">
        <v>1056</v>
      </c>
      <c r="P127" s="366" t="s">
        <v>1056</v>
      </c>
      <c r="Q127" s="289" t="s">
        <v>1056</v>
      </c>
      <c r="R127" s="345"/>
      <c r="S127" s="289">
        <f>S126</f>
        <v>3000000</v>
      </c>
      <c r="T127" s="345"/>
      <c r="U127" s="289">
        <v>450000</v>
      </c>
      <c r="V127" s="372"/>
      <c r="W127" s="289" t="s">
        <v>1056</v>
      </c>
      <c r="X127" s="372"/>
      <c r="Y127" s="285">
        <f t="shared" si="73"/>
        <v>3450000</v>
      </c>
      <c r="Z127" s="289" t="s">
        <v>1056</v>
      </c>
      <c r="AA127" s="289">
        <v>130000</v>
      </c>
      <c r="AB127" s="289">
        <v>46000</v>
      </c>
      <c r="AC127" s="286" t="s">
        <v>1069</v>
      </c>
      <c r="AD127" s="345"/>
      <c r="AE127" s="285">
        <f t="shared" si="74"/>
        <v>176000</v>
      </c>
      <c r="AF127" s="287">
        <v>0</v>
      </c>
    </row>
    <row r="128" spans="1:32" hidden="1">
      <c r="A128" s="300" t="s">
        <v>1065</v>
      </c>
      <c r="B128" s="301" t="s">
        <v>1073</v>
      </c>
      <c r="C128" s="1" t="s">
        <v>754</v>
      </c>
      <c r="D128" s="1" t="s">
        <v>1067</v>
      </c>
      <c r="E128" s="1" t="s">
        <v>1068</v>
      </c>
      <c r="F128" s="302" t="s">
        <v>1056</v>
      </c>
      <c r="G128" s="1" t="s">
        <v>1063</v>
      </c>
      <c r="H128" s="285" t="s">
        <v>1069</v>
      </c>
      <c r="I128" s="285">
        <f>I127</f>
        <v>4</v>
      </c>
      <c r="J128" s="280">
        <f t="shared" si="39"/>
        <v>0.12890311200000001</v>
      </c>
      <c r="K128" s="288">
        <v>0</v>
      </c>
      <c r="L128" s="285" t="s">
        <v>1056</v>
      </c>
      <c r="M128" s="340"/>
      <c r="N128" s="289" t="s">
        <v>1056</v>
      </c>
      <c r="O128" s="289" t="s">
        <v>1056</v>
      </c>
      <c r="P128" s="366" t="s">
        <v>1056</v>
      </c>
      <c r="Q128" s="289" t="s">
        <v>1056</v>
      </c>
      <c r="R128" s="345"/>
      <c r="S128" s="289">
        <f>S127</f>
        <v>3000000</v>
      </c>
      <c r="T128" s="345"/>
      <c r="U128" s="289" t="s">
        <v>1056</v>
      </c>
      <c r="V128" s="372"/>
      <c r="W128" s="289">
        <f>W129</f>
        <v>54000000</v>
      </c>
      <c r="X128" s="372"/>
      <c r="Y128" s="285">
        <f t="shared" si="73"/>
        <v>57000000</v>
      </c>
      <c r="Z128" s="289" t="s">
        <v>1056</v>
      </c>
      <c r="AA128" s="289">
        <v>130000</v>
      </c>
      <c r="AB128" s="289" t="s">
        <v>1056</v>
      </c>
      <c r="AC128" s="289" t="s">
        <v>1056</v>
      </c>
      <c r="AD128" s="345"/>
      <c r="AE128" s="285">
        <f t="shared" si="74"/>
        <v>130000</v>
      </c>
      <c r="AF128" s="287">
        <v>0</v>
      </c>
    </row>
    <row r="129" spans="1:32" hidden="1">
      <c r="A129" s="300" t="s">
        <v>1065</v>
      </c>
      <c r="B129" s="301" t="s">
        <v>1073</v>
      </c>
      <c r="C129" s="1" t="s">
        <v>754</v>
      </c>
      <c r="D129" s="1" t="s">
        <v>1067</v>
      </c>
      <c r="E129" s="1" t="s">
        <v>1068</v>
      </c>
      <c r="F129" s="302" t="s">
        <v>1056</v>
      </c>
      <c r="G129" s="1" t="s">
        <v>1064</v>
      </c>
      <c r="H129" s="285" t="s">
        <v>1069</v>
      </c>
      <c r="I129" s="285">
        <f>I128</f>
        <v>4</v>
      </c>
      <c r="J129" s="280">
        <f t="shared" si="39"/>
        <v>0.12890311200000001</v>
      </c>
      <c r="K129" s="288">
        <v>0</v>
      </c>
      <c r="L129" s="285" t="s">
        <v>1056</v>
      </c>
      <c r="M129" s="340"/>
      <c r="N129" s="289" t="s">
        <v>1056</v>
      </c>
      <c r="O129" s="289" t="s">
        <v>1056</v>
      </c>
      <c r="P129" s="366" t="s">
        <v>1056</v>
      </c>
      <c r="Q129" s="289" t="s">
        <v>1056</v>
      </c>
      <c r="R129" s="345"/>
      <c r="S129" s="289">
        <f>S128</f>
        <v>3000000</v>
      </c>
      <c r="T129" s="345"/>
      <c r="U129" s="289" t="s">
        <v>1056</v>
      </c>
      <c r="V129" s="372"/>
      <c r="W129" s="289">
        <v>54000000</v>
      </c>
      <c r="X129" s="372"/>
      <c r="Y129" s="285">
        <f t="shared" si="73"/>
        <v>57000000</v>
      </c>
      <c r="Z129" s="289" t="s">
        <v>1056</v>
      </c>
      <c r="AA129" s="289">
        <v>130000</v>
      </c>
      <c r="AB129" s="289" t="s">
        <v>1056</v>
      </c>
      <c r="AC129" s="289" t="s">
        <v>1056</v>
      </c>
      <c r="AD129" s="345"/>
      <c r="AE129" s="285">
        <f t="shared" si="74"/>
        <v>130000</v>
      </c>
      <c r="AF129" s="287">
        <v>0</v>
      </c>
    </row>
    <row r="130" spans="1:32" hidden="1">
      <c r="A130" s="300" t="s">
        <v>1065</v>
      </c>
      <c r="B130" s="301" t="s">
        <v>1073</v>
      </c>
      <c r="C130" s="1" t="s">
        <v>758</v>
      </c>
      <c r="D130" s="1" t="s">
        <v>1067</v>
      </c>
      <c r="E130" s="1" t="s">
        <v>1070</v>
      </c>
      <c r="F130" s="302" t="s">
        <v>1056</v>
      </c>
      <c r="G130" s="1" t="s">
        <v>1061</v>
      </c>
      <c r="H130" s="285" t="s">
        <v>1069</v>
      </c>
      <c r="I130" s="285">
        <v>6</v>
      </c>
      <c r="J130" s="280">
        <f t="shared" si="39"/>
        <v>0.19335466800000001</v>
      </c>
      <c r="K130" s="288">
        <v>0.35</v>
      </c>
      <c r="L130" s="285" t="s">
        <v>1056</v>
      </c>
      <c r="M130" s="340"/>
      <c r="N130" s="289" t="s">
        <v>1056</v>
      </c>
      <c r="O130" s="289" t="s">
        <v>1056</v>
      </c>
      <c r="P130" s="366" t="s">
        <v>1056</v>
      </c>
      <c r="Q130" s="289" t="s">
        <v>1056</v>
      </c>
      <c r="R130" s="345"/>
      <c r="S130" s="289">
        <v>5200000</v>
      </c>
      <c r="T130" s="345"/>
      <c r="U130" s="289" t="s">
        <v>1056</v>
      </c>
      <c r="V130" s="372"/>
      <c r="W130" s="289" t="s">
        <v>1056</v>
      </c>
      <c r="X130" s="372"/>
      <c r="Y130" s="285">
        <f t="shared" si="73"/>
        <v>5200000</v>
      </c>
      <c r="Z130" s="289" t="s">
        <v>1056</v>
      </c>
      <c r="AA130" s="289">
        <v>530000</v>
      </c>
      <c r="AB130" s="289" t="s">
        <v>1056</v>
      </c>
      <c r="AC130" s="289" t="s">
        <v>1056</v>
      </c>
      <c r="AD130" s="345"/>
      <c r="AE130" s="285">
        <f t="shared" si="74"/>
        <v>530000</v>
      </c>
      <c r="AF130" s="287">
        <v>0</v>
      </c>
    </row>
    <row r="131" spans="1:32" hidden="1">
      <c r="A131" s="300" t="s">
        <v>1065</v>
      </c>
      <c r="B131" s="301" t="s">
        <v>1073</v>
      </c>
      <c r="C131" s="1" t="s">
        <v>758</v>
      </c>
      <c r="D131" s="1" t="s">
        <v>1067</v>
      </c>
      <c r="E131" s="1" t="s">
        <v>1070</v>
      </c>
      <c r="F131" s="302" t="s">
        <v>1056</v>
      </c>
      <c r="G131" s="1" t="s">
        <v>51</v>
      </c>
      <c r="H131" s="285" t="s">
        <v>1069</v>
      </c>
      <c r="I131" s="285">
        <f>I130</f>
        <v>6</v>
      </c>
      <c r="J131" s="280">
        <f t="shared" si="39"/>
        <v>0.19335466800000001</v>
      </c>
      <c r="K131" s="288">
        <v>0.99</v>
      </c>
      <c r="L131" s="285" t="s">
        <v>1056</v>
      </c>
      <c r="M131" s="340"/>
      <c r="N131" s="289" t="s">
        <v>1056</v>
      </c>
      <c r="O131" s="289" t="s">
        <v>1056</v>
      </c>
      <c r="P131" s="366" t="s">
        <v>1056</v>
      </c>
      <c r="Q131" s="289" t="s">
        <v>1056</v>
      </c>
      <c r="R131" s="345"/>
      <c r="S131" s="289">
        <f>S130</f>
        <v>5200000</v>
      </c>
      <c r="T131" s="345"/>
      <c r="U131" s="289">
        <v>230000</v>
      </c>
      <c r="V131" s="372"/>
      <c r="W131" s="289" t="s">
        <v>1056</v>
      </c>
      <c r="X131" s="372"/>
      <c r="Y131" s="285">
        <f t="shared" si="73"/>
        <v>5430000</v>
      </c>
      <c r="Z131" s="289" t="s">
        <v>1056</v>
      </c>
      <c r="AA131" s="289">
        <v>530000</v>
      </c>
      <c r="AB131" s="289">
        <v>190000</v>
      </c>
      <c r="AC131" s="289" t="s">
        <v>1056</v>
      </c>
      <c r="AD131" s="345"/>
      <c r="AE131" s="285">
        <f t="shared" si="74"/>
        <v>720000</v>
      </c>
      <c r="AF131" s="287">
        <v>0</v>
      </c>
    </row>
    <row r="132" spans="1:32" hidden="1">
      <c r="A132" s="300" t="s">
        <v>1065</v>
      </c>
      <c r="B132" s="301" t="s">
        <v>1073</v>
      </c>
      <c r="C132" s="1" t="s">
        <v>758</v>
      </c>
      <c r="D132" s="1" t="s">
        <v>1067</v>
      </c>
      <c r="E132" s="1" t="s">
        <v>1070</v>
      </c>
      <c r="F132" s="302" t="s">
        <v>1056</v>
      </c>
      <c r="G132" s="1" t="s">
        <v>1062</v>
      </c>
      <c r="H132" s="285" t="s">
        <v>1069</v>
      </c>
      <c r="I132" s="285">
        <f>I131</f>
        <v>6</v>
      </c>
      <c r="J132" s="280">
        <f t="shared" ref="J132:J195" si="75">I132*$E$289</f>
        <v>0.19335466800000001</v>
      </c>
      <c r="K132" s="288">
        <v>0.99</v>
      </c>
      <c r="L132" s="285" t="s">
        <v>1056</v>
      </c>
      <c r="M132" s="340"/>
      <c r="N132" s="289" t="s">
        <v>1056</v>
      </c>
      <c r="O132" s="289" t="s">
        <v>1056</v>
      </c>
      <c r="P132" s="366" t="s">
        <v>1056</v>
      </c>
      <c r="Q132" s="289" t="s">
        <v>1056</v>
      </c>
      <c r="R132" s="345"/>
      <c r="S132" s="289">
        <f>S131</f>
        <v>5200000</v>
      </c>
      <c r="T132" s="345"/>
      <c r="U132" s="289">
        <v>450000</v>
      </c>
      <c r="V132" s="372"/>
      <c r="W132" s="289" t="s">
        <v>1056</v>
      </c>
      <c r="X132" s="372"/>
      <c r="Y132" s="285">
        <f t="shared" si="73"/>
        <v>5650000</v>
      </c>
      <c r="Z132" s="289" t="s">
        <v>1056</v>
      </c>
      <c r="AA132" s="289">
        <v>530000</v>
      </c>
      <c r="AB132" s="289">
        <v>190000</v>
      </c>
      <c r="AC132" s="286" t="s">
        <v>1069</v>
      </c>
      <c r="AD132" s="345"/>
      <c r="AE132" s="285">
        <f t="shared" si="74"/>
        <v>720000</v>
      </c>
      <c r="AF132" s="287">
        <v>0</v>
      </c>
    </row>
    <row r="133" spans="1:32" hidden="1">
      <c r="A133" s="300" t="s">
        <v>1065</v>
      </c>
      <c r="B133" s="301" t="s">
        <v>1073</v>
      </c>
      <c r="C133" s="1" t="s">
        <v>758</v>
      </c>
      <c r="D133" s="1" t="s">
        <v>1067</v>
      </c>
      <c r="E133" s="1" t="s">
        <v>1070</v>
      </c>
      <c r="F133" s="302" t="s">
        <v>1056</v>
      </c>
      <c r="G133" s="1" t="s">
        <v>1063</v>
      </c>
      <c r="H133" s="285" t="s">
        <v>1069</v>
      </c>
      <c r="I133" s="285">
        <f>I132</f>
        <v>6</v>
      </c>
      <c r="J133" s="280">
        <f t="shared" si="75"/>
        <v>0.19335466800000001</v>
      </c>
      <c r="K133" s="288">
        <v>0</v>
      </c>
      <c r="L133" s="285" t="s">
        <v>1056</v>
      </c>
      <c r="M133" s="340"/>
      <c r="N133" s="289" t="s">
        <v>1056</v>
      </c>
      <c r="O133" s="289" t="s">
        <v>1056</v>
      </c>
      <c r="P133" s="366" t="s">
        <v>1056</v>
      </c>
      <c r="Q133" s="289" t="s">
        <v>1056</v>
      </c>
      <c r="R133" s="345"/>
      <c r="S133" s="289">
        <f>S132</f>
        <v>5200000</v>
      </c>
      <c r="T133" s="345"/>
      <c r="U133" s="289" t="s">
        <v>1056</v>
      </c>
      <c r="V133" s="372"/>
      <c r="W133" s="289">
        <f>W134</f>
        <v>54000000</v>
      </c>
      <c r="X133" s="372"/>
      <c r="Y133" s="285">
        <f t="shared" si="73"/>
        <v>59200000</v>
      </c>
      <c r="Z133" s="289" t="s">
        <v>1056</v>
      </c>
      <c r="AA133" s="289">
        <v>530000</v>
      </c>
      <c r="AB133" s="289" t="s">
        <v>1056</v>
      </c>
      <c r="AC133" s="289" t="s">
        <v>1056</v>
      </c>
      <c r="AD133" s="345"/>
      <c r="AE133" s="285">
        <f t="shared" si="74"/>
        <v>530000</v>
      </c>
      <c r="AF133" s="287">
        <v>0</v>
      </c>
    </row>
    <row r="134" spans="1:32" hidden="1">
      <c r="A134" s="300" t="s">
        <v>1065</v>
      </c>
      <c r="B134" s="301" t="s">
        <v>1073</v>
      </c>
      <c r="C134" s="1" t="s">
        <v>758</v>
      </c>
      <c r="D134" s="1" t="s">
        <v>1067</v>
      </c>
      <c r="E134" s="1" t="s">
        <v>1070</v>
      </c>
      <c r="F134" s="302" t="s">
        <v>1056</v>
      </c>
      <c r="G134" s="1" t="s">
        <v>1064</v>
      </c>
      <c r="H134" s="285" t="s">
        <v>1069</v>
      </c>
      <c r="I134" s="285">
        <f>I133</f>
        <v>6</v>
      </c>
      <c r="J134" s="280">
        <f t="shared" si="75"/>
        <v>0.19335466800000001</v>
      </c>
      <c r="K134" s="288">
        <v>0</v>
      </c>
      <c r="L134" s="285" t="s">
        <v>1056</v>
      </c>
      <c r="M134" s="340"/>
      <c r="N134" s="289" t="s">
        <v>1056</v>
      </c>
      <c r="O134" s="289" t="s">
        <v>1056</v>
      </c>
      <c r="P134" s="366" t="s">
        <v>1056</v>
      </c>
      <c r="Q134" s="289" t="s">
        <v>1056</v>
      </c>
      <c r="R134" s="345"/>
      <c r="S134" s="289">
        <f>S133</f>
        <v>5200000</v>
      </c>
      <c r="T134" s="345"/>
      <c r="U134" s="289" t="s">
        <v>1056</v>
      </c>
      <c r="V134" s="372"/>
      <c r="W134" s="289">
        <v>54000000</v>
      </c>
      <c r="X134" s="372"/>
      <c r="Y134" s="285">
        <f t="shared" si="73"/>
        <v>59200000</v>
      </c>
      <c r="Z134" s="289" t="s">
        <v>1056</v>
      </c>
      <c r="AA134" s="289">
        <v>530000</v>
      </c>
      <c r="AB134" s="289" t="s">
        <v>1056</v>
      </c>
      <c r="AC134" s="289" t="s">
        <v>1056</v>
      </c>
      <c r="AD134" s="345"/>
      <c r="AE134" s="285">
        <f t="shared" si="74"/>
        <v>530000</v>
      </c>
      <c r="AF134" s="287">
        <v>0</v>
      </c>
    </row>
    <row r="135" spans="1:32" hidden="1">
      <c r="A135" s="300" t="s">
        <v>1065</v>
      </c>
      <c r="B135" s="301" t="s">
        <v>1074</v>
      </c>
      <c r="C135" s="1" t="s">
        <v>754</v>
      </c>
      <c r="D135" s="1" t="s">
        <v>1067</v>
      </c>
      <c r="E135" s="1" t="s">
        <v>1068</v>
      </c>
      <c r="F135" s="302" t="s">
        <v>1056</v>
      </c>
      <c r="G135" s="1" t="s">
        <v>1061</v>
      </c>
      <c r="H135" s="285" t="s">
        <v>1069</v>
      </c>
      <c r="I135" s="285">
        <v>4</v>
      </c>
      <c r="J135" s="280">
        <f t="shared" si="75"/>
        <v>0.12890311200000001</v>
      </c>
      <c r="K135" s="288">
        <v>0.35</v>
      </c>
      <c r="L135" s="285" t="s">
        <v>1056</v>
      </c>
      <c r="M135" s="340"/>
      <c r="N135" s="289" t="s">
        <v>1056</v>
      </c>
      <c r="O135" s="289" t="s">
        <v>1056</v>
      </c>
      <c r="P135" s="366" t="s">
        <v>1056</v>
      </c>
      <c r="Q135" s="289">
        <v>1200000</v>
      </c>
      <c r="R135" s="345"/>
      <c r="S135" s="289">
        <v>3000000</v>
      </c>
      <c r="T135" s="345"/>
      <c r="U135" s="289" t="s">
        <v>1056</v>
      </c>
      <c r="V135" s="372"/>
      <c r="W135" s="289" t="s">
        <v>1056</v>
      </c>
      <c r="X135" s="372"/>
      <c r="Y135" s="285">
        <f t="shared" si="73"/>
        <v>4200000</v>
      </c>
      <c r="Z135" s="289">
        <v>55000</v>
      </c>
      <c r="AA135" s="289">
        <v>130000</v>
      </c>
      <c r="AB135" s="289" t="s">
        <v>1056</v>
      </c>
      <c r="AC135" s="289" t="s">
        <v>1056</v>
      </c>
      <c r="AD135" s="345"/>
      <c r="AE135" s="285">
        <f t="shared" si="74"/>
        <v>185000</v>
      </c>
      <c r="AF135" s="287">
        <v>0</v>
      </c>
    </row>
    <row r="136" spans="1:32" hidden="1">
      <c r="A136" s="300" t="s">
        <v>1065</v>
      </c>
      <c r="B136" s="301" t="s">
        <v>1074</v>
      </c>
      <c r="C136" s="1" t="s">
        <v>754</v>
      </c>
      <c r="D136" s="1" t="s">
        <v>1067</v>
      </c>
      <c r="E136" s="1" t="s">
        <v>1068</v>
      </c>
      <c r="F136" s="302" t="s">
        <v>1056</v>
      </c>
      <c r="G136" s="1" t="s">
        <v>51</v>
      </c>
      <c r="H136" s="285" t="s">
        <v>1069</v>
      </c>
      <c r="I136" s="285">
        <f>I135</f>
        <v>4</v>
      </c>
      <c r="J136" s="280">
        <f t="shared" si="75"/>
        <v>0.12890311200000001</v>
      </c>
      <c r="K136" s="288">
        <v>0.99</v>
      </c>
      <c r="L136" s="285" t="s">
        <v>1056</v>
      </c>
      <c r="M136" s="340"/>
      <c r="N136" s="289" t="s">
        <v>1056</v>
      </c>
      <c r="O136" s="289" t="s">
        <v>1056</v>
      </c>
      <c r="P136" s="366" t="s">
        <v>1056</v>
      </c>
      <c r="Q136" s="289">
        <v>1200000</v>
      </c>
      <c r="R136" s="345"/>
      <c r="S136" s="289">
        <v>3000000</v>
      </c>
      <c r="T136" s="345"/>
      <c r="U136" s="289">
        <v>230000</v>
      </c>
      <c r="V136" s="372"/>
      <c r="W136" s="289" t="s">
        <v>1056</v>
      </c>
      <c r="X136" s="372"/>
      <c r="Y136" s="285">
        <f t="shared" si="73"/>
        <v>4430000</v>
      </c>
      <c r="Z136" s="289">
        <v>55000</v>
      </c>
      <c r="AA136" s="289">
        <v>130000</v>
      </c>
      <c r="AB136" s="289">
        <v>46000</v>
      </c>
      <c r="AC136" s="289" t="s">
        <v>1056</v>
      </c>
      <c r="AD136" s="345"/>
      <c r="AE136" s="285">
        <f t="shared" si="74"/>
        <v>231000</v>
      </c>
      <c r="AF136" s="287">
        <v>0</v>
      </c>
    </row>
    <row r="137" spans="1:32" hidden="1">
      <c r="A137" s="300" t="s">
        <v>1065</v>
      </c>
      <c r="B137" s="301" t="s">
        <v>1074</v>
      </c>
      <c r="C137" s="1" t="s">
        <v>754</v>
      </c>
      <c r="D137" s="1" t="s">
        <v>1067</v>
      </c>
      <c r="E137" s="1" t="s">
        <v>1068</v>
      </c>
      <c r="F137" s="302" t="s">
        <v>1056</v>
      </c>
      <c r="G137" s="1" t="s">
        <v>1062</v>
      </c>
      <c r="H137" s="285" t="s">
        <v>1069</v>
      </c>
      <c r="I137" s="285">
        <f>I136</f>
        <v>4</v>
      </c>
      <c r="J137" s="280">
        <f t="shared" si="75"/>
        <v>0.12890311200000001</v>
      </c>
      <c r="K137" s="288">
        <v>0.99</v>
      </c>
      <c r="L137" s="285" t="s">
        <v>1056</v>
      </c>
      <c r="M137" s="340"/>
      <c r="N137" s="289" t="s">
        <v>1056</v>
      </c>
      <c r="O137" s="289" t="s">
        <v>1056</v>
      </c>
      <c r="P137" s="366" t="s">
        <v>1056</v>
      </c>
      <c r="Q137" s="289">
        <v>1200000</v>
      </c>
      <c r="R137" s="345"/>
      <c r="S137" s="289">
        <v>3000000</v>
      </c>
      <c r="T137" s="345"/>
      <c r="U137" s="289">
        <v>450000</v>
      </c>
      <c r="V137" s="372"/>
      <c r="W137" s="289" t="s">
        <v>1056</v>
      </c>
      <c r="X137" s="372"/>
      <c r="Y137" s="285">
        <f t="shared" si="73"/>
        <v>4650000</v>
      </c>
      <c r="Z137" s="289">
        <v>55000</v>
      </c>
      <c r="AA137" s="289">
        <v>130000</v>
      </c>
      <c r="AB137" s="289">
        <v>46000</v>
      </c>
      <c r="AC137" s="286" t="s">
        <v>1069</v>
      </c>
      <c r="AD137" s="345"/>
      <c r="AE137" s="285">
        <f t="shared" si="74"/>
        <v>231000</v>
      </c>
      <c r="AF137" s="287">
        <v>0</v>
      </c>
    </row>
    <row r="138" spans="1:32" hidden="1">
      <c r="A138" s="300" t="s">
        <v>1065</v>
      </c>
      <c r="B138" s="301" t="s">
        <v>1074</v>
      </c>
      <c r="C138" s="1" t="s">
        <v>754</v>
      </c>
      <c r="D138" s="1" t="s">
        <v>1067</v>
      </c>
      <c r="E138" s="1" t="s">
        <v>1068</v>
      </c>
      <c r="F138" s="302" t="s">
        <v>1056</v>
      </c>
      <c r="G138" s="1" t="s">
        <v>1063</v>
      </c>
      <c r="H138" s="285" t="s">
        <v>1069</v>
      </c>
      <c r="I138" s="285">
        <f>I137</f>
        <v>4</v>
      </c>
      <c r="J138" s="280">
        <f t="shared" si="75"/>
        <v>0.12890311200000001</v>
      </c>
      <c r="K138" s="288">
        <v>0</v>
      </c>
      <c r="L138" s="285" t="s">
        <v>1056</v>
      </c>
      <c r="M138" s="340"/>
      <c r="N138" s="289" t="s">
        <v>1056</v>
      </c>
      <c r="O138" s="289" t="s">
        <v>1056</v>
      </c>
      <c r="P138" s="366" t="s">
        <v>1056</v>
      </c>
      <c r="Q138" s="289">
        <v>1200000</v>
      </c>
      <c r="R138" s="345"/>
      <c r="S138" s="289">
        <v>3000000</v>
      </c>
      <c r="T138" s="345"/>
      <c r="U138" s="289" t="s">
        <v>1056</v>
      </c>
      <c r="V138" s="372"/>
      <c r="W138" s="289">
        <f>W139</f>
        <v>54000000</v>
      </c>
      <c r="X138" s="372"/>
      <c r="Y138" s="285">
        <f t="shared" si="73"/>
        <v>58200000</v>
      </c>
      <c r="Z138" s="289">
        <v>55000</v>
      </c>
      <c r="AA138" s="289">
        <v>130000</v>
      </c>
      <c r="AB138" s="289" t="s">
        <v>1056</v>
      </c>
      <c r="AC138" s="289" t="s">
        <v>1056</v>
      </c>
      <c r="AD138" s="345"/>
      <c r="AE138" s="285">
        <f t="shared" si="74"/>
        <v>185000</v>
      </c>
      <c r="AF138" s="287">
        <v>0</v>
      </c>
    </row>
    <row r="139" spans="1:32" hidden="1">
      <c r="A139" s="300" t="s">
        <v>1065</v>
      </c>
      <c r="B139" s="301" t="s">
        <v>1074</v>
      </c>
      <c r="C139" s="1" t="s">
        <v>754</v>
      </c>
      <c r="D139" s="1" t="s">
        <v>1067</v>
      </c>
      <c r="E139" s="1" t="s">
        <v>1068</v>
      </c>
      <c r="F139" s="302" t="s">
        <v>1056</v>
      </c>
      <c r="G139" s="1" t="s">
        <v>1064</v>
      </c>
      <c r="H139" s="285" t="s">
        <v>1069</v>
      </c>
      <c r="I139" s="285">
        <f>I138</f>
        <v>4</v>
      </c>
      <c r="J139" s="280">
        <f t="shared" si="75"/>
        <v>0.12890311200000001</v>
      </c>
      <c r="K139" s="288">
        <v>0</v>
      </c>
      <c r="L139" s="285" t="s">
        <v>1056</v>
      </c>
      <c r="M139" s="340"/>
      <c r="N139" s="289" t="s">
        <v>1056</v>
      </c>
      <c r="O139" s="289" t="s">
        <v>1056</v>
      </c>
      <c r="P139" s="366" t="s">
        <v>1056</v>
      </c>
      <c r="Q139" s="289">
        <v>1200000</v>
      </c>
      <c r="R139" s="345"/>
      <c r="S139" s="289">
        <v>3000000</v>
      </c>
      <c r="T139" s="345"/>
      <c r="U139" s="289" t="s">
        <v>1056</v>
      </c>
      <c r="V139" s="372"/>
      <c r="W139" s="289">
        <v>54000000</v>
      </c>
      <c r="X139" s="372"/>
      <c r="Y139" s="285">
        <f t="shared" si="73"/>
        <v>58200000</v>
      </c>
      <c r="Z139" s="289">
        <v>55000</v>
      </c>
      <c r="AA139" s="289">
        <v>130000</v>
      </c>
      <c r="AB139" s="289" t="s">
        <v>1056</v>
      </c>
      <c r="AC139" s="289" t="s">
        <v>1056</v>
      </c>
      <c r="AD139" s="345"/>
      <c r="AE139" s="285">
        <f t="shared" si="74"/>
        <v>185000</v>
      </c>
      <c r="AF139" s="287">
        <v>0</v>
      </c>
    </row>
    <row r="140" spans="1:32" hidden="1">
      <c r="A140" s="300" t="s">
        <v>1065</v>
      </c>
      <c r="B140" s="301" t="s">
        <v>1074</v>
      </c>
      <c r="C140" s="1" t="s">
        <v>758</v>
      </c>
      <c r="D140" s="1" t="s">
        <v>1067</v>
      </c>
      <c r="E140" s="1" t="s">
        <v>1070</v>
      </c>
      <c r="F140" s="302" t="s">
        <v>1056</v>
      </c>
      <c r="G140" s="1" t="s">
        <v>1061</v>
      </c>
      <c r="H140" s="285" t="s">
        <v>1069</v>
      </c>
      <c r="I140" s="285">
        <v>6</v>
      </c>
      <c r="J140" s="280">
        <f t="shared" si="75"/>
        <v>0.19335466800000001</v>
      </c>
      <c r="K140" s="288">
        <v>0.35</v>
      </c>
      <c r="L140" s="285" t="s">
        <v>1056</v>
      </c>
      <c r="M140" s="340"/>
      <c r="N140" s="289" t="s">
        <v>1056</v>
      </c>
      <c r="O140" s="289" t="s">
        <v>1056</v>
      </c>
      <c r="P140" s="366" t="s">
        <v>1056</v>
      </c>
      <c r="Q140" s="289">
        <v>3300000</v>
      </c>
      <c r="R140" s="345"/>
      <c r="S140" s="289">
        <v>5200000</v>
      </c>
      <c r="T140" s="345"/>
      <c r="U140" s="289" t="s">
        <v>1056</v>
      </c>
      <c r="V140" s="372"/>
      <c r="W140" s="289" t="s">
        <v>1056</v>
      </c>
      <c r="X140" s="372"/>
      <c r="Y140" s="285">
        <f t="shared" si="73"/>
        <v>8500000</v>
      </c>
      <c r="Z140" s="289">
        <v>160000</v>
      </c>
      <c r="AA140" s="289">
        <v>530000</v>
      </c>
      <c r="AB140" s="289" t="s">
        <v>1056</v>
      </c>
      <c r="AC140" s="289" t="s">
        <v>1056</v>
      </c>
      <c r="AD140" s="345"/>
      <c r="AE140" s="285">
        <f t="shared" si="74"/>
        <v>690000</v>
      </c>
      <c r="AF140" s="287">
        <v>0</v>
      </c>
    </row>
    <row r="141" spans="1:32" hidden="1">
      <c r="A141" s="300" t="s">
        <v>1065</v>
      </c>
      <c r="B141" s="301" t="s">
        <v>1074</v>
      </c>
      <c r="C141" s="1" t="s">
        <v>758</v>
      </c>
      <c r="D141" s="1" t="s">
        <v>1067</v>
      </c>
      <c r="E141" s="1" t="s">
        <v>1070</v>
      </c>
      <c r="F141" s="302" t="s">
        <v>1056</v>
      </c>
      <c r="G141" s="1" t="s">
        <v>51</v>
      </c>
      <c r="H141" s="285" t="s">
        <v>1069</v>
      </c>
      <c r="I141" s="285">
        <f>I140</f>
        <v>6</v>
      </c>
      <c r="J141" s="280">
        <f t="shared" si="75"/>
        <v>0.19335466800000001</v>
      </c>
      <c r="K141" s="288">
        <v>0.99</v>
      </c>
      <c r="L141" s="285" t="s">
        <v>1056</v>
      </c>
      <c r="M141" s="340"/>
      <c r="N141" s="289" t="s">
        <v>1056</v>
      </c>
      <c r="O141" s="289" t="s">
        <v>1056</v>
      </c>
      <c r="P141" s="366" t="s">
        <v>1056</v>
      </c>
      <c r="Q141" s="289">
        <v>3300000</v>
      </c>
      <c r="R141" s="345"/>
      <c r="S141" s="289">
        <v>5200000</v>
      </c>
      <c r="T141" s="345"/>
      <c r="U141" s="289">
        <v>230000</v>
      </c>
      <c r="V141" s="372"/>
      <c r="W141" s="289" t="s">
        <v>1056</v>
      </c>
      <c r="X141" s="372"/>
      <c r="Y141" s="285">
        <f t="shared" si="73"/>
        <v>8730000</v>
      </c>
      <c r="Z141" s="289">
        <v>160000</v>
      </c>
      <c r="AA141" s="289">
        <v>530000</v>
      </c>
      <c r="AB141" s="289">
        <v>190000</v>
      </c>
      <c r="AC141" s="289" t="s">
        <v>1056</v>
      </c>
      <c r="AD141" s="345"/>
      <c r="AE141" s="285">
        <f t="shared" si="74"/>
        <v>880000</v>
      </c>
      <c r="AF141" s="287">
        <v>0</v>
      </c>
    </row>
    <row r="142" spans="1:32" hidden="1">
      <c r="A142" s="300" t="s">
        <v>1065</v>
      </c>
      <c r="B142" s="301" t="s">
        <v>1074</v>
      </c>
      <c r="C142" s="1" t="s">
        <v>758</v>
      </c>
      <c r="D142" s="1" t="s">
        <v>1067</v>
      </c>
      <c r="E142" s="1" t="s">
        <v>1070</v>
      </c>
      <c r="F142" s="302" t="s">
        <v>1056</v>
      </c>
      <c r="G142" s="1" t="s">
        <v>1062</v>
      </c>
      <c r="H142" s="285" t="s">
        <v>1069</v>
      </c>
      <c r="I142" s="285">
        <f>I141</f>
        <v>6</v>
      </c>
      <c r="J142" s="280">
        <f t="shared" si="75"/>
        <v>0.19335466800000001</v>
      </c>
      <c r="K142" s="288">
        <v>0.99</v>
      </c>
      <c r="L142" s="285" t="s">
        <v>1056</v>
      </c>
      <c r="M142" s="340"/>
      <c r="N142" s="289" t="s">
        <v>1056</v>
      </c>
      <c r="O142" s="289" t="s">
        <v>1056</v>
      </c>
      <c r="P142" s="366" t="s">
        <v>1056</v>
      </c>
      <c r="Q142" s="289">
        <v>3300000</v>
      </c>
      <c r="R142" s="345"/>
      <c r="S142" s="289">
        <v>5200000</v>
      </c>
      <c r="T142" s="345"/>
      <c r="U142" s="289">
        <v>450000</v>
      </c>
      <c r="V142" s="372"/>
      <c r="W142" s="289" t="s">
        <v>1056</v>
      </c>
      <c r="X142" s="372"/>
      <c r="Y142" s="285">
        <f t="shared" si="73"/>
        <v>8950000</v>
      </c>
      <c r="Z142" s="289">
        <v>160000</v>
      </c>
      <c r="AA142" s="289">
        <v>530000</v>
      </c>
      <c r="AB142" s="289">
        <v>190000</v>
      </c>
      <c r="AC142" s="286" t="s">
        <v>1069</v>
      </c>
      <c r="AD142" s="345"/>
      <c r="AE142" s="285">
        <f t="shared" si="74"/>
        <v>880000</v>
      </c>
      <c r="AF142" s="287">
        <v>0</v>
      </c>
    </row>
    <row r="143" spans="1:32" hidden="1">
      <c r="A143" s="300" t="s">
        <v>1065</v>
      </c>
      <c r="B143" s="301" t="s">
        <v>1074</v>
      </c>
      <c r="C143" s="1" t="s">
        <v>758</v>
      </c>
      <c r="D143" s="1" t="s">
        <v>1067</v>
      </c>
      <c r="E143" s="1" t="s">
        <v>1070</v>
      </c>
      <c r="F143" s="302" t="s">
        <v>1056</v>
      </c>
      <c r="G143" s="1" t="s">
        <v>1063</v>
      </c>
      <c r="H143" s="285" t="s">
        <v>1069</v>
      </c>
      <c r="I143" s="285">
        <f>I142</f>
        <v>6</v>
      </c>
      <c r="J143" s="280">
        <f t="shared" si="75"/>
        <v>0.19335466800000001</v>
      </c>
      <c r="K143" s="288">
        <v>0</v>
      </c>
      <c r="L143" s="285" t="s">
        <v>1056</v>
      </c>
      <c r="M143" s="340"/>
      <c r="N143" s="289" t="s">
        <v>1056</v>
      </c>
      <c r="O143" s="289" t="s">
        <v>1056</v>
      </c>
      <c r="P143" s="366" t="s">
        <v>1056</v>
      </c>
      <c r="Q143" s="289">
        <v>3300000</v>
      </c>
      <c r="R143" s="345"/>
      <c r="S143" s="289">
        <v>5200000</v>
      </c>
      <c r="T143" s="345"/>
      <c r="U143" s="289" t="s">
        <v>1056</v>
      </c>
      <c r="V143" s="372"/>
      <c r="W143" s="289">
        <f>W144</f>
        <v>54000000</v>
      </c>
      <c r="X143" s="372"/>
      <c r="Y143" s="285">
        <f t="shared" si="73"/>
        <v>62500000</v>
      </c>
      <c r="Z143" s="289">
        <v>160000</v>
      </c>
      <c r="AA143" s="289">
        <v>530000</v>
      </c>
      <c r="AB143" s="289" t="s">
        <v>1056</v>
      </c>
      <c r="AC143" s="289" t="s">
        <v>1056</v>
      </c>
      <c r="AD143" s="345"/>
      <c r="AE143" s="285">
        <f t="shared" si="74"/>
        <v>690000</v>
      </c>
      <c r="AF143" s="287">
        <v>0</v>
      </c>
    </row>
    <row r="144" spans="1:32" hidden="1">
      <c r="A144" s="300" t="s">
        <v>1065</v>
      </c>
      <c r="B144" s="301" t="s">
        <v>1074</v>
      </c>
      <c r="C144" s="1" t="s">
        <v>758</v>
      </c>
      <c r="D144" s="1" t="s">
        <v>1067</v>
      </c>
      <c r="E144" s="1" t="s">
        <v>1070</v>
      </c>
      <c r="F144" s="302" t="s">
        <v>1056</v>
      </c>
      <c r="G144" s="1" t="s">
        <v>1064</v>
      </c>
      <c r="H144" s="285" t="s">
        <v>1069</v>
      </c>
      <c r="I144" s="285">
        <f>I143</f>
        <v>6</v>
      </c>
      <c r="J144" s="280">
        <f t="shared" si="75"/>
        <v>0.19335466800000001</v>
      </c>
      <c r="K144" s="288">
        <v>0</v>
      </c>
      <c r="L144" s="285" t="s">
        <v>1056</v>
      </c>
      <c r="M144" s="340"/>
      <c r="N144" s="289" t="s">
        <v>1056</v>
      </c>
      <c r="O144" s="289" t="s">
        <v>1056</v>
      </c>
      <c r="P144" s="366" t="s">
        <v>1056</v>
      </c>
      <c r="Q144" s="289">
        <v>3300000</v>
      </c>
      <c r="R144" s="345"/>
      <c r="S144" s="289">
        <v>5200000</v>
      </c>
      <c r="T144" s="345"/>
      <c r="U144" s="289" t="s">
        <v>1056</v>
      </c>
      <c r="V144" s="372"/>
      <c r="W144" s="289">
        <v>54000000</v>
      </c>
      <c r="X144" s="372"/>
      <c r="Y144" s="285">
        <f t="shared" si="73"/>
        <v>62500000</v>
      </c>
      <c r="Z144" s="289">
        <v>160000</v>
      </c>
      <c r="AA144" s="289">
        <v>530000</v>
      </c>
      <c r="AB144" s="289" t="s">
        <v>1056</v>
      </c>
      <c r="AC144" s="289" t="s">
        <v>1056</v>
      </c>
      <c r="AD144" s="345"/>
      <c r="AE144" s="285">
        <f t="shared" si="74"/>
        <v>690000</v>
      </c>
      <c r="AF144" s="287">
        <v>0</v>
      </c>
    </row>
    <row r="145" spans="1:32" hidden="1">
      <c r="A145" s="300" t="s">
        <v>1065</v>
      </c>
      <c r="B145" s="301" t="s">
        <v>1073</v>
      </c>
      <c r="C145" s="1" t="s">
        <v>754</v>
      </c>
      <c r="D145" s="1" t="s">
        <v>1072</v>
      </c>
      <c r="E145" s="1" t="s">
        <v>1068</v>
      </c>
      <c r="F145" s="302" t="s">
        <v>1056</v>
      </c>
      <c r="G145" s="1" t="s">
        <v>1061</v>
      </c>
      <c r="H145" s="285" t="s">
        <v>1069</v>
      </c>
      <c r="I145" s="285">
        <v>5</v>
      </c>
      <c r="J145" s="280">
        <f t="shared" si="75"/>
        <v>0.16112889000000002</v>
      </c>
      <c r="K145" s="288">
        <v>0.35</v>
      </c>
      <c r="L145" s="285" t="s">
        <v>1056</v>
      </c>
      <c r="M145" s="340"/>
      <c r="N145" s="289" t="s">
        <v>1056</v>
      </c>
      <c r="O145" s="289" t="s">
        <v>1056</v>
      </c>
      <c r="P145" s="366" t="s">
        <v>1056</v>
      </c>
      <c r="Q145" s="289" t="s">
        <v>1056</v>
      </c>
      <c r="R145" s="345"/>
      <c r="S145" s="289">
        <v>3000000</v>
      </c>
      <c r="T145" s="345"/>
      <c r="U145" s="289" t="s">
        <v>1056</v>
      </c>
      <c r="V145" s="372"/>
      <c r="W145" s="289" t="s">
        <v>1056</v>
      </c>
      <c r="X145" s="372"/>
      <c r="Y145" s="285">
        <f t="shared" si="73"/>
        <v>3000000</v>
      </c>
      <c r="Z145" s="289" t="s">
        <v>1056</v>
      </c>
      <c r="AA145" s="289">
        <v>130000</v>
      </c>
      <c r="AB145" s="289" t="s">
        <v>1056</v>
      </c>
      <c r="AC145" s="289" t="s">
        <v>1056</v>
      </c>
      <c r="AD145" s="345"/>
      <c r="AE145" s="285">
        <f t="shared" si="74"/>
        <v>130000</v>
      </c>
      <c r="AF145" s="287">
        <v>0</v>
      </c>
    </row>
    <row r="146" spans="1:32" hidden="1">
      <c r="A146" s="300" t="s">
        <v>1065</v>
      </c>
      <c r="B146" s="301" t="s">
        <v>1073</v>
      </c>
      <c r="C146" s="1" t="s">
        <v>754</v>
      </c>
      <c r="D146" s="1" t="s">
        <v>1072</v>
      </c>
      <c r="E146" s="1" t="s">
        <v>1068</v>
      </c>
      <c r="F146" s="302" t="s">
        <v>1056</v>
      </c>
      <c r="G146" s="1" t="s">
        <v>51</v>
      </c>
      <c r="H146" s="285" t="s">
        <v>1069</v>
      </c>
      <c r="I146" s="285">
        <f>I145</f>
        <v>5</v>
      </c>
      <c r="J146" s="280">
        <f t="shared" si="75"/>
        <v>0.16112889000000002</v>
      </c>
      <c r="K146" s="288">
        <v>0.99</v>
      </c>
      <c r="L146" s="285" t="s">
        <v>1056</v>
      </c>
      <c r="M146" s="340"/>
      <c r="N146" s="289" t="s">
        <v>1056</v>
      </c>
      <c r="O146" s="289" t="s">
        <v>1056</v>
      </c>
      <c r="P146" s="366" t="s">
        <v>1056</v>
      </c>
      <c r="Q146" s="289" t="s">
        <v>1056</v>
      </c>
      <c r="R146" s="345"/>
      <c r="S146" s="289">
        <v>3000000</v>
      </c>
      <c r="T146" s="345"/>
      <c r="U146" s="289">
        <v>230000</v>
      </c>
      <c r="V146" s="372"/>
      <c r="W146" s="289" t="s">
        <v>1056</v>
      </c>
      <c r="X146" s="372"/>
      <c r="Y146" s="285">
        <f t="shared" si="73"/>
        <v>3230000</v>
      </c>
      <c r="Z146" s="289" t="s">
        <v>1056</v>
      </c>
      <c r="AA146" s="289">
        <v>130000</v>
      </c>
      <c r="AB146" s="289">
        <v>46000</v>
      </c>
      <c r="AC146" s="289" t="s">
        <v>1056</v>
      </c>
      <c r="AD146" s="345"/>
      <c r="AE146" s="285">
        <f t="shared" si="74"/>
        <v>176000</v>
      </c>
      <c r="AF146" s="287">
        <v>0</v>
      </c>
    </row>
    <row r="147" spans="1:32" hidden="1">
      <c r="A147" s="300" t="s">
        <v>1065</v>
      </c>
      <c r="B147" s="301" t="s">
        <v>1073</v>
      </c>
      <c r="C147" s="1" t="s">
        <v>754</v>
      </c>
      <c r="D147" s="1" t="s">
        <v>1072</v>
      </c>
      <c r="E147" s="1" t="s">
        <v>1068</v>
      </c>
      <c r="F147" s="302" t="s">
        <v>1056</v>
      </c>
      <c r="G147" s="1" t="s">
        <v>1062</v>
      </c>
      <c r="H147" s="285" t="s">
        <v>1069</v>
      </c>
      <c r="I147" s="285">
        <f>I146</f>
        <v>5</v>
      </c>
      <c r="J147" s="280">
        <f t="shared" si="75"/>
        <v>0.16112889000000002</v>
      </c>
      <c r="K147" s="288">
        <v>0.99</v>
      </c>
      <c r="L147" s="285" t="s">
        <v>1056</v>
      </c>
      <c r="M147" s="340"/>
      <c r="N147" s="289" t="s">
        <v>1056</v>
      </c>
      <c r="O147" s="289" t="s">
        <v>1056</v>
      </c>
      <c r="P147" s="366" t="s">
        <v>1056</v>
      </c>
      <c r="Q147" s="289" t="s">
        <v>1056</v>
      </c>
      <c r="R147" s="345"/>
      <c r="S147" s="289">
        <v>3000000</v>
      </c>
      <c r="T147" s="345"/>
      <c r="U147" s="289">
        <v>450000</v>
      </c>
      <c r="V147" s="372"/>
      <c r="W147" s="289" t="s">
        <v>1056</v>
      </c>
      <c r="X147" s="372"/>
      <c r="Y147" s="285">
        <f t="shared" si="73"/>
        <v>3450000</v>
      </c>
      <c r="Z147" s="289" t="s">
        <v>1056</v>
      </c>
      <c r="AA147" s="289">
        <v>130000</v>
      </c>
      <c r="AB147" s="289">
        <v>46000</v>
      </c>
      <c r="AC147" s="286" t="s">
        <v>1069</v>
      </c>
      <c r="AD147" s="345"/>
      <c r="AE147" s="285">
        <f t="shared" si="74"/>
        <v>176000</v>
      </c>
      <c r="AF147" s="287">
        <v>0</v>
      </c>
    </row>
    <row r="148" spans="1:32" hidden="1">
      <c r="A148" s="300" t="s">
        <v>1065</v>
      </c>
      <c r="B148" s="301" t="s">
        <v>1073</v>
      </c>
      <c r="C148" s="1" t="s">
        <v>754</v>
      </c>
      <c r="D148" s="1" t="s">
        <v>1072</v>
      </c>
      <c r="E148" s="1" t="s">
        <v>1068</v>
      </c>
      <c r="F148" s="302" t="s">
        <v>1056</v>
      </c>
      <c r="G148" s="1" t="s">
        <v>1063</v>
      </c>
      <c r="H148" s="285" t="s">
        <v>1069</v>
      </c>
      <c r="I148" s="285">
        <f>I147</f>
        <v>5</v>
      </c>
      <c r="J148" s="280">
        <f t="shared" si="75"/>
        <v>0.16112889000000002</v>
      </c>
      <c r="K148" s="288">
        <v>0</v>
      </c>
      <c r="L148" s="285" t="s">
        <v>1056</v>
      </c>
      <c r="M148" s="340"/>
      <c r="N148" s="289" t="s">
        <v>1056</v>
      </c>
      <c r="O148" s="289" t="s">
        <v>1056</v>
      </c>
      <c r="P148" s="366" t="s">
        <v>1056</v>
      </c>
      <c r="Q148" s="289" t="s">
        <v>1056</v>
      </c>
      <c r="R148" s="345"/>
      <c r="S148" s="289">
        <v>3000000</v>
      </c>
      <c r="T148" s="345"/>
      <c r="U148" s="289" t="s">
        <v>1056</v>
      </c>
      <c r="V148" s="372"/>
      <c r="W148" s="289">
        <f>W149</f>
        <v>54000000</v>
      </c>
      <c r="X148" s="372"/>
      <c r="Y148" s="285">
        <f t="shared" si="73"/>
        <v>57000000</v>
      </c>
      <c r="Z148" s="289" t="s">
        <v>1056</v>
      </c>
      <c r="AA148" s="289">
        <v>130000</v>
      </c>
      <c r="AB148" s="289" t="s">
        <v>1056</v>
      </c>
      <c r="AC148" s="289" t="s">
        <v>1056</v>
      </c>
      <c r="AD148" s="345"/>
      <c r="AE148" s="285">
        <f t="shared" si="74"/>
        <v>130000</v>
      </c>
      <c r="AF148" s="287">
        <v>0</v>
      </c>
    </row>
    <row r="149" spans="1:32" hidden="1">
      <c r="A149" s="300" t="s">
        <v>1065</v>
      </c>
      <c r="B149" s="301" t="s">
        <v>1073</v>
      </c>
      <c r="C149" s="1" t="s">
        <v>754</v>
      </c>
      <c r="D149" s="1" t="s">
        <v>1072</v>
      </c>
      <c r="E149" s="1" t="s">
        <v>1068</v>
      </c>
      <c r="F149" s="302" t="s">
        <v>1056</v>
      </c>
      <c r="G149" s="1" t="s">
        <v>1064</v>
      </c>
      <c r="H149" s="285" t="s">
        <v>1069</v>
      </c>
      <c r="I149" s="285">
        <f>I148</f>
        <v>5</v>
      </c>
      <c r="J149" s="280">
        <f t="shared" si="75"/>
        <v>0.16112889000000002</v>
      </c>
      <c r="K149" s="288">
        <v>0</v>
      </c>
      <c r="L149" s="285" t="s">
        <v>1056</v>
      </c>
      <c r="M149" s="340"/>
      <c r="N149" s="289" t="s">
        <v>1056</v>
      </c>
      <c r="O149" s="289" t="s">
        <v>1056</v>
      </c>
      <c r="P149" s="366" t="s">
        <v>1056</v>
      </c>
      <c r="Q149" s="289" t="s">
        <v>1056</v>
      </c>
      <c r="R149" s="345"/>
      <c r="S149" s="289">
        <v>3000000</v>
      </c>
      <c r="T149" s="345"/>
      <c r="U149" s="289" t="s">
        <v>1056</v>
      </c>
      <c r="V149" s="372"/>
      <c r="W149" s="289">
        <v>54000000</v>
      </c>
      <c r="X149" s="372"/>
      <c r="Y149" s="285">
        <f t="shared" si="73"/>
        <v>57000000</v>
      </c>
      <c r="Z149" s="289" t="s">
        <v>1056</v>
      </c>
      <c r="AA149" s="289">
        <v>130000</v>
      </c>
      <c r="AB149" s="289" t="s">
        <v>1056</v>
      </c>
      <c r="AC149" s="289" t="s">
        <v>1056</v>
      </c>
      <c r="AD149" s="345"/>
      <c r="AE149" s="285">
        <f t="shared" si="74"/>
        <v>130000</v>
      </c>
      <c r="AF149" s="287">
        <v>0</v>
      </c>
    </row>
    <row r="150" spans="1:32" hidden="1">
      <c r="A150" s="300" t="s">
        <v>1065</v>
      </c>
      <c r="B150" s="301" t="s">
        <v>1073</v>
      </c>
      <c r="C150" s="1" t="s">
        <v>758</v>
      </c>
      <c r="D150" s="1" t="s">
        <v>1072</v>
      </c>
      <c r="E150" s="1" t="s">
        <v>1070</v>
      </c>
      <c r="F150" s="302" t="s">
        <v>1056</v>
      </c>
      <c r="G150" s="1" t="s">
        <v>1061</v>
      </c>
      <c r="H150" s="285" t="s">
        <v>1069</v>
      </c>
      <c r="I150" s="285">
        <v>7</v>
      </c>
      <c r="J150" s="280">
        <f t="shared" si="75"/>
        <v>0.22558044600000002</v>
      </c>
      <c r="K150" s="288">
        <v>0.35</v>
      </c>
      <c r="L150" s="285" t="s">
        <v>1056</v>
      </c>
      <c r="M150" s="340"/>
      <c r="N150" s="289" t="s">
        <v>1056</v>
      </c>
      <c r="O150" s="289" t="s">
        <v>1056</v>
      </c>
      <c r="P150" s="366" t="s">
        <v>1056</v>
      </c>
      <c r="Q150" s="289" t="s">
        <v>1056</v>
      </c>
      <c r="R150" s="345"/>
      <c r="S150" s="289">
        <v>5200000</v>
      </c>
      <c r="T150" s="345"/>
      <c r="U150" s="289" t="s">
        <v>1056</v>
      </c>
      <c r="V150" s="372"/>
      <c r="W150" s="289" t="s">
        <v>1056</v>
      </c>
      <c r="X150" s="372"/>
      <c r="Y150" s="285">
        <f t="shared" si="73"/>
        <v>5200000</v>
      </c>
      <c r="Z150" s="289" t="s">
        <v>1056</v>
      </c>
      <c r="AA150" s="289">
        <v>530000</v>
      </c>
      <c r="AB150" s="289" t="s">
        <v>1056</v>
      </c>
      <c r="AC150" s="289" t="s">
        <v>1056</v>
      </c>
      <c r="AD150" s="345"/>
      <c r="AE150" s="285">
        <f t="shared" si="74"/>
        <v>530000</v>
      </c>
      <c r="AF150" s="287">
        <v>0</v>
      </c>
    </row>
    <row r="151" spans="1:32" hidden="1">
      <c r="A151" s="300" t="s">
        <v>1065</v>
      </c>
      <c r="B151" s="301" t="s">
        <v>1073</v>
      </c>
      <c r="C151" s="1" t="s">
        <v>758</v>
      </c>
      <c r="D151" s="1" t="s">
        <v>1072</v>
      </c>
      <c r="E151" s="1" t="s">
        <v>1070</v>
      </c>
      <c r="F151" s="302" t="s">
        <v>1056</v>
      </c>
      <c r="G151" s="1" t="s">
        <v>51</v>
      </c>
      <c r="H151" s="285" t="s">
        <v>1069</v>
      </c>
      <c r="I151" s="285">
        <f>I150</f>
        <v>7</v>
      </c>
      <c r="J151" s="280">
        <f t="shared" si="75"/>
        <v>0.22558044600000002</v>
      </c>
      <c r="K151" s="288">
        <v>0.99</v>
      </c>
      <c r="L151" s="285" t="s">
        <v>1056</v>
      </c>
      <c r="M151" s="340"/>
      <c r="N151" s="289" t="s">
        <v>1056</v>
      </c>
      <c r="O151" s="289" t="s">
        <v>1056</v>
      </c>
      <c r="P151" s="366" t="s">
        <v>1056</v>
      </c>
      <c r="Q151" s="289" t="s">
        <v>1056</v>
      </c>
      <c r="R151" s="345"/>
      <c r="S151" s="289">
        <v>5200000</v>
      </c>
      <c r="T151" s="345"/>
      <c r="U151" s="289">
        <v>230000</v>
      </c>
      <c r="V151" s="372"/>
      <c r="W151" s="289" t="s">
        <v>1056</v>
      </c>
      <c r="X151" s="372"/>
      <c r="Y151" s="285">
        <f t="shared" si="73"/>
        <v>5430000</v>
      </c>
      <c r="Z151" s="289" t="s">
        <v>1056</v>
      </c>
      <c r="AA151" s="289">
        <v>530000</v>
      </c>
      <c r="AB151" s="289">
        <v>190000</v>
      </c>
      <c r="AC151" s="289" t="s">
        <v>1056</v>
      </c>
      <c r="AD151" s="345"/>
      <c r="AE151" s="285">
        <f t="shared" si="74"/>
        <v>720000</v>
      </c>
      <c r="AF151" s="287">
        <v>0</v>
      </c>
    </row>
    <row r="152" spans="1:32" hidden="1">
      <c r="A152" s="300" t="s">
        <v>1065</v>
      </c>
      <c r="B152" s="301" t="s">
        <v>1073</v>
      </c>
      <c r="C152" s="1" t="s">
        <v>758</v>
      </c>
      <c r="D152" s="1" t="s">
        <v>1072</v>
      </c>
      <c r="E152" s="1" t="s">
        <v>1070</v>
      </c>
      <c r="F152" s="302" t="s">
        <v>1056</v>
      </c>
      <c r="G152" s="1" t="s">
        <v>1062</v>
      </c>
      <c r="H152" s="285" t="s">
        <v>1069</v>
      </c>
      <c r="I152" s="285">
        <f>I151</f>
        <v>7</v>
      </c>
      <c r="J152" s="280">
        <f t="shared" si="75"/>
        <v>0.22558044600000002</v>
      </c>
      <c r="K152" s="288">
        <v>0.99</v>
      </c>
      <c r="L152" s="285" t="s">
        <v>1056</v>
      </c>
      <c r="M152" s="340"/>
      <c r="N152" s="289" t="s">
        <v>1056</v>
      </c>
      <c r="O152" s="289" t="s">
        <v>1056</v>
      </c>
      <c r="P152" s="366" t="s">
        <v>1056</v>
      </c>
      <c r="Q152" s="289" t="s">
        <v>1056</v>
      </c>
      <c r="R152" s="345"/>
      <c r="S152" s="289">
        <v>5200000</v>
      </c>
      <c r="T152" s="345"/>
      <c r="U152" s="289">
        <v>450000</v>
      </c>
      <c r="V152" s="372"/>
      <c r="W152" s="289" t="s">
        <v>1056</v>
      </c>
      <c r="X152" s="372"/>
      <c r="Y152" s="285">
        <f t="shared" si="73"/>
        <v>5650000</v>
      </c>
      <c r="Z152" s="289" t="s">
        <v>1056</v>
      </c>
      <c r="AA152" s="289">
        <v>530000</v>
      </c>
      <c r="AB152" s="289">
        <v>190000</v>
      </c>
      <c r="AC152" s="286" t="s">
        <v>1069</v>
      </c>
      <c r="AD152" s="345"/>
      <c r="AE152" s="285">
        <f t="shared" si="74"/>
        <v>720000</v>
      </c>
      <c r="AF152" s="287">
        <v>0</v>
      </c>
    </row>
    <row r="153" spans="1:32" hidden="1">
      <c r="A153" s="300" t="s">
        <v>1065</v>
      </c>
      <c r="B153" s="301" t="s">
        <v>1073</v>
      </c>
      <c r="C153" s="1" t="s">
        <v>758</v>
      </c>
      <c r="D153" s="1" t="s">
        <v>1072</v>
      </c>
      <c r="E153" s="1" t="s">
        <v>1070</v>
      </c>
      <c r="F153" s="302" t="s">
        <v>1056</v>
      </c>
      <c r="G153" s="1" t="s">
        <v>1063</v>
      </c>
      <c r="H153" s="285" t="s">
        <v>1069</v>
      </c>
      <c r="I153" s="285">
        <f>I152</f>
        <v>7</v>
      </c>
      <c r="J153" s="280">
        <f t="shared" si="75"/>
        <v>0.22558044600000002</v>
      </c>
      <c r="K153" s="288">
        <v>0</v>
      </c>
      <c r="L153" s="285" t="s">
        <v>1056</v>
      </c>
      <c r="M153" s="340"/>
      <c r="N153" s="289" t="s">
        <v>1056</v>
      </c>
      <c r="O153" s="289" t="s">
        <v>1056</v>
      </c>
      <c r="P153" s="366" t="s">
        <v>1056</v>
      </c>
      <c r="Q153" s="289" t="s">
        <v>1056</v>
      </c>
      <c r="R153" s="345"/>
      <c r="S153" s="289">
        <v>5200000</v>
      </c>
      <c r="T153" s="345"/>
      <c r="U153" s="289" t="s">
        <v>1056</v>
      </c>
      <c r="V153" s="372"/>
      <c r="W153" s="289">
        <f>W154</f>
        <v>54000000</v>
      </c>
      <c r="X153" s="372"/>
      <c r="Y153" s="285">
        <f t="shared" si="73"/>
        <v>59200000</v>
      </c>
      <c r="Z153" s="289" t="s">
        <v>1056</v>
      </c>
      <c r="AA153" s="289">
        <v>530000</v>
      </c>
      <c r="AB153" s="289" t="s">
        <v>1056</v>
      </c>
      <c r="AC153" s="289" t="s">
        <v>1056</v>
      </c>
      <c r="AD153" s="345"/>
      <c r="AE153" s="285">
        <f t="shared" si="74"/>
        <v>530000</v>
      </c>
      <c r="AF153" s="287">
        <v>0</v>
      </c>
    </row>
    <row r="154" spans="1:32" hidden="1">
      <c r="A154" s="300" t="s">
        <v>1065</v>
      </c>
      <c r="B154" s="301" t="s">
        <v>1073</v>
      </c>
      <c r="C154" s="1" t="s">
        <v>758</v>
      </c>
      <c r="D154" s="1" t="s">
        <v>1072</v>
      </c>
      <c r="E154" s="1" t="s">
        <v>1070</v>
      </c>
      <c r="F154" s="302" t="s">
        <v>1056</v>
      </c>
      <c r="G154" s="1" t="s">
        <v>1064</v>
      </c>
      <c r="H154" s="285" t="s">
        <v>1069</v>
      </c>
      <c r="I154" s="285">
        <f>I153</f>
        <v>7</v>
      </c>
      <c r="J154" s="280">
        <f t="shared" si="75"/>
        <v>0.22558044600000002</v>
      </c>
      <c r="K154" s="288">
        <v>0</v>
      </c>
      <c r="L154" s="285" t="s">
        <v>1056</v>
      </c>
      <c r="M154" s="340"/>
      <c r="N154" s="289" t="s">
        <v>1056</v>
      </c>
      <c r="O154" s="289" t="s">
        <v>1056</v>
      </c>
      <c r="P154" s="366" t="s">
        <v>1056</v>
      </c>
      <c r="Q154" s="289" t="s">
        <v>1056</v>
      </c>
      <c r="R154" s="345"/>
      <c r="S154" s="289">
        <v>5200000</v>
      </c>
      <c r="T154" s="345"/>
      <c r="U154" s="289" t="s">
        <v>1056</v>
      </c>
      <c r="V154" s="372"/>
      <c r="W154" s="289">
        <v>54000000</v>
      </c>
      <c r="X154" s="372"/>
      <c r="Y154" s="285">
        <f t="shared" si="73"/>
        <v>59200000</v>
      </c>
      <c r="Z154" s="289" t="s">
        <v>1056</v>
      </c>
      <c r="AA154" s="289">
        <v>530000</v>
      </c>
      <c r="AB154" s="289" t="s">
        <v>1056</v>
      </c>
      <c r="AC154" s="289" t="s">
        <v>1056</v>
      </c>
      <c r="AD154" s="345"/>
      <c r="AE154" s="285">
        <f t="shared" si="74"/>
        <v>530000</v>
      </c>
      <c r="AF154" s="287">
        <v>0</v>
      </c>
    </row>
    <row r="155" spans="1:32" hidden="1">
      <c r="A155" s="300" t="s">
        <v>1065</v>
      </c>
      <c r="B155" s="301" t="s">
        <v>1074</v>
      </c>
      <c r="C155" s="1" t="s">
        <v>754</v>
      </c>
      <c r="D155" s="1" t="s">
        <v>1072</v>
      </c>
      <c r="E155" s="1" t="s">
        <v>1068</v>
      </c>
      <c r="F155" s="302" t="s">
        <v>1056</v>
      </c>
      <c r="G155" s="1" t="s">
        <v>1061</v>
      </c>
      <c r="H155" s="285" t="s">
        <v>1069</v>
      </c>
      <c r="I155" s="285">
        <v>5</v>
      </c>
      <c r="J155" s="280">
        <f t="shared" si="75"/>
        <v>0.16112889000000002</v>
      </c>
      <c r="K155" s="288">
        <v>0.35</v>
      </c>
      <c r="L155" s="285" t="s">
        <v>1056</v>
      </c>
      <c r="M155" s="340"/>
      <c r="N155" s="289" t="s">
        <v>1056</v>
      </c>
      <c r="O155" s="289" t="s">
        <v>1056</v>
      </c>
      <c r="P155" s="366" t="s">
        <v>1056</v>
      </c>
      <c r="Q155" s="289">
        <v>1200000</v>
      </c>
      <c r="R155" s="345"/>
      <c r="S155" s="289">
        <v>3000000</v>
      </c>
      <c r="T155" s="345"/>
      <c r="U155" s="289" t="s">
        <v>1056</v>
      </c>
      <c r="V155" s="372"/>
      <c r="W155" s="289" t="s">
        <v>1056</v>
      </c>
      <c r="X155" s="372"/>
      <c r="Y155" s="285">
        <f t="shared" si="73"/>
        <v>4200000</v>
      </c>
      <c r="Z155" s="289">
        <v>55000</v>
      </c>
      <c r="AA155" s="289">
        <v>130000</v>
      </c>
      <c r="AB155" s="289" t="s">
        <v>1056</v>
      </c>
      <c r="AC155" s="289" t="s">
        <v>1056</v>
      </c>
      <c r="AD155" s="345"/>
      <c r="AE155" s="285">
        <f t="shared" si="74"/>
        <v>185000</v>
      </c>
      <c r="AF155" s="287">
        <v>0</v>
      </c>
    </row>
    <row r="156" spans="1:32" hidden="1">
      <c r="A156" s="300" t="s">
        <v>1065</v>
      </c>
      <c r="B156" s="301" t="s">
        <v>1074</v>
      </c>
      <c r="C156" s="1" t="s">
        <v>754</v>
      </c>
      <c r="D156" s="1" t="s">
        <v>1072</v>
      </c>
      <c r="E156" s="1" t="s">
        <v>1068</v>
      </c>
      <c r="F156" s="302" t="s">
        <v>1056</v>
      </c>
      <c r="G156" s="1" t="s">
        <v>51</v>
      </c>
      <c r="H156" s="285" t="s">
        <v>1069</v>
      </c>
      <c r="I156" s="285">
        <f>I155</f>
        <v>5</v>
      </c>
      <c r="J156" s="280">
        <f t="shared" si="75"/>
        <v>0.16112889000000002</v>
      </c>
      <c r="K156" s="288">
        <v>0.99</v>
      </c>
      <c r="L156" s="285" t="s">
        <v>1056</v>
      </c>
      <c r="M156" s="340"/>
      <c r="N156" s="289" t="s">
        <v>1056</v>
      </c>
      <c r="O156" s="289" t="s">
        <v>1056</v>
      </c>
      <c r="P156" s="366" t="s">
        <v>1056</v>
      </c>
      <c r="Q156" s="289">
        <v>1200000</v>
      </c>
      <c r="R156" s="345"/>
      <c r="S156" s="289">
        <v>3000000</v>
      </c>
      <c r="T156" s="345"/>
      <c r="U156" s="289">
        <v>230000</v>
      </c>
      <c r="V156" s="372"/>
      <c r="W156" s="289" t="s">
        <v>1056</v>
      </c>
      <c r="X156" s="372"/>
      <c r="Y156" s="285">
        <f t="shared" si="73"/>
        <v>4430000</v>
      </c>
      <c r="Z156" s="289">
        <v>55000</v>
      </c>
      <c r="AA156" s="289">
        <v>130000</v>
      </c>
      <c r="AB156" s="289">
        <v>46000</v>
      </c>
      <c r="AC156" s="289" t="s">
        <v>1056</v>
      </c>
      <c r="AD156" s="345"/>
      <c r="AE156" s="285">
        <f t="shared" si="74"/>
        <v>231000</v>
      </c>
      <c r="AF156" s="287">
        <v>0</v>
      </c>
    </row>
    <row r="157" spans="1:32" hidden="1">
      <c r="A157" s="300" t="s">
        <v>1065</v>
      </c>
      <c r="B157" s="301" t="s">
        <v>1074</v>
      </c>
      <c r="C157" s="1" t="s">
        <v>754</v>
      </c>
      <c r="D157" s="1" t="s">
        <v>1072</v>
      </c>
      <c r="E157" s="1" t="s">
        <v>1068</v>
      </c>
      <c r="F157" s="302" t="s">
        <v>1056</v>
      </c>
      <c r="G157" s="1" t="s">
        <v>1062</v>
      </c>
      <c r="H157" s="285" t="s">
        <v>1069</v>
      </c>
      <c r="I157" s="285">
        <f>I156</f>
        <v>5</v>
      </c>
      <c r="J157" s="280">
        <f t="shared" si="75"/>
        <v>0.16112889000000002</v>
      </c>
      <c r="K157" s="288">
        <v>0.99</v>
      </c>
      <c r="L157" s="285" t="s">
        <v>1056</v>
      </c>
      <c r="M157" s="340"/>
      <c r="N157" s="289" t="s">
        <v>1056</v>
      </c>
      <c r="O157" s="289" t="s">
        <v>1056</v>
      </c>
      <c r="P157" s="366" t="s">
        <v>1056</v>
      </c>
      <c r="Q157" s="289">
        <v>1200000</v>
      </c>
      <c r="R157" s="345"/>
      <c r="S157" s="289">
        <v>3000000</v>
      </c>
      <c r="T157" s="345"/>
      <c r="U157" s="289">
        <v>450000</v>
      </c>
      <c r="V157" s="372"/>
      <c r="W157" s="289" t="s">
        <v>1056</v>
      </c>
      <c r="X157" s="372"/>
      <c r="Y157" s="285">
        <f t="shared" si="73"/>
        <v>4650000</v>
      </c>
      <c r="Z157" s="289">
        <v>55000</v>
      </c>
      <c r="AA157" s="289">
        <v>130000</v>
      </c>
      <c r="AB157" s="289">
        <v>46000</v>
      </c>
      <c r="AC157" s="286" t="s">
        <v>1069</v>
      </c>
      <c r="AD157" s="345"/>
      <c r="AE157" s="285">
        <f t="shared" si="74"/>
        <v>231000</v>
      </c>
      <c r="AF157" s="287">
        <v>0</v>
      </c>
    </row>
    <row r="158" spans="1:32" hidden="1">
      <c r="A158" s="300" t="s">
        <v>1065</v>
      </c>
      <c r="B158" s="301" t="s">
        <v>1074</v>
      </c>
      <c r="C158" s="1" t="s">
        <v>754</v>
      </c>
      <c r="D158" s="1" t="s">
        <v>1072</v>
      </c>
      <c r="E158" s="1" t="s">
        <v>1068</v>
      </c>
      <c r="F158" s="302" t="s">
        <v>1056</v>
      </c>
      <c r="G158" s="1" t="s">
        <v>1063</v>
      </c>
      <c r="H158" s="285" t="s">
        <v>1069</v>
      </c>
      <c r="I158" s="285">
        <f>I157</f>
        <v>5</v>
      </c>
      <c r="J158" s="280">
        <f t="shared" si="75"/>
        <v>0.16112889000000002</v>
      </c>
      <c r="K158" s="288">
        <v>0</v>
      </c>
      <c r="L158" s="285" t="s">
        <v>1056</v>
      </c>
      <c r="M158" s="340"/>
      <c r="N158" s="289" t="s">
        <v>1056</v>
      </c>
      <c r="O158" s="289" t="s">
        <v>1056</v>
      </c>
      <c r="P158" s="366" t="s">
        <v>1056</v>
      </c>
      <c r="Q158" s="289">
        <v>1200000</v>
      </c>
      <c r="R158" s="345"/>
      <c r="S158" s="289">
        <v>3000000</v>
      </c>
      <c r="T158" s="345"/>
      <c r="U158" s="289" t="s">
        <v>1056</v>
      </c>
      <c r="V158" s="372"/>
      <c r="W158" s="289">
        <f>W159</f>
        <v>54000000</v>
      </c>
      <c r="X158" s="372"/>
      <c r="Y158" s="285">
        <f t="shared" si="73"/>
        <v>58200000</v>
      </c>
      <c r="Z158" s="289">
        <v>55000</v>
      </c>
      <c r="AA158" s="289">
        <v>130000</v>
      </c>
      <c r="AB158" s="289" t="s">
        <v>1056</v>
      </c>
      <c r="AC158" s="289" t="s">
        <v>1056</v>
      </c>
      <c r="AD158" s="345"/>
      <c r="AE158" s="285">
        <f t="shared" si="74"/>
        <v>185000</v>
      </c>
      <c r="AF158" s="287">
        <v>0</v>
      </c>
    </row>
    <row r="159" spans="1:32" hidden="1">
      <c r="A159" s="300" t="s">
        <v>1065</v>
      </c>
      <c r="B159" s="301" t="s">
        <v>1074</v>
      </c>
      <c r="C159" s="1" t="s">
        <v>754</v>
      </c>
      <c r="D159" s="1" t="s">
        <v>1072</v>
      </c>
      <c r="E159" s="1" t="s">
        <v>1068</v>
      </c>
      <c r="F159" s="302" t="s">
        <v>1056</v>
      </c>
      <c r="G159" s="1" t="s">
        <v>1064</v>
      </c>
      <c r="H159" s="285" t="s">
        <v>1069</v>
      </c>
      <c r="I159" s="285">
        <f>I158</f>
        <v>5</v>
      </c>
      <c r="J159" s="280">
        <f t="shared" si="75"/>
        <v>0.16112889000000002</v>
      </c>
      <c r="K159" s="288">
        <v>0</v>
      </c>
      <c r="L159" s="285" t="s">
        <v>1056</v>
      </c>
      <c r="M159" s="340"/>
      <c r="N159" s="289" t="s">
        <v>1056</v>
      </c>
      <c r="O159" s="289" t="s">
        <v>1056</v>
      </c>
      <c r="P159" s="366" t="s">
        <v>1056</v>
      </c>
      <c r="Q159" s="289">
        <v>1200000</v>
      </c>
      <c r="R159" s="345"/>
      <c r="S159" s="289">
        <v>3000000</v>
      </c>
      <c r="T159" s="345"/>
      <c r="U159" s="289" t="s">
        <v>1056</v>
      </c>
      <c r="V159" s="372"/>
      <c r="W159" s="289">
        <v>54000000</v>
      </c>
      <c r="X159" s="372"/>
      <c r="Y159" s="285">
        <f t="shared" si="73"/>
        <v>58200000</v>
      </c>
      <c r="Z159" s="289">
        <v>55000</v>
      </c>
      <c r="AA159" s="289">
        <v>130000</v>
      </c>
      <c r="AB159" s="289" t="s">
        <v>1056</v>
      </c>
      <c r="AC159" s="289" t="s">
        <v>1056</v>
      </c>
      <c r="AD159" s="345"/>
      <c r="AE159" s="285">
        <f t="shared" si="74"/>
        <v>185000</v>
      </c>
      <c r="AF159" s="287">
        <v>0</v>
      </c>
    </row>
    <row r="160" spans="1:32" hidden="1">
      <c r="A160" s="300" t="s">
        <v>1065</v>
      </c>
      <c r="B160" s="301" t="s">
        <v>1074</v>
      </c>
      <c r="C160" s="1" t="s">
        <v>758</v>
      </c>
      <c r="D160" s="1" t="s">
        <v>1072</v>
      </c>
      <c r="E160" s="1" t="s">
        <v>1070</v>
      </c>
      <c r="F160" s="302" t="s">
        <v>1056</v>
      </c>
      <c r="G160" s="1" t="s">
        <v>1061</v>
      </c>
      <c r="H160" s="285" t="s">
        <v>1069</v>
      </c>
      <c r="I160" s="285">
        <v>7</v>
      </c>
      <c r="J160" s="280">
        <f t="shared" si="75"/>
        <v>0.22558044600000002</v>
      </c>
      <c r="K160" s="288">
        <v>0.35</v>
      </c>
      <c r="L160" s="285" t="s">
        <v>1056</v>
      </c>
      <c r="M160" s="340"/>
      <c r="N160" s="289" t="s">
        <v>1056</v>
      </c>
      <c r="O160" s="289" t="s">
        <v>1056</v>
      </c>
      <c r="P160" s="366" t="s">
        <v>1056</v>
      </c>
      <c r="Q160" s="289">
        <v>3300000</v>
      </c>
      <c r="R160" s="345"/>
      <c r="S160" s="289">
        <v>5200000</v>
      </c>
      <c r="T160" s="345"/>
      <c r="U160" s="289" t="s">
        <v>1056</v>
      </c>
      <c r="V160" s="372"/>
      <c r="W160" s="289" t="s">
        <v>1056</v>
      </c>
      <c r="X160" s="372"/>
      <c r="Y160" s="285">
        <f t="shared" si="73"/>
        <v>8500000</v>
      </c>
      <c r="Z160" s="289">
        <v>160000</v>
      </c>
      <c r="AA160" s="289">
        <v>530000</v>
      </c>
      <c r="AB160" s="289" t="s">
        <v>1056</v>
      </c>
      <c r="AC160" s="289" t="s">
        <v>1056</v>
      </c>
      <c r="AD160" s="345"/>
      <c r="AE160" s="285">
        <f t="shared" si="74"/>
        <v>690000</v>
      </c>
      <c r="AF160" s="287">
        <v>0</v>
      </c>
    </row>
    <row r="161" spans="1:32" hidden="1">
      <c r="A161" s="300" t="s">
        <v>1065</v>
      </c>
      <c r="B161" s="301" t="s">
        <v>1074</v>
      </c>
      <c r="C161" s="1" t="s">
        <v>758</v>
      </c>
      <c r="D161" s="1" t="s">
        <v>1072</v>
      </c>
      <c r="E161" s="1" t="s">
        <v>1070</v>
      </c>
      <c r="F161" s="302" t="s">
        <v>1056</v>
      </c>
      <c r="G161" s="1" t="s">
        <v>51</v>
      </c>
      <c r="H161" s="285" t="s">
        <v>1069</v>
      </c>
      <c r="I161" s="285">
        <f>I160</f>
        <v>7</v>
      </c>
      <c r="J161" s="280">
        <f t="shared" si="75"/>
        <v>0.22558044600000002</v>
      </c>
      <c r="K161" s="288">
        <v>0.99</v>
      </c>
      <c r="L161" s="285" t="s">
        <v>1056</v>
      </c>
      <c r="M161" s="340"/>
      <c r="N161" s="289" t="s">
        <v>1056</v>
      </c>
      <c r="O161" s="289" t="s">
        <v>1056</v>
      </c>
      <c r="P161" s="366" t="s">
        <v>1056</v>
      </c>
      <c r="Q161" s="289">
        <v>3300000</v>
      </c>
      <c r="R161" s="345"/>
      <c r="S161" s="289">
        <v>5200000</v>
      </c>
      <c r="T161" s="345"/>
      <c r="U161" s="289">
        <v>230000</v>
      </c>
      <c r="V161" s="372"/>
      <c r="W161" s="289" t="s">
        <v>1056</v>
      </c>
      <c r="X161" s="372"/>
      <c r="Y161" s="285">
        <f t="shared" si="73"/>
        <v>8730000</v>
      </c>
      <c r="Z161" s="289">
        <v>160000</v>
      </c>
      <c r="AA161" s="289">
        <v>530000</v>
      </c>
      <c r="AB161" s="289">
        <v>190000</v>
      </c>
      <c r="AC161" s="289" t="s">
        <v>1056</v>
      </c>
      <c r="AD161" s="345"/>
      <c r="AE161" s="285">
        <f t="shared" si="74"/>
        <v>880000</v>
      </c>
      <c r="AF161" s="287">
        <v>0</v>
      </c>
    </row>
    <row r="162" spans="1:32" hidden="1">
      <c r="A162" s="300" t="s">
        <v>1065</v>
      </c>
      <c r="B162" s="301" t="s">
        <v>1074</v>
      </c>
      <c r="C162" s="1" t="s">
        <v>758</v>
      </c>
      <c r="D162" s="1" t="s">
        <v>1072</v>
      </c>
      <c r="E162" s="1" t="s">
        <v>1070</v>
      </c>
      <c r="F162" s="302" t="s">
        <v>1056</v>
      </c>
      <c r="G162" s="1" t="s">
        <v>1062</v>
      </c>
      <c r="H162" s="285" t="s">
        <v>1069</v>
      </c>
      <c r="I162" s="285">
        <f>I161</f>
        <v>7</v>
      </c>
      <c r="J162" s="280">
        <f t="shared" si="75"/>
        <v>0.22558044600000002</v>
      </c>
      <c r="K162" s="288">
        <v>0.99</v>
      </c>
      <c r="L162" s="285" t="s">
        <v>1056</v>
      </c>
      <c r="M162" s="340"/>
      <c r="N162" s="289" t="s">
        <v>1056</v>
      </c>
      <c r="O162" s="289" t="s">
        <v>1056</v>
      </c>
      <c r="P162" s="366" t="s">
        <v>1056</v>
      </c>
      <c r="Q162" s="289">
        <v>3300000</v>
      </c>
      <c r="R162" s="345"/>
      <c r="S162" s="289">
        <v>5200000</v>
      </c>
      <c r="T162" s="345"/>
      <c r="U162" s="289">
        <v>450000</v>
      </c>
      <c r="V162" s="372"/>
      <c r="W162" s="289" t="s">
        <v>1056</v>
      </c>
      <c r="X162" s="372"/>
      <c r="Y162" s="285">
        <f t="shared" si="73"/>
        <v>8950000</v>
      </c>
      <c r="Z162" s="289">
        <v>160000</v>
      </c>
      <c r="AA162" s="289">
        <v>530000</v>
      </c>
      <c r="AB162" s="289">
        <v>190000</v>
      </c>
      <c r="AC162" s="286" t="s">
        <v>1069</v>
      </c>
      <c r="AD162" s="345"/>
      <c r="AE162" s="285">
        <f t="shared" si="74"/>
        <v>880000</v>
      </c>
      <c r="AF162" s="287">
        <v>0</v>
      </c>
    </row>
    <row r="163" spans="1:32" hidden="1">
      <c r="A163" s="300" t="s">
        <v>1065</v>
      </c>
      <c r="B163" s="301" t="s">
        <v>1074</v>
      </c>
      <c r="C163" s="1" t="s">
        <v>758</v>
      </c>
      <c r="D163" s="1" t="s">
        <v>1072</v>
      </c>
      <c r="E163" s="1" t="s">
        <v>1070</v>
      </c>
      <c r="F163" s="302" t="s">
        <v>1056</v>
      </c>
      <c r="G163" s="1" t="s">
        <v>1063</v>
      </c>
      <c r="H163" s="285" t="s">
        <v>1069</v>
      </c>
      <c r="I163" s="285">
        <f>I162</f>
        <v>7</v>
      </c>
      <c r="J163" s="280">
        <f t="shared" si="75"/>
        <v>0.22558044600000002</v>
      </c>
      <c r="K163" s="288">
        <v>0</v>
      </c>
      <c r="L163" s="285" t="s">
        <v>1056</v>
      </c>
      <c r="M163" s="340"/>
      <c r="N163" s="289" t="s">
        <v>1056</v>
      </c>
      <c r="O163" s="289" t="s">
        <v>1056</v>
      </c>
      <c r="P163" s="366" t="s">
        <v>1056</v>
      </c>
      <c r="Q163" s="289">
        <v>3300000</v>
      </c>
      <c r="R163" s="345"/>
      <c r="S163" s="289">
        <v>5200000</v>
      </c>
      <c r="T163" s="345"/>
      <c r="U163" s="289" t="s">
        <v>1056</v>
      </c>
      <c r="V163" s="372"/>
      <c r="W163" s="289">
        <f>W164</f>
        <v>54000000</v>
      </c>
      <c r="X163" s="372"/>
      <c r="Y163" s="285">
        <f t="shared" si="73"/>
        <v>62500000</v>
      </c>
      <c r="Z163" s="289">
        <v>160000</v>
      </c>
      <c r="AA163" s="289">
        <v>530000</v>
      </c>
      <c r="AB163" s="289" t="s">
        <v>1056</v>
      </c>
      <c r="AC163" s="289" t="s">
        <v>1056</v>
      </c>
      <c r="AD163" s="345"/>
      <c r="AE163" s="285">
        <f t="shared" si="74"/>
        <v>690000</v>
      </c>
      <c r="AF163" s="287">
        <v>0</v>
      </c>
    </row>
    <row r="164" spans="1:32" hidden="1">
      <c r="A164" s="300" t="s">
        <v>1065</v>
      </c>
      <c r="B164" s="301" t="s">
        <v>1074</v>
      </c>
      <c r="C164" s="1" t="s">
        <v>758</v>
      </c>
      <c r="D164" s="1" t="s">
        <v>1072</v>
      </c>
      <c r="E164" s="1" t="s">
        <v>1070</v>
      </c>
      <c r="F164" s="302" t="s">
        <v>1056</v>
      </c>
      <c r="G164" s="1" t="s">
        <v>1064</v>
      </c>
      <c r="H164" s="285" t="s">
        <v>1069</v>
      </c>
      <c r="I164" s="285">
        <f>I163</f>
        <v>7</v>
      </c>
      <c r="J164" s="296">
        <f t="shared" si="75"/>
        <v>0.22558044600000002</v>
      </c>
      <c r="K164" s="288">
        <v>0</v>
      </c>
      <c r="L164" s="285" t="s">
        <v>1056</v>
      </c>
      <c r="M164" s="340"/>
      <c r="N164" s="289" t="s">
        <v>1056</v>
      </c>
      <c r="O164" s="289" t="s">
        <v>1056</v>
      </c>
      <c r="P164" s="366" t="s">
        <v>1056</v>
      </c>
      <c r="Q164" s="289">
        <v>3300000</v>
      </c>
      <c r="R164" s="345"/>
      <c r="S164" s="289">
        <v>5200000</v>
      </c>
      <c r="T164" s="345"/>
      <c r="U164" s="289" t="s">
        <v>1056</v>
      </c>
      <c r="V164" s="372"/>
      <c r="W164" s="289">
        <v>54000000</v>
      </c>
      <c r="X164" s="372"/>
      <c r="Y164" s="285">
        <f t="shared" si="73"/>
        <v>62500000</v>
      </c>
      <c r="Z164" s="289">
        <v>160000</v>
      </c>
      <c r="AA164" s="289">
        <v>530000</v>
      </c>
      <c r="AB164" s="289" t="s">
        <v>1056</v>
      </c>
      <c r="AC164" s="289" t="s">
        <v>1056</v>
      </c>
      <c r="AD164" s="345"/>
      <c r="AE164" s="285">
        <f t="shared" si="74"/>
        <v>690000</v>
      </c>
      <c r="AF164" s="287">
        <v>0</v>
      </c>
    </row>
    <row r="165" spans="1:32" hidden="1">
      <c r="A165" s="303" t="s">
        <v>1075</v>
      </c>
      <c r="B165" s="304" t="s">
        <v>1056</v>
      </c>
      <c r="C165" s="277" t="s">
        <v>1076</v>
      </c>
      <c r="D165" s="277" t="s">
        <v>1056</v>
      </c>
      <c r="E165" s="277" t="s">
        <v>1077</v>
      </c>
      <c r="F165" s="278" t="s">
        <v>1056</v>
      </c>
      <c r="G165" s="277" t="s">
        <v>1056</v>
      </c>
      <c r="H165" s="279">
        <f>10-H173</f>
        <v>3</v>
      </c>
      <c r="I165" s="279">
        <v>0</v>
      </c>
      <c r="J165" s="280">
        <f t="shared" si="75"/>
        <v>0</v>
      </c>
      <c r="K165" s="305" t="s">
        <v>1056</v>
      </c>
      <c r="L165" s="279" t="s">
        <v>1056</v>
      </c>
      <c r="M165" s="339"/>
      <c r="N165" s="306" t="s">
        <v>1056</v>
      </c>
      <c r="O165" s="306" t="s">
        <v>1056</v>
      </c>
      <c r="P165" s="365" t="s">
        <v>1056</v>
      </c>
      <c r="Q165" s="306" t="s">
        <v>1056</v>
      </c>
      <c r="R165" s="347"/>
      <c r="S165" s="306" t="s">
        <v>1056</v>
      </c>
      <c r="T165" s="347"/>
      <c r="U165" s="306" t="s">
        <v>1056</v>
      </c>
      <c r="V165" s="375"/>
      <c r="W165" s="306" t="s">
        <v>1056</v>
      </c>
      <c r="X165" s="375"/>
      <c r="Y165" s="279" t="s">
        <v>1056</v>
      </c>
      <c r="Z165" s="306" t="s">
        <v>1056</v>
      </c>
      <c r="AA165" s="306" t="s">
        <v>1056</v>
      </c>
      <c r="AB165" s="306" t="s">
        <v>1056</v>
      </c>
      <c r="AC165" s="306" t="s">
        <v>1056</v>
      </c>
      <c r="AD165" s="347"/>
      <c r="AE165" s="279" t="s">
        <v>1056</v>
      </c>
      <c r="AF165" s="282" t="s">
        <v>1056</v>
      </c>
    </row>
    <row r="166" spans="1:32" hidden="1">
      <c r="A166" s="300" t="s">
        <v>1075</v>
      </c>
      <c r="B166" s="301" t="s">
        <v>1056</v>
      </c>
      <c r="C166" s="1" t="s">
        <v>1078</v>
      </c>
      <c r="D166" s="1" t="s">
        <v>1056</v>
      </c>
      <c r="E166" s="1" t="s">
        <v>1079</v>
      </c>
      <c r="F166" s="283" t="s">
        <v>1056</v>
      </c>
      <c r="G166" s="1" t="s">
        <v>1056</v>
      </c>
      <c r="H166" s="285">
        <f>18-H184</f>
        <v>5</v>
      </c>
      <c r="I166" s="285">
        <v>0</v>
      </c>
      <c r="J166" s="280">
        <f t="shared" si="75"/>
        <v>0</v>
      </c>
      <c r="K166" s="288" t="s">
        <v>1056</v>
      </c>
      <c r="L166" s="285" t="s">
        <v>1056</v>
      </c>
      <c r="M166" s="340"/>
      <c r="N166" s="289" t="s">
        <v>1056</v>
      </c>
      <c r="O166" s="289" t="s">
        <v>1056</v>
      </c>
      <c r="P166" s="366" t="s">
        <v>1056</v>
      </c>
      <c r="Q166" s="289" t="s">
        <v>1056</v>
      </c>
      <c r="R166" s="345"/>
      <c r="S166" s="289" t="s">
        <v>1056</v>
      </c>
      <c r="T166" s="345"/>
      <c r="U166" s="289" t="s">
        <v>1056</v>
      </c>
      <c r="V166" s="372"/>
      <c r="W166" s="289" t="s">
        <v>1056</v>
      </c>
      <c r="X166" s="372"/>
      <c r="Y166" s="285" t="s">
        <v>1056</v>
      </c>
      <c r="Z166" s="289" t="s">
        <v>1056</v>
      </c>
      <c r="AA166" s="289" t="s">
        <v>1056</v>
      </c>
      <c r="AB166" s="289" t="s">
        <v>1056</v>
      </c>
      <c r="AC166" s="289" t="s">
        <v>1056</v>
      </c>
      <c r="AD166" s="345"/>
      <c r="AE166" s="285" t="s">
        <v>1056</v>
      </c>
      <c r="AF166" s="287" t="s">
        <v>1056</v>
      </c>
    </row>
    <row r="167" spans="1:32" hidden="1">
      <c r="A167" s="300" t="s">
        <v>1075</v>
      </c>
      <c r="B167" s="301" t="s">
        <v>1056</v>
      </c>
      <c r="C167" s="1" t="s">
        <v>1080</v>
      </c>
      <c r="D167" s="1" t="s">
        <v>1056</v>
      </c>
      <c r="E167" s="1" t="s">
        <v>1081</v>
      </c>
      <c r="F167" s="283" t="s">
        <v>1056</v>
      </c>
      <c r="G167" s="1" t="s">
        <v>1056</v>
      </c>
      <c r="H167" s="285">
        <f>25-H195</f>
        <v>8</v>
      </c>
      <c r="I167" s="285">
        <v>0</v>
      </c>
      <c r="J167" s="280">
        <f t="shared" si="75"/>
        <v>0</v>
      </c>
      <c r="K167" s="288" t="s">
        <v>1056</v>
      </c>
      <c r="L167" s="285" t="s">
        <v>1056</v>
      </c>
      <c r="M167" s="340"/>
      <c r="N167" s="289" t="s">
        <v>1056</v>
      </c>
      <c r="O167" s="289" t="s">
        <v>1056</v>
      </c>
      <c r="P167" s="366" t="s">
        <v>1056</v>
      </c>
      <c r="Q167" s="289" t="s">
        <v>1056</v>
      </c>
      <c r="R167" s="345"/>
      <c r="S167" s="289" t="s">
        <v>1056</v>
      </c>
      <c r="T167" s="345"/>
      <c r="U167" s="289" t="s">
        <v>1056</v>
      </c>
      <c r="V167" s="372"/>
      <c r="W167" s="289" t="s">
        <v>1056</v>
      </c>
      <c r="X167" s="372"/>
      <c r="Y167" s="285" t="s">
        <v>1056</v>
      </c>
      <c r="Z167" s="289" t="s">
        <v>1056</v>
      </c>
      <c r="AA167" s="289" t="s">
        <v>1056</v>
      </c>
      <c r="AB167" s="289" t="s">
        <v>1056</v>
      </c>
      <c r="AC167" s="289" t="s">
        <v>1056</v>
      </c>
      <c r="AD167" s="345"/>
      <c r="AE167" s="285" t="s">
        <v>1056</v>
      </c>
      <c r="AF167" s="287" t="s">
        <v>1056</v>
      </c>
    </row>
    <row r="168" spans="1:32" hidden="1">
      <c r="A168" s="300" t="s">
        <v>1075</v>
      </c>
      <c r="B168" s="301" t="s">
        <v>1056</v>
      </c>
      <c r="C168" s="1" t="s">
        <v>1082</v>
      </c>
      <c r="D168" s="1" t="s">
        <v>1056</v>
      </c>
      <c r="E168" s="1" t="s">
        <v>1083</v>
      </c>
      <c r="F168" s="283" t="s">
        <v>1056</v>
      </c>
      <c r="G168" s="1" t="s">
        <v>1056</v>
      </c>
      <c r="H168" s="285">
        <f>24-H206</f>
        <v>7</v>
      </c>
      <c r="I168" s="285">
        <v>0</v>
      </c>
      <c r="J168" s="280">
        <f t="shared" si="75"/>
        <v>0</v>
      </c>
      <c r="K168" s="288" t="s">
        <v>1056</v>
      </c>
      <c r="L168" s="285" t="s">
        <v>1056</v>
      </c>
      <c r="M168" s="340"/>
      <c r="N168" s="289" t="s">
        <v>1056</v>
      </c>
      <c r="O168" s="289" t="s">
        <v>1056</v>
      </c>
      <c r="P168" s="366" t="s">
        <v>1056</v>
      </c>
      <c r="Q168" s="289" t="s">
        <v>1056</v>
      </c>
      <c r="R168" s="345"/>
      <c r="S168" s="289" t="s">
        <v>1056</v>
      </c>
      <c r="T168" s="345"/>
      <c r="U168" s="289" t="s">
        <v>1056</v>
      </c>
      <c r="V168" s="372"/>
      <c r="W168" s="289" t="s">
        <v>1056</v>
      </c>
      <c r="X168" s="372"/>
      <c r="Y168" s="285" t="s">
        <v>1056</v>
      </c>
      <c r="Z168" s="289" t="s">
        <v>1056</v>
      </c>
      <c r="AA168" s="289" t="s">
        <v>1056</v>
      </c>
      <c r="AB168" s="289" t="s">
        <v>1056</v>
      </c>
      <c r="AC168" s="289" t="s">
        <v>1056</v>
      </c>
      <c r="AD168" s="345"/>
      <c r="AE168" s="285" t="s">
        <v>1056</v>
      </c>
      <c r="AF168" s="287" t="s">
        <v>1056</v>
      </c>
    </row>
    <row r="169" spans="1:32" hidden="1">
      <c r="A169" s="300" t="s">
        <v>1075</v>
      </c>
      <c r="B169" s="301" t="s">
        <v>1056</v>
      </c>
      <c r="C169" s="1" t="s">
        <v>1084</v>
      </c>
      <c r="D169" s="1" t="s">
        <v>1056</v>
      </c>
      <c r="E169" s="1" t="s">
        <v>1085</v>
      </c>
      <c r="F169" s="283" t="s">
        <v>1056</v>
      </c>
      <c r="G169" s="1" t="s">
        <v>1056</v>
      </c>
      <c r="H169" s="285">
        <f>137-H217</f>
        <v>55</v>
      </c>
      <c r="I169" s="285">
        <v>0</v>
      </c>
      <c r="J169" s="280">
        <f t="shared" si="75"/>
        <v>0</v>
      </c>
      <c r="K169" s="288" t="s">
        <v>1056</v>
      </c>
      <c r="L169" s="285" t="s">
        <v>1056</v>
      </c>
      <c r="M169" s="340"/>
      <c r="N169" s="289" t="s">
        <v>1056</v>
      </c>
      <c r="O169" s="289" t="s">
        <v>1056</v>
      </c>
      <c r="P169" s="366" t="s">
        <v>1056</v>
      </c>
      <c r="Q169" s="289" t="s">
        <v>1056</v>
      </c>
      <c r="R169" s="345"/>
      <c r="S169" s="289" t="s">
        <v>1056</v>
      </c>
      <c r="T169" s="345"/>
      <c r="U169" s="289" t="s">
        <v>1056</v>
      </c>
      <c r="V169" s="372"/>
      <c r="W169" s="289" t="s">
        <v>1056</v>
      </c>
      <c r="X169" s="372"/>
      <c r="Y169" s="285" t="s">
        <v>1056</v>
      </c>
      <c r="Z169" s="289" t="s">
        <v>1056</v>
      </c>
      <c r="AA169" s="289" t="s">
        <v>1056</v>
      </c>
      <c r="AB169" s="289" t="s">
        <v>1056</v>
      </c>
      <c r="AC169" s="289" t="s">
        <v>1056</v>
      </c>
      <c r="AD169" s="345"/>
      <c r="AE169" s="285" t="s">
        <v>1056</v>
      </c>
      <c r="AF169" s="287" t="s">
        <v>1056</v>
      </c>
    </row>
    <row r="170" spans="1:32" hidden="1">
      <c r="A170" s="300" t="s">
        <v>1075</v>
      </c>
      <c r="B170" s="301" t="s">
        <v>1056</v>
      </c>
      <c r="C170" s="301" t="s">
        <v>1086</v>
      </c>
      <c r="D170" s="301" t="s">
        <v>1056</v>
      </c>
      <c r="E170" s="301" t="s">
        <v>1087</v>
      </c>
      <c r="F170" s="283" t="s">
        <v>1056</v>
      </c>
      <c r="G170" s="1" t="s">
        <v>1056</v>
      </c>
      <c r="H170" s="285">
        <f>244-H228</f>
        <v>104</v>
      </c>
      <c r="I170" s="285">
        <v>0</v>
      </c>
      <c r="J170" s="280">
        <f t="shared" si="75"/>
        <v>0</v>
      </c>
      <c r="K170" s="288" t="s">
        <v>1056</v>
      </c>
      <c r="L170" s="285" t="s">
        <v>1056</v>
      </c>
      <c r="M170" s="340"/>
      <c r="N170" s="289" t="s">
        <v>1056</v>
      </c>
      <c r="O170" s="289" t="s">
        <v>1056</v>
      </c>
      <c r="P170" s="366" t="s">
        <v>1056</v>
      </c>
      <c r="Q170" s="289" t="s">
        <v>1056</v>
      </c>
      <c r="R170" s="345"/>
      <c r="S170" s="289" t="s">
        <v>1056</v>
      </c>
      <c r="T170" s="345"/>
      <c r="U170" s="289" t="s">
        <v>1056</v>
      </c>
      <c r="V170" s="372"/>
      <c r="W170" s="289" t="s">
        <v>1056</v>
      </c>
      <c r="X170" s="372"/>
      <c r="Y170" s="285" t="s">
        <v>1056</v>
      </c>
      <c r="Z170" s="289" t="s">
        <v>1056</v>
      </c>
      <c r="AA170" s="289" t="s">
        <v>1056</v>
      </c>
      <c r="AB170" s="289" t="s">
        <v>1056</v>
      </c>
      <c r="AC170" s="289" t="s">
        <v>1056</v>
      </c>
      <c r="AD170" s="345"/>
      <c r="AE170" s="285" t="s">
        <v>1056</v>
      </c>
      <c r="AF170" s="287" t="s">
        <v>1056</v>
      </c>
    </row>
    <row r="171" spans="1:32" hidden="1">
      <c r="A171" s="300" t="s">
        <v>1075</v>
      </c>
      <c r="B171" s="301" t="s">
        <v>1056</v>
      </c>
      <c r="C171" s="301" t="s">
        <v>1088</v>
      </c>
      <c r="D171" s="301" t="s">
        <v>1056</v>
      </c>
      <c r="E171" s="301" t="s">
        <v>1089</v>
      </c>
      <c r="F171" s="283" t="s">
        <v>1056</v>
      </c>
      <c r="G171" s="1" t="s">
        <v>1056</v>
      </c>
      <c r="H171" s="285">
        <f>451-H239</f>
        <v>221</v>
      </c>
      <c r="I171" s="285">
        <v>0</v>
      </c>
      <c r="J171" s="280">
        <f t="shared" si="75"/>
        <v>0</v>
      </c>
      <c r="K171" s="288" t="s">
        <v>1056</v>
      </c>
      <c r="L171" s="285" t="s">
        <v>1056</v>
      </c>
      <c r="M171" s="340"/>
      <c r="N171" s="289" t="s">
        <v>1056</v>
      </c>
      <c r="O171" s="289" t="s">
        <v>1056</v>
      </c>
      <c r="P171" s="366" t="s">
        <v>1056</v>
      </c>
      <c r="Q171" s="289" t="s">
        <v>1056</v>
      </c>
      <c r="R171" s="345"/>
      <c r="S171" s="289" t="s">
        <v>1056</v>
      </c>
      <c r="T171" s="345"/>
      <c r="U171" s="289" t="s">
        <v>1056</v>
      </c>
      <c r="V171" s="372"/>
      <c r="W171" s="289" t="s">
        <v>1056</v>
      </c>
      <c r="X171" s="372"/>
      <c r="Y171" s="285" t="s">
        <v>1056</v>
      </c>
      <c r="Z171" s="289" t="s">
        <v>1056</v>
      </c>
      <c r="AA171" s="289" t="s">
        <v>1056</v>
      </c>
      <c r="AB171" s="289" t="s">
        <v>1056</v>
      </c>
      <c r="AC171" s="289" t="s">
        <v>1056</v>
      </c>
      <c r="AD171" s="345"/>
      <c r="AE171" s="285" t="s">
        <v>1056</v>
      </c>
      <c r="AF171" s="287" t="s">
        <v>1056</v>
      </c>
    </row>
    <row r="172" spans="1:32" hidden="1">
      <c r="A172" s="300" t="s">
        <v>1075</v>
      </c>
      <c r="B172" s="301" t="s">
        <v>1056</v>
      </c>
      <c r="C172" s="301" t="s">
        <v>1090</v>
      </c>
      <c r="D172" s="301" t="s">
        <v>1056</v>
      </c>
      <c r="E172" s="301" t="s">
        <v>1091</v>
      </c>
      <c r="F172" s="283" t="s">
        <v>1056</v>
      </c>
      <c r="G172" s="1" t="s">
        <v>1056</v>
      </c>
      <c r="H172" s="285">
        <f>2262-H250</f>
        <v>1417</v>
      </c>
      <c r="I172" s="285">
        <v>0</v>
      </c>
      <c r="J172" s="280">
        <f t="shared" si="75"/>
        <v>0</v>
      </c>
      <c r="K172" s="288" t="s">
        <v>1056</v>
      </c>
      <c r="L172" s="285" t="s">
        <v>1056</v>
      </c>
      <c r="M172" s="340"/>
      <c r="N172" s="289" t="s">
        <v>1056</v>
      </c>
      <c r="O172" s="289" t="s">
        <v>1056</v>
      </c>
      <c r="P172" s="366" t="s">
        <v>1056</v>
      </c>
      <c r="Q172" s="289" t="s">
        <v>1056</v>
      </c>
      <c r="R172" s="345"/>
      <c r="S172" s="289" t="s">
        <v>1056</v>
      </c>
      <c r="T172" s="345"/>
      <c r="U172" s="289" t="s">
        <v>1056</v>
      </c>
      <c r="V172" s="372"/>
      <c r="W172" s="289" t="s">
        <v>1056</v>
      </c>
      <c r="X172" s="372"/>
      <c r="Y172" s="285" t="s">
        <v>1056</v>
      </c>
      <c r="Z172" s="289" t="s">
        <v>1056</v>
      </c>
      <c r="AA172" s="289" t="s">
        <v>1056</v>
      </c>
      <c r="AB172" s="289" t="s">
        <v>1056</v>
      </c>
      <c r="AC172" s="289" t="s">
        <v>1056</v>
      </c>
      <c r="AD172" s="345"/>
      <c r="AE172" s="285" t="s">
        <v>1056</v>
      </c>
      <c r="AF172" s="287" t="s">
        <v>1056</v>
      </c>
    </row>
    <row r="173" spans="1:32" hidden="1">
      <c r="A173" s="300" t="s">
        <v>1075</v>
      </c>
      <c r="B173" s="301" t="s">
        <v>1073</v>
      </c>
      <c r="C173" s="1" t="s">
        <v>1076</v>
      </c>
      <c r="D173" s="1" t="s">
        <v>1056</v>
      </c>
      <c r="E173" s="1" t="s">
        <v>1077</v>
      </c>
      <c r="F173" s="307" t="s">
        <v>3</v>
      </c>
      <c r="G173" s="1" t="s">
        <v>1092</v>
      </c>
      <c r="H173" s="285">
        <v>7</v>
      </c>
      <c r="I173" s="285">
        <f t="shared" ref="I173:I183" si="76">$F$274</f>
        <v>42974069.524991997</v>
      </c>
      <c r="J173" s="280">
        <f t="shared" si="75"/>
        <v>1384872.8242689576</v>
      </c>
      <c r="K173" s="288">
        <v>0</v>
      </c>
      <c r="L173" s="285" t="s">
        <v>1056</v>
      </c>
      <c r="M173" s="340"/>
      <c r="N173" s="289" t="s">
        <v>1056</v>
      </c>
      <c r="O173" s="289">
        <v>0</v>
      </c>
      <c r="P173" s="366">
        <f>SUM(N173:O173)</f>
        <v>0</v>
      </c>
      <c r="Q173" s="289" t="s">
        <v>1056</v>
      </c>
      <c r="R173" s="345"/>
      <c r="S173" s="286" t="s">
        <v>1056</v>
      </c>
      <c r="T173" s="344"/>
      <c r="U173" s="286" t="s">
        <v>1056</v>
      </c>
      <c r="V173" s="371"/>
      <c r="W173" s="286" t="s">
        <v>1056</v>
      </c>
      <c r="X173" s="371"/>
      <c r="Y173" s="285" t="s">
        <v>1056</v>
      </c>
      <c r="Z173" s="289" t="s">
        <v>1056</v>
      </c>
      <c r="AA173" s="286" t="s">
        <v>1056</v>
      </c>
      <c r="AB173" s="289" t="s">
        <v>1056</v>
      </c>
      <c r="AC173" s="286" t="s">
        <v>1056</v>
      </c>
      <c r="AD173" s="344"/>
      <c r="AE173" s="285" t="s">
        <v>1056</v>
      </c>
      <c r="AF173" s="287" t="s">
        <v>1056</v>
      </c>
    </row>
    <row r="174" spans="1:32" hidden="1">
      <c r="A174" s="300" t="s">
        <v>1075</v>
      </c>
      <c r="B174" s="301" t="s">
        <v>1073</v>
      </c>
      <c r="C174" s="1" t="s">
        <v>1076</v>
      </c>
      <c r="D174" s="1" t="s">
        <v>1056</v>
      </c>
      <c r="E174" s="1" t="s">
        <v>1077</v>
      </c>
      <c r="F174" s="283" t="s">
        <v>3</v>
      </c>
      <c r="G174" s="1" t="s">
        <v>1061</v>
      </c>
      <c r="H174" s="285">
        <v>0</v>
      </c>
      <c r="I174" s="285">
        <f t="shared" si="76"/>
        <v>42974069.524991997</v>
      </c>
      <c r="J174" s="280">
        <f t="shared" si="75"/>
        <v>1384872.8242689576</v>
      </c>
      <c r="K174" s="288">
        <v>0.35</v>
      </c>
      <c r="L174" s="285" t="s">
        <v>1056</v>
      </c>
      <c r="M174" s="340"/>
      <c r="N174" s="289" t="s">
        <v>1056</v>
      </c>
      <c r="O174" s="289">
        <v>0</v>
      </c>
      <c r="P174" s="366">
        <f t="shared" ref="P174:P183" si="77">SUM(N174:O174)</f>
        <v>0</v>
      </c>
      <c r="Q174" s="289" t="s">
        <v>1056</v>
      </c>
      <c r="R174" s="345"/>
      <c r="S174" s="289">
        <v>8600000</v>
      </c>
      <c r="T174" s="345"/>
      <c r="U174" s="289" t="s">
        <v>1056</v>
      </c>
      <c r="V174" s="372"/>
      <c r="W174" s="289" t="s">
        <v>1056</v>
      </c>
      <c r="X174" s="372"/>
      <c r="Y174" s="285">
        <f t="shared" ref="Y174:Y183" si="78">SUM(Q174:W174)</f>
        <v>8600000</v>
      </c>
      <c r="Z174" s="289" t="s">
        <v>1056</v>
      </c>
      <c r="AA174" s="289">
        <v>1276000</v>
      </c>
      <c r="AB174" s="289" t="s">
        <v>1056</v>
      </c>
      <c r="AC174" s="289" t="s">
        <v>1056</v>
      </c>
      <c r="AD174" s="345"/>
      <c r="AE174" s="285">
        <f t="shared" ref="AE174:AE183" si="79">SUM(Z174:AD174)</f>
        <v>1276000</v>
      </c>
      <c r="AF174" s="287">
        <v>0</v>
      </c>
    </row>
    <row r="175" spans="1:32" hidden="1">
      <c r="A175" s="300" t="s">
        <v>1075</v>
      </c>
      <c r="B175" s="301" t="s">
        <v>1073</v>
      </c>
      <c r="C175" s="1" t="s">
        <v>1076</v>
      </c>
      <c r="D175" s="1" t="s">
        <v>1056</v>
      </c>
      <c r="E175" s="1" t="s">
        <v>1077</v>
      </c>
      <c r="F175" s="283" t="s">
        <v>3</v>
      </c>
      <c r="G175" s="1" t="s">
        <v>51</v>
      </c>
      <c r="H175" s="285">
        <v>0</v>
      </c>
      <c r="I175" s="285">
        <f t="shared" si="76"/>
        <v>42974069.524991997</v>
      </c>
      <c r="J175" s="280">
        <f t="shared" si="75"/>
        <v>1384872.8242689576</v>
      </c>
      <c r="K175" s="288">
        <v>0.99</v>
      </c>
      <c r="L175" s="285" t="s">
        <v>1056</v>
      </c>
      <c r="M175" s="340"/>
      <c r="N175" s="289" t="s">
        <v>1056</v>
      </c>
      <c r="O175" s="289">
        <v>0</v>
      </c>
      <c r="P175" s="366">
        <f t="shared" si="77"/>
        <v>0</v>
      </c>
      <c r="Q175" s="289" t="s">
        <v>1056</v>
      </c>
      <c r="R175" s="345"/>
      <c r="S175" s="289">
        <v>8600000</v>
      </c>
      <c r="T175" s="345"/>
      <c r="U175" s="289">
        <v>450000</v>
      </c>
      <c r="V175" s="372"/>
      <c r="W175" s="289" t="s">
        <v>1056</v>
      </c>
      <c r="X175" s="372"/>
      <c r="Y175" s="285">
        <f t="shared" si="78"/>
        <v>9050000</v>
      </c>
      <c r="Z175" s="289" t="s">
        <v>1056</v>
      </c>
      <c r="AA175" s="289">
        <v>1276000</v>
      </c>
      <c r="AB175" s="289">
        <v>193800</v>
      </c>
      <c r="AC175" s="289" t="s">
        <v>1056</v>
      </c>
      <c r="AD175" s="345"/>
      <c r="AE175" s="285">
        <f t="shared" si="79"/>
        <v>1469800</v>
      </c>
      <c r="AF175" s="287">
        <v>0</v>
      </c>
    </row>
    <row r="176" spans="1:32" hidden="1">
      <c r="A176" s="300" t="s">
        <v>1075</v>
      </c>
      <c r="B176" s="301" t="s">
        <v>1073</v>
      </c>
      <c r="C176" s="1" t="s">
        <v>1076</v>
      </c>
      <c r="D176" s="1" t="s">
        <v>1056</v>
      </c>
      <c r="E176" s="1" t="s">
        <v>1077</v>
      </c>
      <c r="F176" s="283" t="s">
        <v>3</v>
      </c>
      <c r="G176" s="1" t="s">
        <v>1062</v>
      </c>
      <c r="H176" s="285">
        <v>0</v>
      </c>
      <c r="I176" s="285">
        <f t="shared" si="76"/>
        <v>42974069.524991997</v>
      </c>
      <c r="J176" s="280">
        <f t="shared" si="75"/>
        <v>1384872.8242689576</v>
      </c>
      <c r="K176" s="288">
        <v>0.99</v>
      </c>
      <c r="L176" s="285" t="s">
        <v>1056</v>
      </c>
      <c r="M176" s="340"/>
      <c r="N176" s="289" t="s">
        <v>1056</v>
      </c>
      <c r="O176" s="289">
        <v>0</v>
      </c>
      <c r="P176" s="366">
        <f t="shared" si="77"/>
        <v>0</v>
      </c>
      <c r="Q176" s="289" t="s">
        <v>1056</v>
      </c>
      <c r="R176" s="345"/>
      <c r="S176" s="289">
        <v>8600000</v>
      </c>
      <c r="T176" s="345"/>
      <c r="U176" s="289">
        <v>450000</v>
      </c>
      <c r="V176" s="372"/>
      <c r="W176" s="289" t="s">
        <v>1056</v>
      </c>
      <c r="X176" s="372"/>
      <c r="Y176" s="285">
        <f t="shared" si="78"/>
        <v>9050000</v>
      </c>
      <c r="Z176" s="289" t="s">
        <v>1056</v>
      </c>
      <c r="AA176" s="289">
        <v>1276000</v>
      </c>
      <c r="AB176" s="289">
        <v>193800</v>
      </c>
      <c r="AC176" s="289">
        <f>I176*$C$284*$E$289</f>
        <v>1661847.3891227492</v>
      </c>
      <c r="AD176" s="363">
        <f>J176*1.2*5</f>
        <v>8309236.9456137447</v>
      </c>
      <c r="AE176" s="285">
        <f t="shared" si="79"/>
        <v>11440884.334736494</v>
      </c>
      <c r="AF176" s="287">
        <v>0</v>
      </c>
    </row>
    <row r="177" spans="1:32" hidden="1">
      <c r="A177" s="300" t="s">
        <v>1075</v>
      </c>
      <c r="B177" s="301" t="s">
        <v>1073</v>
      </c>
      <c r="C177" s="1" t="s">
        <v>1076</v>
      </c>
      <c r="D177" s="1" t="s">
        <v>1056</v>
      </c>
      <c r="E177" s="1" t="s">
        <v>1077</v>
      </c>
      <c r="F177" s="283" t="s">
        <v>3</v>
      </c>
      <c r="G177" s="1" t="s">
        <v>1063</v>
      </c>
      <c r="H177" s="285">
        <v>0</v>
      </c>
      <c r="I177" s="285">
        <f t="shared" si="76"/>
        <v>42974069.524991997</v>
      </c>
      <c r="J177" s="280">
        <f t="shared" si="75"/>
        <v>1384872.8242689576</v>
      </c>
      <c r="K177" s="288">
        <v>0</v>
      </c>
      <c r="L177" s="285" t="s">
        <v>1056</v>
      </c>
      <c r="M177" s="340"/>
      <c r="N177" s="289">
        <f t="shared" ref="N177:N183" si="80">$K$274</f>
        <v>480000</v>
      </c>
      <c r="O177" s="289">
        <v>0</v>
      </c>
      <c r="P177" s="366">
        <f t="shared" si="77"/>
        <v>480000</v>
      </c>
      <c r="Q177" s="289" t="s">
        <v>1056</v>
      </c>
      <c r="R177" s="345"/>
      <c r="S177" s="289">
        <v>8600000</v>
      </c>
      <c r="T177" s="345"/>
      <c r="U177" s="289" t="s">
        <v>1056</v>
      </c>
      <c r="V177" s="372"/>
      <c r="W177" s="286">
        <f>W178</f>
        <v>54000000</v>
      </c>
      <c r="X177" s="371"/>
      <c r="Y177" s="285">
        <f t="shared" si="78"/>
        <v>62600000</v>
      </c>
      <c r="Z177" s="289" t="s">
        <v>1056</v>
      </c>
      <c r="AA177" s="289">
        <v>1276000</v>
      </c>
      <c r="AB177" s="289" t="s">
        <v>1056</v>
      </c>
      <c r="AC177" s="289" t="s">
        <v>1056</v>
      </c>
      <c r="AD177" s="345"/>
      <c r="AE177" s="285">
        <f t="shared" si="79"/>
        <v>1276000</v>
      </c>
      <c r="AF177" s="287">
        <v>0</v>
      </c>
    </row>
    <row r="178" spans="1:32" hidden="1">
      <c r="A178" s="300" t="s">
        <v>1075</v>
      </c>
      <c r="B178" s="301" t="s">
        <v>1073</v>
      </c>
      <c r="C178" s="1" t="s">
        <v>1076</v>
      </c>
      <c r="D178" s="1" t="s">
        <v>1056</v>
      </c>
      <c r="E178" s="1" t="s">
        <v>1077</v>
      </c>
      <c r="F178" s="283" t="s">
        <v>3</v>
      </c>
      <c r="G178" s="1" t="s">
        <v>1064</v>
      </c>
      <c r="H178" s="285">
        <v>0</v>
      </c>
      <c r="I178" s="285">
        <f t="shared" si="76"/>
        <v>42974069.524991997</v>
      </c>
      <c r="J178" s="280">
        <f t="shared" si="75"/>
        <v>1384872.8242689576</v>
      </c>
      <c r="K178" s="288">
        <v>0</v>
      </c>
      <c r="L178" s="285" t="s">
        <v>1056</v>
      </c>
      <c r="M178" s="340"/>
      <c r="N178" s="289">
        <f t="shared" si="80"/>
        <v>480000</v>
      </c>
      <c r="O178" s="289">
        <v>0</v>
      </c>
      <c r="P178" s="366">
        <f t="shared" si="77"/>
        <v>480000</v>
      </c>
      <c r="Q178" s="289" t="s">
        <v>1056</v>
      </c>
      <c r="R178" s="345"/>
      <c r="S178" s="289">
        <v>8600000</v>
      </c>
      <c r="T178" s="345"/>
      <c r="U178" s="289" t="s">
        <v>1056</v>
      </c>
      <c r="V178" s="372"/>
      <c r="W178" s="289">
        <v>54000000</v>
      </c>
      <c r="X178" s="372"/>
      <c r="Y178" s="285">
        <f t="shared" si="78"/>
        <v>62600000</v>
      </c>
      <c r="Z178" s="289" t="s">
        <v>1056</v>
      </c>
      <c r="AA178" s="289">
        <v>1276000</v>
      </c>
      <c r="AB178" s="289" t="s">
        <v>1056</v>
      </c>
      <c r="AC178" s="289" t="s">
        <v>1056</v>
      </c>
      <c r="AD178" s="345"/>
      <c r="AE178" s="285">
        <f t="shared" si="79"/>
        <v>1276000</v>
      </c>
      <c r="AF178" s="287">
        <v>0</v>
      </c>
    </row>
    <row r="179" spans="1:32" hidden="1">
      <c r="A179" s="300" t="s">
        <v>1075</v>
      </c>
      <c r="B179" s="301" t="s">
        <v>1074</v>
      </c>
      <c r="C179" s="1" t="s">
        <v>1076</v>
      </c>
      <c r="D179" s="1" t="s">
        <v>1056</v>
      </c>
      <c r="E179" s="1" t="s">
        <v>1077</v>
      </c>
      <c r="F179" s="283" t="s">
        <v>3</v>
      </c>
      <c r="G179" s="1" t="s">
        <v>1061</v>
      </c>
      <c r="H179" s="285">
        <v>1</v>
      </c>
      <c r="I179" s="285">
        <f t="shared" si="76"/>
        <v>42974069.524991997</v>
      </c>
      <c r="J179" s="280">
        <f t="shared" si="75"/>
        <v>1384872.8242689576</v>
      </c>
      <c r="K179" s="288">
        <v>0.35</v>
      </c>
      <c r="L179" s="280">
        <f>$J$274</f>
        <v>43000000</v>
      </c>
      <c r="M179" s="341"/>
      <c r="N179" s="289">
        <f t="shared" si="80"/>
        <v>480000</v>
      </c>
      <c r="O179" s="289">
        <v>0</v>
      </c>
      <c r="P179" s="366">
        <f t="shared" si="77"/>
        <v>480000</v>
      </c>
      <c r="Q179" s="289">
        <f>$H$274</f>
        <v>4769407.32</v>
      </c>
      <c r="R179" s="345"/>
      <c r="S179" s="289">
        <v>8600000</v>
      </c>
      <c r="T179" s="345"/>
      <c r="U179" s="289" t="s">
        <v>1056</v>
      </c>
      <c r="V179" s="372"/>
      <c r="W179" s="289" t="s">
        <v>1056</v>
      </c>
      <c r="X179" s="372"/>
      <c r="Y179" s="285">
        <f t="shared" si="78"/>
        <v>13369407.32</v>
      </c>
      <c r="Z179" s="289">
        <f>$I$274</f>
        <v>224957.334</v>
      </c>
      <c r="AA179" s="289">
        <v>1276000</v>
      </c>
      <c r="AB179" s="289" t="s">
        <v>1056</v>
      </c>
      <c r="AC179" s="289" t="s">
        <v>1056</v>
      </c>
      <c r="AD179" s="345"/>
      <c r="AE179" s="285">
        <f t="shared" si="79"/>
        <v>1500957.334</v>
      </c>
      <c r="AF179" s="287">
        <v>0</v>
      </c>
    </row>
    <row r="180" spans="1:32" hidden="1">
      <c r="A180" s="300" t="s">
        <v>1075</v>
      </c>
      <c r="B180" s="301" t="s">
        <v>1074</v>
      </c>
      <c r="C180" s="1" t="s">
        <v>1076</v>
      </c>
      <c r="D180" s="1" t="s">
        <v>1056</v>
      </c>
      <c r="E180" s="1" t="s">
        <v>1077</v>
      </c>
      <c r="F180" s="283" t="s">
        <v>3</v>
      </c>
      <c r="G180" s="1" t="s">
        <v>51</v>
      </c>
      <c r="H180" s="285">
        <v>0</v>
      </c>
      <c r="I180" s="285">
        <f t="shared" si="76"/>
        <v>42974069.524991997</v>
      </c>
      <c r="J180" s="280">
        <f t="shared" si="75"/>
        <v>1384872.8242689576</v>
      </c>
      <c r="K180" s="288">
        <v>0.99</v>
      </c>
      <c r="L180" s="285">
        <f>$J$274</f>
        <v>43000000</v>
      </c>
      <c r="M180" s="341"/>
      <c r="N180" s="289">
        <f t="shared" si="80"/>
        <v>480000</v>
      </c>
      <c r="O180" s="289">
        <v>0</v>
      </c>
      <c r="P180" s="366">
        <f t="shared" si="77"/>
        <v>480000</v>
      </c>
      <c r="Q180" s="289">
        <f>$H$274</f>
        <v>4769407.32</v>
      </c>
      <c r="R180" s="345"/>
      <c r="S180" s="289">
        <v>8600000</v>
      </c>
      <c r="T180" s="345"/>
      <c r="U180" s="289">
        <v>450000</v>
      </c>
      <c r="V180" s="372"/>
      <c r="W180" s="289" t="s">
        <v>1056</v>
      </c>
      <c r="X180" s="372"/>
      <c r="Y180" s="285">
        <f t="shared" si="78"/>
        <v>13819407.32</v>
      </c>
      <c r="Z180" s="289">
        <f>$I$274</f>
        <v>224957.334</v>
      </c>
      <c r="AA180" s="289">
        <v>1276000</v>
      </c>
      <c r="AB180" s="289">
        <v>193800</v>
      </c>
      <c r="AC180" s="289" t="s">
        <v>1056</v>
      </c>
      <c r="AD180" s="345"/>
      <c r="AE180" s="285">
        <f t="shared" si="79"/>
        <v>1694757.334</v>
      </c>
      <c r="AF180" s="287">
        <v>0</v>
      </c>
    </row>
    <row r="181" spans="1:32" hidden="1">
      <c r="A181" s="300" t="s">
        <v>1075</v>
      </c>
      <c r="B181" s="301" t="s">
        <v>1074</v>
      </c>
      <c r="C181" s="1" t="s">
        <v>1076</v>
      </c>
      <c r="D181" s="1" t="s">
        <v>1056</v>
      </c>
      <c r="E181" s="1" t="s">
        <v>1077</v>
      </c>
      <c r="F181" s="283" t="s">
        <v>3</v>
      </c>
      <c r="G181" s="1" t="s">
        <v>1062</v>
      </c>
      <c r="H181" s="285">
        <v>0</v>
      </c>
      <c r="I181" s="285">
        <f t="shared" si="76"/>
        <v>42974069.524991997</v>
      </c>
      <c r="J181" s="280">
        <f t="shared" si="75"/>
        <v>1384872.8242689576</v>
      </c>
      <c r="K181" s="288">
        <v>0.99</v>
      </c>
      <c r="L181" s="285">
        <f>$J$274</f>
        <v>43000000</v>
      </c>
      <c r="M181" s="341"/>
      <c r="N181" s="289">
        <f t="shared" si="80"/>
        <v>480000</v>
      </c>
      <c r="O181" s="289">
        <v>0</v>
      </c>
      <c r="P181" s="366">
        <f t="shared" si="77"/>
        <v>480000</v>
      </c>
      <c r="Q181" s="289">
        <f>$H$274</f>
        <v>4769407.32</v>
      </c>
      <c r="R181" s="345"/>
      <c r="S181" s="289">
        <v>8600000</v>
      </c>
      <c r="T181" s="345"/>
      <c r="U181" s="289">
        <v>450000</v>
      </c>
      <c r="V181" s="372"/>
      <c r="W181" s="289" t="s">
        <v>1056</v>
      </c>
      <c r="X181" s="372"/>
      <c r="Y181" s="285">
        <f t="shared" si="78"/>
        <v>13819407.32</v>
      </c>
      <c r="Z181" s="289">
        <f>$I$274</f>
        <v>224957.334</v>
      </c>
      <c r="AA181" s="289">
        <v>1276000</v>
      </c>
      <c r="AB181" s="289">
        <v>193800</v>
      </c>
      <c r="AC181" s="289">
        <f>I181*$C$284*$E$289</f>
        <v>1661847.3891227492</v>
      </c>
      <c r="AD181" s="363">
        <f>J181*1.2*5</f>
        <v>8309236.9456137447</v>
      </c>
      <c r="AE181" s="285">
        <f t="shared" si="79"/>
        <v>11665841.668736495</v>
      </c>
      <c r="AF181" s="287">
        <v>0</v>
      </c>
    </row>
    <row r="182" spans="1:32" hidden="1">
      <c r="A182" s="300" t="s">
        <v>1075</v>
      </c>
      <c r="B182" s="301" t="s">
        <v>1074</v>
      </c>
      <c r="C182" s="1" t="s">
        <v>1076</v>
      </c>
      <c r="D182" s="1" t="s">
        <v>1056</v>
      </c>
      <c r="E182" s="1" t="s">
        <v>1077</v>
      </c>
      <c r="F182" s="283" t="s">
        <v>3</v>
      </c>
      <c r="G182" s="1" t="s">
        <v>1063</v>
      </c>
      <c r="H182" s="285">
        <v>0</v>
      </c>
      <c r="I182" s="285">
        <f t="shared" si="76"/>
        <v>42974069.524991997</v>
      </c>
      <c r="J182" s="280">
        <f t="shared" si="75"/>
        <v>1384872.8242689576</v>
      </c>
      <c r="K182" s="288">
        <v>0</v>
      </c>
      <c r="L182" s="285">
        <f>$J$274</f>
        <v>43000000</v>
      </c>
      <c r="M182" s="341"/>
      <c r="N182" s="289">
        <f t="shared" si="80"/>
        <v>480000</v>
      </c>
      <c r="O182" s="289">
        <v>0</v>
      </c>
      <c r="P182" s="366">
        <f t="shared" si="77"/>
        <v>480000</v>
      </c>
      <c r="Q182" s="289">
        <f>$H$274</f>
        <v>4769407.32</v>
      </c>
      <c r="R182" s="345"/>
      <c r="S182" s="289">
        <v>8600000</v>
      </c>
      <c r="T182" s="345"/>
      <c r="U182" s="289" t="s">
        <v>1056</v>
      </c>
      <c r="V182" s="372"/>
      <c r="W182" s="286">
        <f>W183</f>
        <v>54000000</v>
      </c>
      <c r="X182" s="371"/>
      <c r="Y182" s="285">
        <f t="shared" si="78"/>
        <v>67369407.319999993</v>
      </c>
      <c r="Z182" s="289">
        <f>$I$274</f>
        <v>224957.334</v>
      </c>
      <c r="AA182" s="289">
        <v>1276000</v>
      </c>
      <c r="AB182" s="289" t="s">
        <v>1056</v>
      </c>
      <c r="AC182" s="289" t="s">
        <v>1056</v>
      </c>
      <c r="AD182" s="345"/>
      <c r="AE182" s="285">
        <f t="shared" si="79"/>
        <v>1500957.334</v>
      </c>
      <c r="AF182" s="287">
        <v>0</v>
      </c>
    </row>
    <row r="183" spans="1:32" hidden="1">
      <c r="A183" s="300" t="s">
        <v>1075</v>
      </c>
      <c r="B183" s="301" t="s">
        <v>1074</v>
      </c>
      <c r="C183" s="1" t="s">
        <v>1076</v>
      </c>
      <c r="D183" s="1" t="s">
        <v>1056</v>
      </c>
      <c r="E183" s="1" t="s">
        <v>1077</v>
      </c>
      <c r="F183" s="283" t="s">
        <v>3</v>
      </c>
      <c r="G183" s="1" t="s">
        <v>1064</v>
      </c>
      <c r="H183" s="285">
        <v>0</v>
      </c>
      <c r="I183" s="285">
        <f t="shared" si="76"/>
        <v>42974069.524991997</v>
      </c>
      <c r="J183" s="280">
        <f t="shared" si="75"/>
        <v>1384872.8242689576</v>
      </c>
      <c r="K183" s="288">
        <v>0</v>
      </c>
      <c r="L183" s="285">
        <f>$J$274</f>
        <v>43000000</v>
      </c>
      <c r="M183" s="341"/>
      <c r="N183" s="289">
        <f t="shared" si="80"/>
        <v>480000</v>
      </c>
      <c r="O183" s="289">
        <v>0</v>
      </c>
      <c r="P183" s="366">
        <f t="shared" si="77"/>
        <v>480000</v>
      </c>
      <c r="Q183" s="289">
        <f>$H$274</f>
        <v>4769407.32</v>
      </c>
      <c r="R183" s="345"/>
      <c r="S183" s="289">
        <v>8600000</v>
      </c>
      <c r="T183" s="345"/>
      <c r="U183" s="289" t="s">
        <v>1056</v>
      </c>
      <c r="V183" s="372"/>
      <c r="W183" s="289">
        <v>54000000</v>
      </c>
      <c r="X183" s="372"/>
      <c r="Y183" s="285">
        <f t="shared" si="78"/>
        <v>67369407.319999993</v>
      </c>
      <c r="Z183" s="289">
        <f>$I$274</f>
        <v>224957.334</v>
      </c>
      <c r="AA183" s="289">
        <v>1276000</v>
      </c>
      <c r="AB183" s="289" t="s">
        <v>1056</v>
      </c>
      <c r="AC183" s="289" t="s">
        <v>1056</v>
      </c>
      <c r="AD183" s="345"/>
      <c r="AE183" s="285">
        <f t="shared" si="79"/>
        <v>1500957.334</v>
      </c>
      <c r="AF183" s="287">
        <v>0</v>
      </c>
    </row>
    <row r="184" spans="1:32" hidden="1">
      <c r="A184" s="300" t="s">
        <v>1075</v>
      </c>
      <c r="B184" s="301" t="s">
        <v>1073</v>
      </c>
      <c r="C184" s="1" t="s">
        <v>1078</v>
      </c>
      <c r="D184" s="1" t="s">
        <v>1056</v>
      </c>
      <c r="E184" s="1" t="s">
        <v>1079</v>
      </c>
      <c r="F184" s="307" t="s">
        <v>3</v>
      </c>
      <c r="G184" s="1" t="s">
        <v>1092</v>
      </c>
      <c r="H184" s="285">
        <v>13</v>
      </c>
      <c r="I184" s="285">
        <f t="shared" ref="I184:I194" si="81">$F$275</f>
        <v>16648966.765823999</v>
      </c>
      <c r="J184" s="280">
        <f t="shared" si="75"/>
        <v>536525.90692482225</v>
      </c>
      <c r="K184" s="288">
        <v>0</v>
      </c>
      <c r="L184" s="285" t="s">
        <v>1056</v>
      </c>
      <c r="M184" s="340"/>
      <c r="N184" s="289" t="s">
        <v>1056</v>
      </c>
      <c r="O184" s="289">
        <v>0</v>
      </c>
      <c r="P184" s="366">
        <f>SUM(N184:O184)</f>
        <v>0</v>
      </c>
      <c r="Q184" s="289" t="s">
        <v>1056</v>
      </c>
      <c r="R184" s="345"/>
      <c r="S184" s="289" t="s">
        <v>1056</v>
      </c>
      <c r="T184" s="345"/>
      <c r="U184" s="286" t="s">
        <v>1056</v>
      </c>
      <c r="V184" s="371"/>
      <c r="W184" s="286" t="s">
        <v>1056</v>
      </c>
      <c r="X184" s="371"/>
      <c r="Y184" s="285" t="s">
        <v>1056</v>
      </c>
      <c r="Z184" s="289" t="s">
        <v>1056</v>
      </c>
      <c r="AA184" s="286" t="s">
        <v>1056</v>
      </c>
      <c r="AB184" s="289" t="s">
        <v>1056</v>
      </c>
      <c r="AC184" s="286" t="s">
        <v>1056</v>
      </c>
      <c r="AD184" s="344"/>
      <c r="AE184" s="285" t="s">
        <v>1056</v>
      </c>
      <c r="AF184" s="287" t="s">
        <v>1056</v>
      </c>
    </row>
    <row r="185" spans="1:32" hidden="1">
      <c r="A185" s="300" t="s">
        <v>1075</v>
      </c>
      <c r="B185" s="301" t="s">
        <v>1073</v>
      </c>
      <c r="C185" s="1" t="s">
        <v>1078</v>
      </c>
      <c r="D185" s="1" t="s">
        <v>1056</v>
      </c>
      <c r="E185" s="1" t="s">
        <v>1079</v>
      </c>
      <c r="F185" s="283" t="s">
        <v>3</v>
      </c>
      <c r="G185" s="1" t="s">
        <v>1061</v>
      </c>
      <c r="H185" s="285">
        <v>0</v>
      </c>
      <c r="I185" s="285">
        <f t="shared" si="81"/>
        <v>16648966.765823999</v>
      </c>
      <c r="J185" s="280">
        <f t="shared" si="75"/>
        <v>536525.90692482225</v>
      </c>
      <c r="K185" s="288">
        <v>0.35</v>
      </c>
      <c r="L185" s="285" t="s">
        <v>1056</v>
      </c>
      <c r="M185" s="340"/>
      <c r="N185" s="289" t="s">
        <v>1056</v>
      </c>
      <c r="O185" s="289">
        <v>0</v>
      </c>
      <c r="P185" s="366">
        <f t="shared" ref="P185:P194" si="82">SUM(N185:O185)</f>
        <v>0</v>
      </c>
      <c r="Q185" s="289" t="s">
        <v>1056</v>
      </c>
      <c r="R185" s="345"/>
      <c r="S185" s="289">
        <v>3800000</v>
      </c>
      <c r="T185" s="345"/>
      <c r="U185" s="289" t="s">
        <v>1056</v>
      </c>
      <c r="V185" s="372"/>
      <c r="W185" s="289" t="s">
        <v>1056</v>
      </c>
      <c r="X185" s="372"/>
      <c r="Y185" s="285">
        <f t="shared" ref="Y185:Y194" si="83">SUM(Q185:W185)</f>
        <v>3800000</v>
      </c>
      <c r="Z185" s="289" t="s">
        <v>1056</v>
      </c>
      <c r="AA185" s="289">
        <v>315100</v>
      </c>
      <c r="AB185" s="289" t="s">
        <v>1056</v>
      </c>
      <c r="AC185" s="289" t="s">
        <v>1056</v>
      </c>
      <c r="AD185" s="345"/>
      <c r="AE185" s="285">
        <f t="shared" ref="AE185:AE194" si="84">SUM(Z185:AD185)</f>
        <v>315100</v>
      </c>
      <c r="AF185" s="287">
        <v>0</v>
      </c>
    </row>
    <row r="186" spans="1:32" hidden="1">
      <c r="A186" s="300" t="s">
        <v>1075</v>
      </c>
      <c r="B186" s="301" t="s">
        <v>1073</v>
      </c>
      <c r="C186" s="1" t="s">
        <v>1078</v>
      </c>
      <c r="D186" s="1" t="s">
        <v>1056</v>
      </c>
      <c r="E186" s="1" t="s">
        <v>1079</v>
      </c>
      <c r="F186" s="283" t="s">
        <v>3</v>
      </c>
      <c r="G186" s="1" t="s">
        <v>51</v>
      </c>
      <c r="H186" s="285">
        <v>0</v>
      </c>
      <c r="I186" s="285">
        <f t="shared" si="81"/>
        <v>16648966.765823999</v>
      </c>
      <c r="J186" s="280">
        <f t="shared" si="75"/>
        <v>536525.90692482225</v>
      </c>
      <c r="K186" s="288">
        <v>0.99</v>
      </c>
      <c r="L186" s="285" t="s">
        <v>1056</v>
      </c>
      <c r="M186" s="340"/>
      <c r="N186" s="289" t="s">
        <v>1056</v>
      </c>
      <c r="O186" s="289">
        <v>0</v>
      </c>
      <c r="P186" s="366">
        <f t="shared" si="82"/>
        <v>0</v>
      </c>
      <c r="Q186" s="289" t="s">
        <v>1056</v>
      </c>
      <c r="R186" s="345"/>
      <c r="S186" s="289">
        <v>3800000</v>
      </c>
      <c r="T186" s="345"/>
      <c r="U186" s="289">
        <v>225000</v>
      </c>
      <c r="V186" s="372"/>
      <c r="W186" s="289" t="s">
        <v>1056</v>
      </c>
      <c r="X186" s="372"/>
      <c r="Y186" s="285">
        <f t="shared" si="83"/>
        <v>4025000</v>
      </c>
      <c r="Z186" s="289" t="s">
        <v>1056</v>
      </c>
      <c r="AA186" s="289">
        <v>315100</v>
      </c>
      <c r="AB186" s="289">
        <v>45500</v>
      </c>
      <c r="AC186" s="289" t="s">
        <v>1056</v>
      </c>
      <c r="AD186" s="345"/>
      <c r="AE186" s="285">
        <f t="shared" si="84"/>
        <v>360600</v>
      </c>
      <c r="AF186" s="287">
        <v>0</v>
      </c>
    </row>
    <row r="187" spans="1:32" hidden="1">
      <c r="A187" s="300" t="s">
        <v>1075</v>
      </c>
      <c r="B187" s="301" t="s">
        <v>1073</v>
      </c>
      <c r="C187" s="1" t="s">
        <v>1078</v>
      </c>
      <c r="D187" s="1" t="s">
        <v>1056</v>
      </c>
      <c r="E187" s="1" t="s">
        <v>1079</v>
      </c>
      <c r="F187" s="283" t="s">
        <v>3</v>
      </c>
      <c r="G187" s="1" t="s">
        <v>1062</v>
      </c>
      <c r="H187" s="285">
        <v>0</v>
      </c>
      <c r="I187" s="285">
        <f t="shared" si="81"/>
        <v>16648966.765823999</v>
      </c>
      <c r="J187" s="280">
        <f t="shared" si="75"/>
        <v>536525.90692482225</v>
      </c>
      <c r="K187" s="288">
        <v>0.99</v>
      </c>
      <c r="L187" s="285" t="s">
        <v>1056</v>
      </c>
      <c r="M187" s="340"/>
      <c r="N187" s="289" t="s">
        <v>1056</v>
      </c>
      <c r="O187" s="289">
        <v>0</v>
      </c>
      <c r="P187" s="366">
        <f t="shared" si="82"/>
        <v>0</v>
      </c>
      <c r="Q187" s="289" t="s">
        <v>1056</v>
      </c>
      <c r="R187" s="345"/>
      <c r="S187" s="289">
        <v>3800000</v>
      </c>
      <c r="T187" s="345"/>
      <c r="U187" s="289">
        <v>225000</v>
      </c>
      <c r="V187" s="372"/>
      <c r="W187" s="289" t="s">
        <v>1056</v>
      </c>
      <c r="X187" s="372"/>
      <c r="Y187" s="285">
        <f t="shared" si="83"/>
        <v>4025000</v>
      </c>
      <c r="Z187" s="289" t="s">
        <v>1056</v>
      </c>
      <c r="AA187" s="289">
        <v>315100</v>
      </c>
      <c r="AB187" s="289">
        <v>45500</v>
      </c>
      <c r="AC187" s="289">
        <f>I187*$C$284*$E$289</f>
        <v>643831.08830978663</v>
      </c>
      <c r="AD187" s="363">
        <f>J187*1.2*5</f>
        <v>3219155.4415489333</v>
      </c>
      <c r="AE187" s="285">
        <f t="shared" si="84"/>
        <v>4223586.5298587196</v>
      </c>
      <c r="AF187" s="287">
        <v>0</v>
      </c>
    </row>
    <row r="188" spans="1:32" hidden="1">
      <c r="A188" s="300" t="s">
        <v>1075</v>
      </c>
      <c r="B188" s="301" t="s">
        <v>1073</v>
      </c>
      <c r="C188" s="1" t="s">
        <v>1078</v>
      </c>
      <c r="D188" s="1" t="s">
        <v>1056</v>
      </c>
      <c r="E188" s="1" t="s">
        <v>1079</v>
      </c>
      <c r="F188" s="283" t="s">
        <v>3</v>
      </c>
      <c r="G188" s="1" t="s">
        <v>1063</v>
      </c>
      <c r="H188" s="285">
        <v>0</v>
      </c>
      <c r="I188" s="285">
        <f t="shared" si="81"/>
        <v>16648966.765823999</v>
      </c>
      <c r="J188" s="280">
        <f t="shared" si="75"/>
        <v>536525.90692482225</v>
      </c>
      <c r="K188" s="288">
        <v>0</v>
      </c>
      <c r="L188" s="285" t="s">
        <v>1056</v>
      </c>
      <c r="M188" s="340"/>
      <c r="N188" s="289">
        <f t="shared" ref="N188:N194" si="85">$K$275</f>
        <v>210000</v>
      </c>
      <c r="O188" s="289">
        <v>0</v>
      </c>
      <c r="P188" s="366">
        <f t="shared" si="82"/>
        <v>210000</v>
      </c>
      <c r="Q188" s="289" t="s">
        <v>1056</v>
      </c>
      <c r="R188" s="345"/>
      <c r="S188" s="289">
        <v>3800000</v>
      </c>
      <c r="T188" s="345"/>
      <c r="U188" s="289" t="s">
        <v>1056</v>
      </c>
      <c r="V188" s="372"/>
      <c r="W188" s="286">
        <f>W189</f>
        <v>54000000</v>
      </c>
      <c r="X188" s="371"/>
      <c r="Y188" s="285">
        <f t="shared" si="83"/>
        <v>57800000</v>
      </c>
      <c r="Z188" s="289" t="s">
        <v>1056</v>
      </c>
      <c r="AA188" s="289">
        <v>315100</v>
      </c>
      <c r="AB188" s="289" t="s">
        <v>1056</v>
      </c>
      <c r="AC188" s="289" t="s">
        <v>1056</v>
      </c>
      <c r="AD188" s="345"/>
      <c r="AE188" s="285">
        <f t="shared" si="84"/>
        <v>315100</v>
      </c>
      <c r="AF188" s="287">
        <v>0</v>
      </c>
    </row>
    <row r="189" spans="1:32" hidden="1">
      <c r="A189" s="300" t="s">
        <v>1075</v>
      </c>
      <c r="B189" s="301" t="s">
        <v>1073</v>
      </c>
      <c r="C189" s="1" t="s">
        <v>1078</v>
      </c>
      <c r="D189" s="1" t="s">
        <v>1056</v>
      </c>
      <c r="E189" s="1" t="s">
        <v>1079</v>
      </c>
      <c r="F189" s="283" t="s">
        <v>3</v>
      </c>
      <c r="G189" s="1" t="s">
        <v>1064</v>
      </c>
      <c r="H189" s="285">
        <v>0</v>
      </c>
      <c r="I189" s="285">
        <f t="shared" si="81"/>
        <v>16648966.765823999</v>
      </c>
      <c r="J189" s="280">
        <f t="shared" si="75"/>
        <v>536525.90692482225</v>
      </c>
      <c r="K189" s="288">
        <v>0</v>
      </c>
      <c r="L189" s="285" t="s">
        <v>1056</v>
      </c>
      <c r="M189" s="340"/>
      <c r="N189" s="289">
        <f t="shared" si="85"/>
        <v>210000</v>
      </c>
      <c r="O189" s="289">
        <v>0</v>
      </c>
      <c r="P189" s="366">
        <f t="shared" si="82"/>
        <v>210000</v>
      </c>
      <c r="Q189" s="289" t="s">
        <v>1056</v>
      </c>
      <c r="R189" s="345"/>
      <c r="S189" s="289">
        <v>3800000</v>
      </c>
      <c r="T189" s="345"/>
      <c r="U189" s="289" t="s">
        <v>1056</v>
      </c>
      <c r="V189" s="372"/>
      <c r="W189" s="289">
        <v>54000000</v>
      </c>
      <c r="X189" s="372"/>
      <c r="Y189" s="285">
        <f t="shared" si="83"/>
        <v>57800000</v>
      </c>
      <c r="Z189" s="289" t="s">
        <v>1056</v>
      </c>
      <c r="AA189" s="289">
        <v>315100</v>
      </c>
      <c r="AB189" s="289" t="s">
        <v>1056</v>
      </c>
      <c r="AC189" s="289" t="s">
        <v>1056</v>
      </c>
      <c r="AD189" s="345"/>
      <c r="AE189" s="285">
        <f t="shared" si="84"/>
        <v>315100</v>
      </c>
      <c r="AF189" s="287">
        <v>0</v>
      </c>
    </row>
    <row r="190" spans="1:32" hidden="1">
      <c r="A190" s="300" t="s">
        <v>1075</v>
      </c>
      <c r="B190" s="301" t="s">
        <v>1074</v>
      </c>
      <c r="C190" s="1" t="s">
        <v>1078</v>
      </c>
      <c r="D190" s="1" t="s">
        <v>1056</v>
      </c>
      <c r="E190" s="1" t="s">
        <v>1079</v>
      </c>
      <c r="F190" s="283" t="s">
        <v>3</v>
      </c>
      <c r="G190" s="1" t="s">
        <v>1061</v>
      </c>
      <c r="H190" s="285">
        <v>1</v>
      </c>
      <c r="I190" s="285">
        <f t="shared" si="81"/>
        <v>16648966.765823999</v>
      </c>
      <c r="J190" s="280">
        <f t="shared" si="75"/>
        <v>536525.90692482225</v>
      </c>
      <c r="K190" s="288">
        <v>0.35</v>
      </c>
      <c r="L190" s="285">
        <f>$J$275</f>
        <v>16900000</v>
      </c>
      <c r="M190" s="341"/>
      <c r="N190" s="289">
        <f t="shared" si="85"/>
        <v>210000</v>
      </c>
      <c r="O190" s="289">
        <v>0</v>
      </c>
      <c r="P190" s="366">
        <f t="shared" si="82"/>
        <v>210000</v>
      </c>
      <c r="Q190" s="289">
        <f>$H$275</f>
        <v>1847758.54</v>
      </c>
      <c r="R190" s="345"/>
      <c r="S190" s="289">
        <v>3800000</v>
      </c>
      <c r="T190" s="345"/>
      <c r="U190" s="289" t="s">
        <v>1056</v>
      </c>
      <c r="V190" s="372"/>
      <c r="W190" s="289" t="s">
        <v>1056</v>
      </c>
      <c r="X190" s="372"/>
      <c r="Y190" s="285">
        <f t="shared" si="83"/>
        <v>5647758.54</v>
      </c>
      <c r="Z190" s="289">
        <f>$I$275</f>
        <v>87152.722999999998</v>
      </c>
      <c r="AA190" s="289">
        <v>315100</v>
      </c>
      <c r="AB190" s="289" t="s">
        <v>1056</v>
      </c>
      <c r="AC190" s="289" t="s">
        <v>1056</v>
      </c>
      <c r="AD190" s="345"/>
      <c r="AE190" s="285">
        <f t="shared" si="84"/>
        <v>402252.723</v>
      </c>
      <c r="AF190" s="287">
        <v>0</v>
      </c>
    </row>
    <row r="191" spans="1:32" hidden="1">
      <c r="A191" s="300" t="s">
        <v>1075</v>
      </c>
      <c r="B191" s="301" t="s">
        <v>1074</v>
      </c>
      <c r="C191" s="1" t="s">
        <v>1078</v>
      </c>
      <c r="D191" s="1" t="s">
        <v>1056</v>
      </c>
      <c r="E191" s="1" t="s">
        <v>1079</v>
      </c>
      <c r="F191" s="283" t="s">
        <v>3</v>
      </c>
      <c r="G191" s="1" t="s">
        <v>51</v>
      </c>
      <c r="H191" s="285">
        <v>0</v>
      </c>
      <c r="I191" s="285">
        <f t="shared" si="81"/>
        <v>16648966.765823999</v>
      </c>
      <c r="J191" s="280">
        <f t="shared" si="75"/>
        <v>536525.90692482225</v>
      </c>
      <c r="K191" s="288">
        <v>0.99</v>
      </c>
      <c r="L191" s="285">
        <f>$J$275</f>
        <v>16900000</v>
      </c>
      <c r="M191" s="341"/>
      <c r="N191" s="289">
        <f t="shared" si="85"/>
        <v>210000</v>
      </c>
      <c r="O191" s="289">
        <v>0</v>
      </c>
      <c r="P191" s="366">
        <f t="shared" si="82"/>
        <v>210000</v>
      </c>
      <c r="Q191" s="289">
        <f>$H$275</f>
        <v>1847758.54</v>
      </c>
      <c r="R191" s="345"/>
      <c r="S191" s="289">
        <v>3800000</v>
      </c>
      <c r="T191" s="345"/>
      <c r="U191" s="289">
        <v>225000</v>
      </c>
      <c r="V191" s="372"/>
      <c r="W191" s="289" t="s">
        <v>1056</v>
      </c>
      <c r="X191" s="372"/>
      <c r="Y191" s="285">
        <f t="shared" si="83"/>
        <v>5872758.54</v>
      </c>
      <c r="Z191" s="289">
        <f>$I$275</f>
        <v>87152.722999999998</v>
      </c>
      <c r="AA191" s="289">
        <v>315100</v>
      </c>
      <c r="AB191" s="289">
        <v>45500</v>
      </c>
      <c r="AC191" s="289" t="s">
        <v>1056</v>
      </c>
      <c r="AD191" s="345"/>
      <c r="AE191" s="285">
        <f t="shared" si="84"/>
        <v>447752.723</v>
      </c>
      <c r="AF191" s="287">
        <v>0</v>
      </c>
    </row>
    <row r="192" spans="1:32" hidden="1">
      <c r="A192" s="300" t="s">
        <v>1075</v>
      </c>
      <c r="B192" s="301" t="s">
        <v>1074</v>
      </c>
      <c r="C192" s="1" t="s">
        <v>1078</v>
      </c>
      <c r="D192" s="1" t="s">
        <v>1056</v>
      </c>
      <c r="E192" s="1" t="s">
        <v>1079</v>
      </c>
      <c r="F192" s="283" t="s">
        <v>3</v>
      </c>
      <c r="G192" s="1" t="s">
        <v>1062</v>
      </c>
      <c r="H192" s="285">
        <v>0</v>
      </c>
      <c r="I192" s="285">
        <f t="shared" si="81"/>
        <v>16648966.765823999</v>
      </c>
      <c r="J192" s="280">
        <f t="shared" si="75"/>
        <v>536525.90692482225</v>
      </c>
      <c r="K192" s="288">
        <v>0.99</v>
      </c>
      <c r="L192" s="285">
        <f>$J$275</f>
        <v>16900000</v>
      </c>
      <c r="M192" s="341"/>
      <c r="N192" s="289">
        <f t="shared" si="85"/>
        <v>210000</v>
      </c>
      <c r="O192" s="289">
        <v>0</v>
      </c>
      <c r="P192" s="366">
        <f t="shared" si="82"/>
        <v>210000</v>
      </c>
      <c r="Q192" s="289">
        <f>$H$275</f>
        <v>1847758.54</v>
      </c>
      <c r="R192" s="345"/>
      <c r="S192" s="289">
        <v>3800000</v>
      </c>
      <c r="T192" s="345"/>
      <c r="U192" s="289">
        <v>225000</v>
      </c>
      <c r="V192" s="372"/>
      <c r="W192" s="289" t="s">
        <v>1056</v>
      </c>
      <c r="X192" s="372"/>
      <c r="Y192" s="285">
        <f t="shared" si="83"/>
        <v>5872758.54</v>
      </c>
      <c r="Z192" s="289">
        <f>$I$275</f>
        <v>87152.722999999998</v>
      </c>
      <c r="AA192" s="289">
        <v>315100</v>
      </c>
      <c r="AB192" s="289">
        <v>45500</v>
      </c>
      <c r="AC192" s="289">
        <f>I192*$C$284*$E$289</f>
        <v>643831.08830978663</v>
      </c>
      <c r="AD192" s="363">
        <f>J192*1.2*5</f>
        <v>3219155.4415489333</v>
      </c>
      <c r="AE192" s="285">
        <f t="shared" si="84"/>
        <v>4310739.2528587198</v>
      </c>
      <c r="AF192" s="287">
        <v>0</v>
      </c>
    </row>
    <row r="193" spans="1:32" hidden="1">
      <c r="A193" s="300" t="s">
        <v>1075</v>
      </c>
      <c r="B193" s="301" t="s">
        <v>1074</v>
      </c>
      <c r="C193" s="1" t="s">
        <v>1078</v>
      </c>
      <c r="D193" s="1" t="s">
        <v>1056</v>
      </c>
      <c r="E193" s="1" t="s">
        <v>1079</v>
      </c>
      <c r="F193" s="283" t="s">
        <v>3</v>
      </c>
      <c r="G193" s="1" t="s">
        <v>1063</v>
      </c>
      <c r="H193" s="285">
        <v>0</v>
      </c>
      <c r="I193" s="285">
        <f t="shared" si="81"/>
        <v>16648966.765823999</v>
      </c>
      <c r="J193" s="280">
        <f t="shared" si="75"/>
        <v>536525.90692482225</v>
      </c>
      <c r="K193" s="288">
        <v>0</v>
      </c>
      <c r="L193" s="285">
        <f>$J$275</f>
        <v>16900000</v>
      </c>
      <c r="M193" s="341"/>
      <c r="N193" s="289">
        <f t="shared" si="85"/>
        <v>210000</v>
      </c>
      <c r="O193" s="289">
        <v>0</v>
      </c>
      <c r="P193" s="366">
        <f t="shared" si="82"/>
        <v>210000</v>
      </c>
      <c r="Q193" s="289">
        <f>$H$275</f>
        <v>1847758.54</v>
      </c>
      <c r="R193" s="345"/>
      <c r="S193" s="289">
        <v>3800000</v>
      </c>
      <c r="T193" s="345"/>
      <c r="U193" s="289" t="s">
        <v>1056</v>
      </c>
      <c r="V193" s="372"/>
      <c r="W193" s="286">
        <f>W194</f>
        <v>54000000</v>
      </c>
      <c r="X193" s="371"/>
      <c r="Y193" s="285">
        <f t="shared" si="83"/>
        <v>59647758.539999999</v>
      </c>
      <c r="Z193" s="289">
        <f>$I$275</f>
        <v>87152.722999999998</v>
      </c>
      <c r="AA193" s="289">
        <v>315100</v>
      </c>
      <c r="AB193" s="289" t="s">
        <v>1056</v>
      </c>
      <c r="AC193" s="289" t="s">
        <v>1056</v>
      </c>
      <c r="AD193" s="345"/>
      <c r="AE193" s="285">
        <f t="shared" si="84"/>
        <v>402252.723</v>
      </c>
      <c r="AF193" s="287">
        <v>0</v>
      </c>
    </row>
    <row r="194" spans="1:32" hidden="1">
      <c r="A194" s="300" t="s">
        <v>1075</v>
      </c>
      <c r="B194" s="301" t="s">
        <v>1074</v>
      </c>
      <c r="C194" s="1" t="s">
        <v>1078</v>
      </c>
      <c r="D194" s="1" t="s">
        <v>1056</v>
      </c>
      <c r="E194" s="1" t="s">
        <v>1079</v>
      </c>
      <c r="F194" s="283" t="s">
        <v>3</v>
      </c>
      <c r="G194" s="1" t="s">
        <v>1064</v>
      </c>
      <c r="H194" s="285">
        <v>0</v>
      </c>
      <c r="I194" s="285">
        <f t="shared" si="81"/>
        <v>16648966.765823999</v>
      </c>
      <c r="J194" s="280">
        <f t="shared" si="75"/>
        <v>536525.90692482225</v>
      </c>
      <c r="K194" s="288">
        <v>0</v>
      </c>
      <c r="L194" s="285">
        <f>$J$275</f>
        <v>16900000</v>
      </c>
      <c r="M194" s="341"/>
      <c r="N194" s="289">
        <f t="shared" si="85"/>
        <v>210000</v>
      </c>
      <c r="O194" s="289">
        <v>0</v>
      </c>
      <c r="P194" s="366">
        <f t="shared" si="82"/>
        <v>210000</v>
      </c>
      <c r="Q194" s="289">
        <f>$H$275</f>
        <v>1847758.54</v>
      </c>
      <c r="R194" s="345"/>
      <c r="S194" s="289">
        <v>3800000</v>
      </c>
      <c r="T194" s="345"/>
      <c r="U194" s="289" t="s">
        <v>1056</v>
      </c>
      <c r="V194" s="372"/>
      <c r="W194" s="289">
        <v>54000000</v>
      </c>
      <c r="X194" s="372"/>
      <c r="Y194" s="285">
        <f t="shared" si="83"/>
        <v>59647758.539999999</v>
      </c>
      <c r="Z194" s="289">
        <f>$I$275</f>
        <v>87152.722999999998</v>
      </c>
      <c r="AA194" s="289">
        <v>315100</v>
      </c>
      <c r="AB194" s="289" t="s">
        <v>1056</v>
      </c>
      <c r="AC194" s="289" t="s">
        <v>1056</v>
      </c>
      <c r="AD194" s="345"/>
      <c r="AE194" s="285">
        <f t="shared" si="84"/>
        <v>402252.723</v>
      </c>
      <c r="AF194" s="287">
        <v>0</v>
      </c>
    </row>
    <row r="195" spans="1:32" hidden="1">
      <c r="A195" s="300" t="s">
        <v>1075</v>
      </c>
      <c r="B195" s="301" t="s">
        <v>1073</v>
      </c>
      <c r="C195" s="1" t="s">
        <v>1080</v>
      </c>
      <c r="D195" s="1" t="s">
        <v>1056</v>
      </c>
      <c r="E195" s="1" t="s">
        <v>1081</v>
      </c>
      <c r="F195" s="307" t="s">
        <v>3</v>
      </c>
      <c r="G195" s="1" t="s">
        <v>1092</v>
      </c>
      <c r="H195" s="285">
        <v>17</v>
      </c>
      <c r="I195" s="285">
        <f>$F$276</f>
        <v>9211280.6085119992</v>
      </c>
      <c r="J195" s="280">
        <f t="shared" si="75"/>
        <v>296840.68398561265</v>
      </c>
      <c r="K195" s="288">
        <v>0</v>
      </c>
      <c r="L195" s="285" t="s">
        <v>1056</v>
      </c>
      <c r="M195" s="340"/>
      <c r="N195" s="289" t="s">
        <v>1056</v>
      </c>
      <c r="O195" s="289">
        <v>0</v>
      </c>
      <c r="P195" s="366">
        <f>SUM(N195:O195)</f>
        <v>0</v>
      </c>
      <c r="Q195" s="289" t="s">
        <v>1056</v>
      </c>
      <c r="R195" s="345"/>
      <c r="S195" s="286" t="s">
        <v>1056</v>
      </c>
      <c r="T195" s="344"/>
      <c r="U195" s="286" t="s">
        <v>1056</v>
      </c>
      <c r="V195" s="371"/>
      <c r="W195" s="286" t="s">
        <v>1056</v>
      </c>
      <c r="X195" s="371"/>
      <c r="Y195" s="285" t="s">
        <v>1056</v>
      </c>
      <c r="Z195" s="289" t="s">
        <v>1056</v>
      </c>
      <c r="AA195" s="286" t="s">
        <v>1056</v>
      </c>
      <c r="AB195" s="289" t="s">
        <v>1056</v>
      </c>
      <c r="AC195" s="286" t="s">
        <v>1056</v>
      </c>
      <c r="AD195" s="344"/>
      <c r="AE195" s="285" t="s">
        <v>1056</v>
      </c>
      <c r="AF195" s="287" t="s">
        <v>1056</v>
      </c>
    </row>
    <row r="196" spans="1:32" hidden="1">
      <c r="A196" s="300" t="s">
        <v>1075</v>
      </c>
      <c r="B196" s="301" t="s">
        <v>1073</v>
      </c>
      <c r="C196" s="1" t="s">
        <v>1080</v>
      </c>
      <c r="D196" s="1" t="s">
        <v>1056</v>
      </c>
      <c r="E196" s="1" t="s">
        <v>1081</v>
      </c>
      <c r="F196" s="283" t="s">
        <v>3</v>
      </c>
      <c r="G196" s="1" t="s">
        <v>1061</v>
      </c>
      <c r="H196" s="285">
        <v>0</v>
      </c>
      <c r="I196" s="285">
        <f>$F$276</f>
        <v>9211280.6085119992</v>
      </c>
      <c r="J196" s="280">
        <f t="shared" ref="J196:J259" si="86">I196*$E$289</f>
        <v>296840.68398561265</v>
      </c>
      <c r="K196" s="288">
        <v>0.35</v>
      </c>
      <c r="L196" s="285" t="s">
        <v>1056</v>
      </c>
      <c r="M196" s="340"/>
      <c r="N196" s="289" t="s">
        <v>1056</v>
      </c>
      <c r="O196" s="289">
        <v>0</v>
      </c>
      <c r="P196" s="366">
        <f t="shared" ref="P196:P205" si="87">SUM(N196:O196)</f>
        <v>0</v>
      </c>
      <c r="Q196" s="289" t="s">
        <v>1056</v>
      </c>
      <c r="R196" s="345"/>
      <c r="S196" s="289">
        <v>3000000</v>
      </c>
      <c r="T196" s="345"/>
      <c r="U196" s="289" t="s">
        <v>1056</v>
      </c>
      <c r="V196" s="372"/>
      <c r="W196" s="289" t="s">
        <v>1056</v>
      </c>
      <c r="X196" s="372"/>
      <c r="Y196" s="285">
        <f t="shared" ref="Y196:Y205" si="88">SUM(Q196:W196)</f>
        <v>3000000</v>
      </c>
      <c r="Z196" s="289" t="s">
        <v>1056</v>
      </c>
      <c r="AA196" s="289">
        <v>132000</v>
      </c>
      <c r="AB196" s="289" t="s">
        <v>1056</v>
      </c>
      <c r="AC196" s="289" t="s">
        <v>1056</v>
      </c>
      <c r="AD196" s="345"/>
      <c r="AE196" s="285">
        <f t="shared" ref="AE196:AE205" si="89">SUM(Z196:AD196)</f>
        <v>132000</v>
      </c>
      <c r="AF196" s="287">
        <v>0</v>
      </c>
    </row>
    <row r="197" spans="1:32" hidden="1">
      <c r="A197" s="300" t="s">
        <v>1075</v>
      </c>
      <c r="B197" s="301" t="s">
        <v>1073</v>
      </c>
      <c r="C197" s="1" t="s">
        <v>1080</v>
      </c>
      <c r="D197" s="1" t="s">
        <v>1056</v>
      </c>
      <c r="E197" s="1" t="s">
        <v>1081</v>
      </c>
      <c r="F197" s="283" t="s">
        <v>3</v>
      </c>
      <c r="G197" s="1" t="s">
        <v>51</v>
      </c>
      <c r="H197" s="285">
        <v>0</v>
      </c>
      <c r="I197" s="285">
        <f t="shared" ref="I197:I205" si="90">$F$276</f>
        <v>9211280.6085119992</v>
      </c>
      <c r="J197" s="280">
        <f t="shared" si="86"/>
        <v>296840.68398561265</v>
      </c>
      <c r="K197" s="288">
        <v>0.99</v>
      </c>
      <c r="L197" s="285" t="s">
        <v>1056</v>
      </c>
      <c r="M197" s="340"/>
      <c r="N197" s="289" t="s">
        <v>1056</v>
      </c>
      <c r="O197" s="289">
        <v>0</v>
      </c>
      <c r="P197" s="366">
        <f t="shared" si="87"/>
        <v>0</v>
      </c>
      <c r="Q197" s="289" t="s">
        <v>1056</v>
      </c>
      <c r="R197" s="345"/>
      <c r="S197" s="289">
        <v>3000000</v>
      </c>
      <c r="T197" s="345"/>
      <c r="U197" s="289">
        <v>200000</v>
      </c>
      <c r="V197" s="372"/>
      <c r="W197" s="289" t="s">
        <v>1056</v>
      </c>
      <c r="X197" s="372"/>
      <c r="Y197" s="285">
        <f t="shared" si="88"/>
        <v>3200000</v>
      </c>
      <c r="Z197" s="289" t="s">
        <v>1056</v>
      </c>
      <c r="AA197" s="289">
        <v>132000</v>
      </c>
      <c r="AB197" s="289">
        <v>16400</v>
      </c>
      <c r="AC197" s="289" t="s">
        <v>1056</v>
      </c>
      <c r="AD197" s="345"/>
      <c r="AE197" s="285">
        <f t="shared" si="89"/>
        <v>148400</v>
      </c>
      <c r="AF197" s="287">
        <v>0</v>
      </c>
    </row>
    <row r="198" spans="1:32" hidden="1">
      <c r="A198" s="300" t="s">
        <v>1075</v>
      </c>
      <c r="B198" s="301" t="s">
        <v>1073</v>
      </c>
      <c r="C198" s="1" t="s">
        <v>1080</v>
      </c>
      <c r="D198" s="1" t="s">
        <v>1056</v>
      </c>
      <c r="E198" s="1" t="s">
        <v>1081</v>
      </c>
      <c r="F198" s="283" t="s">
        <v>3</v>
      </c>
      <c r="G198" s="1" t="s">
        <v>1062</v>
      </c>
      <c r="H198" s="285">
        <v>0</v>
      </c>
      <c r="I198" s="285">
        <f t="shared" si="90"/>
        <v>9211280.6085119992</v>
      </c>
      <c r="J198" s="280">
        <f t="shared" si="86"/>
        <v>296840.68398561265</v>
      </c>
      <c r="K198" s="288">
        <v>0.99</v>
      </c>
      <c r="L198" s="285" t="s">
        <v>1056</v>
      </c>
      <c r="M198" s="340"/>
      <c r="N198" s="289" t="s">
        <v>1056</v>
      </c>
      <c r="O198" s="289">
        <v>0</v>
      </c>
      <c r="P198" s="366">
        <f t="shared" si="87"/>
        <v>0</v>
      </c>
      <c r="Q198" s="289" t="s">
        <v>1056</v>
      </c>
      <c r="R198" s="345"/>
      <c r="S198" s="289">
        <v>3000000</v>
      </c>
      <c r="T198" s="345"/>
      <c r="U198" s="289">
        <v>200000</v>
      </c>
      <c r="V198" s="372"/>
      <c r="W198" s="289" t="s">
        <v>1056</v>
      </c>
      <c r="X198" s="372"/>
      <c r="Y198" s="285">
        <f t="shared" si="88"/>
        <v>3200000</v>
      </c>
      <c r="Z198" s="289" t="s">
        <v>1056</v>
      </c>
      <c r="AA198" s="289">
        <v>132000</v>
      </c>
      <c r="AB198" s="289">
        <v>16400</v>
      </c>
      <c r="AC198" s="289">
        <f>I198*$C$284*$E$289</f>
        <v>356208.82078273513</v>
      </c>
      <c r="AD198" s="363">
        <f>J198*1.2*5</f>
        <v>1781044.103913676</v>
      </c>
      <c r="AE198" s="285">
        <f t="shared" si="89"/>
        <v>2285652.924696411</v>
      </c>
      <c r="AF198" s="287">
        <v>0</v>
      </c>
    </row>
    <row r="199" spans="1:32" hidden="1">
      <c r="A199" s="300" t="s">
        <v>1075</v>
      </c>
      <c r="B199" s="301" t="s">
        <v>1073</v>
      </c>
      <c r="C199" s="1" t="s">
        <v>1080</v>
      </c>
      <c r="D199" s="1" t="s">
        <v>1056</v>
      </c>
      <c r="E199" s="1" t="s">
        <v>1081</v>
      </c>
      <c r="F199" s="283" t="s">
        <v>3</v>
      </c>
      <c r="G199" s="1" t="s">
        <v>1063</v>
      </c>
      <c r="H199" s="285">
        <v>0</v>
      </c>
      <c r="I199" s="285">
        <f t="shared" si="90"/>
        <v>9211280.6085119992</v>
      </c>
      <c r="J199" s="280">
        <f t="shared" si="86"/>
        <v>296840.68398561265</v>
      </c>
      <c r="K199" s="288">
        <v>0</v>
      </c>
      <c r="L199" s="285" t="s">
        <v>1056</v>
      </c>
      <c r="M199" s="340"/>
      <c r="N199" s="289">
        <f t="shared" ref="N199:N205" si="91">$K$276</f>
        <v>140000</v>
      </c>
      <c r="O199" s="289">
        <v>0</v>
      </c>
      <c r="P199" s="366">
        <f t="shared" si="87"/>
        <v>140000</v>
      </c>
      <c r="Q199" s="289" t="s">
        <v>1056</v>
      </c>
      <c r="R199" s="345"/>
      <c r="S199" s="289">
        <v>3000000</v>
      </c>
      <c r="T199" s="345"/>
      <c r="U199" s="289" t="s">
        <v>1056</v>
      </c>
      <c r="V199" s="372"/>
      <c r="W199" s="286">
        <f>W200</f>
        <v>54000000</v>
      </c>
      <c r="X199" s="371"/>
      <c r="Y199" s="285">
        <f t="shared" si="88"/>
        <v>57000000</v>
      </c>
      <c r="Z199" s="289" t="s">
        <v>1056</v>
      </c>
      <c r="AA199" s="289">
        <v>132000</v>
      </c>
      <c r="AB199" s="289" t="s">
        <v>1056</v>
      </c>
      <c r="AC199" s="289" t="s">
        <v>1056</v>
      </c>
      <c r="AD199" s="345"/>
      <c r="AE199" s="285">
        <f t="shared" si="89"/>
        <v>132000</v>
      </c>
      <c r="AF199" s="287">
        <v>0</v>
      </c>
    </row>
    <row r="200" spans="1:32" hidden="1">
      <c r="A200" s="300" t="s">
        <v>1075</v>
      </c>
      <c r="B200" s="301" t="s">
        <v>1073</v>
      </c>
      <c r="C200" s="1" t="s">
        <v>1080</v>
      </c>
      <c r="D200" s="1" t="s">
        <v>1056</v>
      </c>
      <c r="E200" s="1" t="s">
        <v>1081</v>
      </c>
      <c r="F200" s="283" t="s">
        <v>3</v>
      </c>
      <c r="G200" s="1" t="s">
        <v>1064</v>
      </c>
      <c r="H200" s="285">
        <v>0</v>
      </c>
      <c r="I200" s="285">
        <f t="shared" si="90"/>
        <v>9211280.6085119992</v>
      </c>
      <c r="J200" s="280">
        <f t="shared" si="86"/>
        <v>296840.68398561265</v>
      </c>
      <c r="K200" s="288">
        <v>0</v>
      </c>
      <c r="L200" s="285" t="s">
        <v>1056</v>
      </c>
      <c r="M200" s="340"/>
      <c r="N200" s="289">
        <f t="shared" si="91"/>
        <v>140000</v>
      </c>
      <c r="O200" s="289">
        <v>0</v>
      </c>
      <c r="P200" s="366">
        <f t="shared" si="87"/>
        <v>140000</v>
      </c>
      <c r="Q200" s="289" t="s">
        <v>1056</v>
      </c>
      <c r="R200" s="345"/>
      <c r="S200" s="289">
        <v>3000000</v>
      </c>
      <c r="T200" s="345"/>
      <c r="U200" s="289" t="s">
        <v>1056</v>
      </c>
      <c r="V200" s="372"/>
      <c r="W200" s="289">
        <v>54000000</v>
      </c>
      <c r="X200" s="372"/>
      <c r="Y200" s="285">
        <f t="shared" si="88"/>
        <v>57000000</v>
      </c>
      <c r="Z200" s="289" t="s">
        <v>1056</v>
      </c>
      <c r="AA200" s="289">
        <v>132000</v>
      </c>
      <c r="AB200" s="289" t="s">
        <v>1056</v>
      </c>
      <c r="AC200" s="289" t="s">
        <v>1056</v>
      </c>
      <c r="AD200" s="345"/>
      <c r="AE200" s="285">
        <f t="shared" si="89"/>
        <v>132000</v>
      </c>
      <c r="AF200" s="287">
        <v>0</v>
      </c>
    </row>
    <row r="201" spans="1:32" hidden="1">
      <c r="A201" s="300" t="s">
        <v>1075</v>
      </c>
      <c r="B201" s="301" t="s">
        <v>1074</v>
      </c>
      <c r="C201" s="1" t="s">
        <v>1080</v>
      </c>
      <c r="D201" s="1" t="s">
        <v>1056</v>
      </c>
      <c r="E201" s="1" t="s">
        <v>1081</v>
      </c>
      <c r="F201" s="283" t="s">
        <v>3</v>
      </c>
      <c r="G201" s="1" t="s">
        <v>1061</v>
      </c>
      <c r="H201" s="285">
        <v>1</v>
      </c>
      <c r="I201" s="285">
        <f t="shared" si="90"/>
        <v>9211280.6085119992</v>
      </c>
      <c r="J201" s="280">
        <f t="shared" si="86"/>
        <v>296840.68398561265</v>
      </c>
      <c r="K201" s="288">
        <v>0.35</v>
      </c>
      <c r="L201" s="285">
        <f>$J$276</f>
        <v>9300000</v>
      </c>
      <c r="M201" s="341"/>
      <c r="N201" s="289">
        <f t="shared" si="91"/>
        <v>140000</v>
      </c>
      <c r="O201" s="289">
        <v>0</v>
      </c>
      <c r="P201" s="366">
        <f t="shared" si="87"/>
        <v>140000</v>
      </c>
      <c r="Q201" s="289">
        <f>$H$276</f>
        <v>1022299.02</v>
      </c>
      <c r="R201" s="345"/>
      <c r="S201" s="289">
        <v>3000000</v>
      </c>
      <c r="T201" s="345"/>
      <c r="U201" s="289" t="s">
        <v>1056</v>
      </c>
      <c r="V201" s="372"/>
      <c r="W201" s="289" t="s">
        <v>1056</v>
      </c>
      <c r="X201" s="372"/>
      <c r="Y201" s="285">
        <f t="shared" si="88"/>
        <v>4022299.02</v>
      </c>
      <c r="Z201" s="289">
        <f>$I$276</f>
        <v>48218.498999999996</v>
      </c>
      <c r="AA201" s="289">
        <v>132000</v>
      </c>
      <c r="AB201" s="289" t="s">
        <v>1056</v>
      </c>
      <c r="AC201" s="289" t="s">
        <v>1056</v>
      </c>
      <c r="AD201" s="345"/>
      <c r="AE201" s="285">
        <f t="shared" si="89"/>
        <v>180218.49900000001</v>
      </c>
      <c r="AF201" s="287">
        <v>0</v>
      </c>
    </row>
    <row r="202" spans="1:32" hidden="1">
      <c r="A202" s="300" t="s">
        <v>1075</v>
      </c>
      <c r="B202" s="301" t="s">
        <v>1074</v>
      </c>
      <c r="C202" s="1" t="s">
        <v>1080</v>
      </c>
      <c r="D202" s="1" t="s">
        <v>1056</v>
      </c>
      <c r="E202" s="1" t="s">
        <v>1081</v>
      </c>
      <c r="F202" s="283" t="s">
        <v>3</v>
      </c>
      <c r="G202" s="1" t="s">
        <v>51</v>
      </c>
      <c r="H202" s="285">
        <v>0</v>
      </c>
      <c r="I202" s="285">
        <f t="shared" si="90"/>
        <v>9211280.6085119992</v>
      </c>
      <c r="J202" s="280">
        <f t="shared" si="86"/>
        <v>296840.68398561265</v>
      </c>
      <c r="K202" s="288">
        <v>0.99</v>
      </c>
      <c r="L202" s="285">
        <f>$J$276</f>
        <v>9300000</v>
      </c>
      <c r="M202" s="341"/>
      <c r="N202" s="289">
        <f t="shared" si="91"/>
        <v>140000</v>
      </c>
      <c r="O202" s="289">
        <v>0</v>
      </c>
      <c r="P202" s="366">
        <f t="shared" si="87"/>
        <v>140000</v>
      </c>
      <c r="Q202" s="289">
        <f>$H$276</f>
        <v>1022299.02</v>
      </c>
      <c r="R202" s="345"/>
      <c r="S202" s="289">
        <v>3000000</v>
      </c>
      <c r="T202" s="345"/>
      <c r="U202" s="289">
        <v>200000</v>
      </c>
      <c r="V202" s="372"/>
      <c r="W202" s="289" t="s">
        <v>1056</v>
      </c>
      <c r="X202" s="372"/>
      <c r="Y202" s="285">
        <f t="shared" si="88"/>
        <v>4222299.0199999996</v>
      </c>
      <c r="Z202" s="289">
        <f>$I$276</f>
        <v>48218.498999999996</v>
      </c>
      <c r="AA202" s="289">
        <v>132000</v>
      </c>
      <c r="AB202" s="289">
        <v>16400</v>
      </c>
      <c r="AC202" s="289" t="s">
        <v>1056</v>
      </c>
      <c r="AD202" s="345"/>
      <c r="AE202" s="285">
        <f t="shared" si="89"/>
        <v>196618.49900000001</v>
      </c>
      <c r="AF202" s="287">
        <v>0</v>
      </c>
    </row>
    <row r="203" spans="1:32" hidden="1">
      <c r="A203" s="300" t="s">
        <v>1075</v>
      </c>
      <c r="B203" s="301" t="s">
        <v>1074</v>
      </c>
      <c r="C203" s="1" t="s">
        <v>1080</v>
      </c>
      <c r="D203" s="1" t="s">
        <v>1056</v>
      </c>
      <c r="E203" s="1" t="s">
        <v>1081</v>
      </c>
      <c r="F203" s="283" t="s">
        <v>3</v>
      </c>
      <c r="G203" s="1" t="s">
        <v>1062</v>
      </c>
      <c r="H203" s="285">
        <v>0</v>
      </c>
      <c r="I203" s="285">
        <f t="shared" si="90"/>
        <v>9211280.6085119992</v>
      </c>
      <c r="J203" s="280">
        <f t="shared" si="86"/>
        <v>296840.68398561265</v>
      </c>
      <c r="K203" s="288">
        <v>0.99</v>
      </c>
      <c r="L203" s="285">
        <f>$J$276</f>
        <v>9300000</v>
      </c>
      <c r="M203" s="341"/>
      <c r="N203" s="289">
        <f t="shared" si="91"/>
        <v>140000</v>
      </c>
      <c r="O203" s="289">
        <v>0</v>
      </c>
      <c r="P203" s="366">
        <f t="shared" si="87"/>
        <v>140000</v>
      </c>
      <c r="Q203" s="289">
        <f>$H$276</f>
        <v>1022299.02</v>
      </c>
      <c r="R203" s="345"/>
      <c r="S203" s="289">
        <v>3000000</v>
      </c>
      <c r="T203" s="345"/>
      <c r="U203" s="289">
        <v>200000</v>
      </c>
      <c r="V203" s="372"/>
      <c r="W203" s="289" t="s">
        <v>1056</v>
      </c>
      <c r="X203" s="372"/>
      <c r="Y203" s="285">
        <f t="shared" si="88"/>
        <v>4222299.0199999996</v>
      </c>
      <c r="Z203" s="289">
        <f>$I$276</f>
        <v>48218.498999999996</v>
      </c>
      <c r="AA203" s="289">
        <v>132000</v>
      </c>
      <c r="AB203" s="289">
        <v>16400</v>
      </c>
      <c r="AC203" s="289">
        <f>I203*$C$284*$E$289</f>
        <v>356208.82078273513</v>
      </c>
      <c r="AD203" s="363">
        <f>J203*1.2*5</f>
        <v>1781044.103913676</v>
      </c>
      <c r="AE203" s="285">
        <f t="shared" si="89"/>
        <v>2333871.4236964108</v>
      </c>
      <c r="AF203" s="287">
        <v>0</v>
      </c>
    </row>
    <row r="204" spans="1:32" hidden="1">
      <c r="A204" s="300" t="s">
        <v>1075</v>
      </c>
      <c r="B204" s="301" t="s">
        <v>1074</v>
      </c>
      <c r="C204" s="1" t="s">
        <v>1080</v>
      </c>
      <c r="D204" s="1" t="s">
        <v>1056</v>
      </c>
      <c r="E204" s="1" t="s">
        <v>1081</v>
      </c>
      <c r="F204" s="283" t="s">
        <v>3</v>
      </c>
      <c r="G204" s="1" t="s">
        <v>1063</v>
      </c>
      <c r="H204" s="285">
        <v>0</v>
      </c>
      <c r="I204" s="285">
        <f t="shared" si="90"/>
        <v>9211280.6085119992</v>
      </c>
      <c r="J204" s="280">
        <f t="shared" si="86"/>
        <v>296840.68398561265</v>
      </c>
      <c r="K204" s="288">
        <v>0</v>
      </c>
      <c r="L204" s="285">
        <f>$J$276</f>
        <v>9300000</v>
      </c>
      <c r="M204" s="341"/>
      <c r="N204" s="289">
        <f t="shared" si="91"/>
        <v>140000</v>
      </c>
      <c r="O204" s="289">
        <v>0</v>
      </c>
      <c r="P204" s="366">
        <f t="shared" si="87"/>
        <v>140000</v>
      </c>
      <c r="Q204" s="289">
        <f>$H$276</f>
        <v>1022299.02</v>
      </c>
      <c r="R204" s="345"/>
      <c r="S204" s="289">
        <v>3000000</v>
      </c>
      <c r="T204" s="345"/>
      <c r="U204" s="289" t="s">
        <v>1056</v>
      </c>
      <c r="V204" s="372"/>
      <c r="W204" s="286">
        <f>W205</f>
        <v>54000000</v>
      </c>
      <c r="X204" s="371"/>
      <c r="Y204" s="285">
        <f t="shared" si="88"/>
        <v>58022299.020000003</v>
      </c>
      <c r="Z204" s="289">
        <f>$I$276</f>
        <v>48218.498999999996</v>
      </c>
      <c r="AA204" s="289">
        <v>132000</v>
      </c>
      <c r="AB204" s="289" t="s">
        <v>1056</v>
      </c>
      <c r="AC204" s="289" t="s">
        <v>1056</v>
      </c>
      <c r="AD204" s="345"/>
      <c r="AE204" s="285">
        <f t="shared" si="89"/>
        <v>180218.49900000001</v>
      </c>
      <c r="AF204" s="287">
        <v>0</v>
      </c>
    </row>
    <row r="205" spans="1:32" hidden="1">
      <c r="A205" s="300" t="s">
        <v>1075</v>
      </c>
      <c r="B205" s="301" t="s">
        <v>1074</v>
      </c>
      <c r="C205" s="1" t="s">
        <v>1080</v>
      </c>
      <c r="D205" s="1" t="s">
        <v>1056</v>
      </c>
      <c r="E205" s="1" t="s">
        <v>1081</v>
      </c>
      <c r="F205" s="283" t="s">
        <v>3</v>
      </c>
      <c r="G205" s="1" t="s">
        <v>1064</v>
      </c>
      <c r="H205" s="285">
        <v>0</v>
      </c>
      <c r="I205" s="285">
        <f t="shared" si="90"/>
        <v>9211280.6085119992</v>
      </c>
      <c r="J205" s="280">
        <f t="shared" si="86"/>
        <v>296840.68398561265</v>
      </c>
      <c r="K205" s="288">
        <v>0</v>
      </c>
      <c r="L205" s="285">
        <f>$J$276</f>
        <v>9300000</v>
      </c>
      <c r="M205" s="341"/>
      <c r="N205" s="289">
        <f t="shared" si="91"/>
        <v>140000</v>
      </c>
      <c r="O205" s="289">
        <v>0</v>
      </c>
      <c r="P205" s="366">
        <f t="shared" si="87"/>
        <v>140000</v>
      </c>
      <c r="Q205" s="289">
        <f>$H$276</f>
        <v>1022299.02</v>
      </c>
      <c r="R205" s="345"/>
      <c r="S205" s="289">
        <v>3000000</v>
      </c>
      <c r="T205" s="345"/>
      <c r="U205" s="289" t="s">
        <v>1056</v>
      </c>
      <c r="V205" s="372"/>
      <c r="W205" s="289">
        <v>54000000</v>
      </c>
      <c r="X205" s="372"/>
      <c r="Y205" s="285">
        <f t="shared" si="88"/>
        <v>58022299.020000003</v>
      </c>
      <c r="Z205" s="289">
        <f>$I$276</f>
        <v>48218.498999999996</v>
      </c>
      <c r="AA205" s="289">
        <v>132000</v>
      </c>
      <c r="AB205" s="289" t="s">
        <v>1056</v>
      </c>
      <c r="AC205" s="289" t="s">
        <v>1056</v>
      </c>
      <c r="AD205" s="345"/>
      <c r="AE205" s="285">
        <f t="shared" si="89"/>
        <v>180218.49900000001</v>
      </c>
      <c r="AF205" s="287">
        <v>0</v>
      </c>
    </row>
    <row r="206" spans="1:32" hidden="1">
      <c r="A206" s="300" t="s">
        <v>1075</v>
      </c>
      <c r="B206" s="301" t="s">
        <v>1073</v>
      </c>
      <c r="C206" s="1" t="s">
        <v>1082</v>
      </c>
      <c r="D206" s="1" t="s">
        <v>1056</v>
      </c>
      <c r="E206" s="1" t="s">
        <v>1083</v>
      </c>
      <c r="F206" s="307" t="s">
        <v>3</v>
      </c>
      <c r="G206" s="1" t="s">
        <v>1092</v>
      </c>
      <c r="H206" s="285">
        <v>17</v>
      </c>
      <c r="I206" s="285">
        <f t="shared" ref="I206:I216" si="92">$F$277</f>
        <v>6647382.3920639995</v>
      </c>
      <c r="J206" s="280">
        <f t="shared" si="86"/>
        <v>214217.06924776343</v>
      </c>
      <c r="K206" s="288">
        <v>0</v>
      </c>
      <c r="L206" s="285" t="s">
        <v>1056</v>
      </c>
      <c r="M206" s="340"/>
      <c r="N206" s="289" t="s">
        <v>1056</v>
      </c>
      <c r="O206" s="289">
        <v>0</v>
      </c>
      <c r="P206" s="366">
        <f>SUM(N206:O206)</f>
        <v>0</v>
      </c>
      <c r="Q206" s="289" t="s">
        <v>1056</v>
      </c>
      <c r="R206" s="345"/>
      <c r="S206" s="286" t="s">
        <v>1056</v>
      </c>
      <c r="T206" s="344"/>
      <c r="U206" s="286" t="s">
        <v>1056</v>
      </c>
      <c r="V206" s="371"/>
      <c r="W206" s="286" t="s">
        <v>1056</v>
      </c>
      <c r="X206" s="371"/>
      <c r="Y206" s="285" t="s">
        <v>1056</v>
      </c>
      <c r="Z206" s="289" t="s">
        <v>1056</v>
      </c>
      <c r="AA206" s="286" t="s">
        <v>1056</v>
      </c>
      <c r="AB206" s="289" t="s">
        <v>1056</v>
      </c>
      <c r="AC206" s="286" t="s">
        <v>1056</v>
      </c>
      <c r="AD206" s="344"/>
      <c r="AE206" s="285" t="s">
        <v>1056</v>
      </c>
      <c r="AF206" s="287" t="s">
        <v>1056</v>
      </c>
    </row>
    <row r="207" spans="1:32" hidden="1">
      <c r="A207" s="300" t="s">
        <v>1075</v>
      </c>
      <c r="B207" s="301" t="s">
        <v>1073</v>
      </c>
      <c r="C207" s="1" t="s">
        <v>1082</v>
      </c>
      <c r="D207" s="1" t="s">
        <v>1056</v>
      </c>
      <c r="E207" s="1" t="s">
        <v>1083</v>
      </c>
      <c r="F207" s="283" t="s">
        <v>3</v>
      </c>
      <c r="G207" s="1" t="s">
        <v>1061</v>
      </c>
      <c r="H207" s="285">
        <v>0</v>
      </c>
      <c r="I207" s="285">
        <f t="shared" si="92"/>
        <v>6647382.3920639995</v>
      </c>
      <c r="J207" s="280">
        <f t="shared" si="86"/>
        <v>214217.06924776343</v>
      </c>
      <c r="K207" s="288">
        <v>0.35</v>
      </c>
      <c r="L207" s="285" t="s">
        <v>1056</v>
      </c>
      <c r="M207" s="340"/>
      <c r="N207" s="289" t="s">
        <v>1056</v>
      </c>
      <c r="O207" s="289">
        <v>0</v>
      </c>
      <c r="P207" s="366">
        <f t="shared" ref="P207:P216" si="93">SUM(N207:O207)</f>
        <v>0</v>
      </c>
      <c r="Q207" s="289" t="s">
        <v>1056</v>
      </c>
      <c r="R207" s="345"/>
      <c r="S207" s="289">
        <v>3000000</v>
      </c>
      <c r="T207" s="345"/>
      <c r="U207" s="289" t="s">
        <v>1056</v>
      </c>
      <c r="V207" s="372"/>
      <c r="W207" s="289" t="s">
        <v>1056</v>
      </c>
      <c r="X207" s="372"/>
      <c r="Y207" s="285">
        <f t="shared" ref="Y207:Y216" si="94">SUM(Q207:W207)</f>
        <v>3000000</v>
      </c>
      <c r="Z207" s="289" t="s">
        <v>1056</v>
      </c>
      <c r="AA207" s="289">
        <v>132000</v>
      </c>
      <c r="AB207" s="289" t="s">
        <v>1056</v>
      </c>
      <c r="AC207" s="289" t="s">
        <v>1056</v>
      </c>
      <c r="AD207" s="345"/>
      <c r="AE207" s="285">
        <f t="shared" ref="AE207:AE216" si="95">SUM(Z207:AD207)</f>
        <v>132000</v>
      </c>
      <c r="AF207" s="287">
        <v>0</v>
      </c>
    </row>
    <row r="208" spans="1:32" hidden="1">
      <c r="A208" s="300" t="s">
        <v>1075</v>
      </c>
      <c r="B208" s="301" t="s">
        <v>1073</v>
      </c>
      <c r="C208" s="1" t="s">
        <v>1082</v>
      </c>
      <c r="D208" s="1" t="s">
        <v>1056</v>
      </c>
      <c r="E208" s="1" t="s">
        <v>1083</v>
      </c>
      <c r="F208" s="283" t="s">
        <v>3</v>
      </c>
      <c r="G208" s="1" t="s">
        <v>51</v>
      </c>
      <c r="H208" s="285">
        <v>0</v>
      </c>
      <c r="I208" s="285">
        <f t="shared" si="92"/>
        <v>6647382.3920639995</v>
      </c>
      <c r="J208" s="280">
        <f t="shared" si="86"/>
        <v>214217.06924776343</v>
      </c>
      <c r="K208" s="288">
        <v>0.99</v>
      </c>
      <c r="L208" s="285" t="s">
        <v>1056</v>
      </c>
      <c r="M208" s="340"/>
      <c r="N208" s="289" t="s">
        <v>1056</v>
      </c>
      <c r="O208" s="289">
        <v>0</v>
      </c>
      <c r="P208" s="366">
        <f t="shared" si="93"/>
        <v>0</v>
      </c>
      <c r="Q208" s="289" t="s">
        <v>1056</v>
      </c>
      <c r="R208" s="345"/>
      <c r="S208" s="289">
        <v>3000000</v>
      </c>
      <c r="T208" s="345"/>
      <c r="U208" s="289">
        <v>200000</v>
      </c>
      <c r="V208" s="372"/>
      <c r="W208" s="289" t="s">
        <v>1056</v>
      </c>
      <c r="X208" s="372"/>
      <c r="Y208" s="285">
        <f t="shared" si="94"/>
        <v>3200000</v>
      </c>
      <c r="Z208" s="289" t="s">
        <v>1056</v>
      </c>
      <c r="AA208" s="289">
        <v>132000</v>
      </c>
      <c r="AB208" s="289">
        <v>16400</v>
      </c>
      <c r="AC208" s="289" t="s">
        <v>1056</v>
      </c>
      <c r="AD208" s="345"/>
      <c r="AE208" s="285">
        <f t="shared" si="95"/>
        <v>148400</v>
      </c>
      <c r="AF208" s="287">
        <v>0</v>
      </c>
    </row>
    <row r="209" spans="1:32" hidden="1">
      <c r="A209" s="300" t="s">
        <v>1075</v>
      </c>
      <c r="B209" s="301" t="s">
        <v>1073</v>
      </c>
      <c r="C209" s="1" t="s">
        <v>1082</v>
      </c>
      <c r="D209" s="1" t="s">
        <v>1056</v>
      </c>
      <c r="E209" s="1" t="s">
        <v>1083</v>
      </c>
      <c r="F209" s="283" t="s">
        <v>3</v>
      </c>
      <c r="G209" s="1" t="s">
        <v>1062</v>
      </c>
      <c r="H209" s="285">
        <v>0</v>
      </c>
      <c r="I209" s="285">
        <f t="shared" si="92"/>
        <v>6647382.3920639995</v>
      </c>
      <c r="J209" s="280">
        <f t="shared" si="86"/>
        <v>214217.06924776343</v>
      </c>
      <c r="K209" s="288">
        <v>0.99</v>
      </c>
      <c r="L209" s="285" t="s">
        <v>1056</v>
      </c>
      <c r="M209" s="340"/>
      <c r="N209" s="289" t="s">
        <v>1056</v>
      </c>
      <c r="O209" s="289">
        <v>0</v>
      </c>
      <c r="P209" s="366">
        <f t="shared" si="93"/>
        <v>0</v>
      </c>
      <c r="Q209" s="289" t="s">
        <v>1056</v>
      </c>
      <c r="R209" s="345"/>
      <c r="S209" s="289">
        <v>3000000</v>
      </c>
      <c r="T209" s="345"/>
      <c r="U209" s="289">
        <v>200000</v>
      </c>
      <c r="V209" s="372"/>
      <c r="W209" s="289" t="s">
        <v>1056</v>
      </c>
      <c r="X209" s="372"/>
      <c r="Y209" s="285">
        <f t="shared" si="94"/>
        <v>3200000</v>
      </c>
      <c r="Z209" s="289" t="s">
        <v>1056</v>
      </c>
      <c r="AA209" s="289">
        <v>132000</v>
      </c>
      <c r="AB209" s="289">
        <v>16400</v>
      </c>
      <c r="AC209" s="289">
        <f>I209*$C$284*$E$289</f>
        <v>257060.48309731612</v>
      </c>
      <c r="AD209" s="363">
        <f>J209*1.2*5</f>
        <v>1285302.4154865807</v>
      </c>
      <c r="AE209" s="285">
        <f t="shared" si="95"/>
        <v>1690762.8985838969</v>
      </c>
      <c r="AF209" s="287">
        <v>0</v>
      </c>
    </row>
    <row r="210" spans="1:32" hidden="1">
      <c r="A210" s="300" t="s">
        <v>1075</v>
      </c>
      <c r="B210" s="301" t="s">
        <v>1073</v>
      </c>
      <c r="C210" s="1" t="s">
        <v>1082</v>
      </c>
      <c r="D210" s="1" t="s">
        <v>1056</v>
      </c>
      <c r="E210" s="1" t="s">
        <v>1083</v>
      </c>
      <c r="F210" s="283" t="s">
        <v>3</v>
      </c>
      <c r="G210" s="1" t="s">
        <v>1063</v>
      </c>
      <c r="H210" s="285">
        <v>0</v>
      </c>
      <c r="I210" s="285">
        <f t="shared" si="92"/>
        <v>6647382.3920639995</v>
      </c>
      <c r="J210" s="280">
        <f t="shared" si="86"/>
        <v>214217.06924776343</v>
      </c>
      <c r="K210" s="288">
        <v>0</v>
      </c>
      <c r="L210" s="285" t="s">
        <v>1056</v>
      </c>
      <c r="M210" s="340"/>
      <c r="N210" s="289">
        <f t="shared" ref="N210:N216" si="96">$K$277</f>
        <v>130000</v>
      </c>
      <c r="O210" s="289">
        <v>0</v>
      </c>
      <c r="P210" s="366">
        <f t="shared" si="93"/>
        <v>130000</v>
      </c>
      <c r="Q210" s="289" t="s">
        <v>1056</v>
      </c>
      <c r="R210" s="345"/>
      <c r="S210" s="289">
        <v>3000000</v>
      </c>
      <c r="T210" s="345"/>
      <c r="U210" s="289" t="s">
        <v>1056</v>
      </c>
      <c r="V210" s="372"/>
      <c r="W210" s="286">
        <f>W211</f>
        <v>54000000</v>
      </c>
      <c r="X210" s="371"/>
      <c r="Y210" s="285">
        <f t="shared" si="94"/>
        <v>57000000</v>
      </c>
      <c r="Z210" s="289" t="s">
        <v>1056</v>
      </c>
      <c r="AA210" s="289">
        <v>132000</v>
      </c>
      <c r="AB210" s="289" t="s">
        <v>1056</v>
      </c>
      <c r="AC210" s="289" t="s">
        <v>1056</v>
      </c>
      <c r="AD210" s="345"/>
      <c r="AE210" s="285">
        <f t="shared" si="95"/>
        <v>132000</v>
      </c>
      <c r="AF210" s="287">
        <v>0</v>
      </c>
    </row>
    <row r="211" spans="1:32" ht="14.25" hidden="1" customHeight="1">
      <c r="A211" s="300" t="s">
        <v>1075</v>
      </c>
      <c r="B211" s="301" t="s">
        <v>1073</v>
      </c>
      <c r="C211" s="1" t="s">
        <v>1082</v>
      </c>
      <c r="D211" s="1" t="s">
        <v>1056</v>
      </c>
      <c r="E211" s="1" t="s">
        <v>1083</v>
      </c>
      <c r="F211" s="283" t="s">
        <v>3</v>
      </c>
      <c r="G211" s="1" t="s">
        <v>1064</v>
      </c>
      <c r="H211" s="285">
        <v>0</v>
      </c>
      <c r="I211" s="285">
        <f t="shared" si="92"/>
        <v>6647382.3920639995</v>
      </c>
      <c r="J211" s="280">
        <f t="shared" si="86"/>
        <v>214217.06924776343</v>
      </c>
      <c r="K211" s="288">
        <v>0</v>
      </c>
      <c r="L211" s="285" t="s">
        <v>1056</v>
      </c>
      <c r="M211" s="340"/>
      <c r="N211" s="289">
        <f t="shared" si="96"/>
        <v>130000</v>
      </c>
      <c r="O211" s="289">
        <v>0</v>
      </c>
      <c r="P211" s="366">
        <f t="shared" si="93"/>
        <v>130000</v>
      </c>
      <c r="Q211" s="289" t="s">
        <v>1056</v>
      </c>
      <c r="R211" s="345"/>
      <c r="S211" s="289">
        <v>3000000</v>
      </c>
      <c r="T211" s="345"/>
      <c r="U211" s="289" t="s">
        <v>1056</v>
      </c>
      <c r="V211" s="372"/>
      <c r="W211" s="289">
        <v>54000000</v>
      </c>
      <c r="X211" s="372"/>
      <c r="Y211" s="285">
        <f t="shared" si="94"/>
        <v>57000000</v>
      </c>
      <c r="Z211" s="289" t="s">
        <v>1056</v>
      </c>
      <c r="AA211" s="289">
        <v>132000</v>
      </c>
      <c r="AB211" s="289" t="s">
        <v>1056</v>
      </c>
      <c r="AC211" s="289" t="s">
        <v>1056</v>
      </c>
      <c r="AD211" s="345"/>
      <c r="AE211" s="285">
        <f t="shared" si="95"/>
        <v>132000</v>
      </c>
      <c r="AF211" s="287">
        <v>0</v>
      </c>
    </row>
    <row r="212" spans="1:32" ht="14.25" hidden="1" customHeight="1">
      <c r="A212" s="300" t="s">
        <v>1075</v>
      </c>
      <c r="B212" s="301" t="s">
        <v>1074</v>
      </c>
      <c r="C212" s="1" t="s">
        <v>1082</v>
      </c>
      <c r="D212" s="1" t="s">
        <v>1056</v>
      </c>
      <c r="E212" s="1" t="s">
        <v>1083</v>
      </c>
      <c r="F212" s="283" t="s">
        <v>3</v>
      </c>
      <c r="G212" s="1" t="s">
        <v>1061</v>
      </c>
      <c r="H212" s="285">
        <v>1</v>
      </c>
      <c r="I212" s="285">
        <f t="shared" si="92"/>
        <v>6647382.3920639995</v>
      </c>
      <c r="J212" s="280">
        <f t="shared" si="86"/>
        <v>214217.06924776343</v>
      </c>
      <c r="K212" s="288">
        <v>0.35</v>
      </c>
      <c r="L212" s="285">
        <f>$J$277</f>
        <v>7000000</v>
      </c>
      <c r="M212" s="341"/>
      <c r="N212" s="289">
        <f t="shared" si="96"/>
        <v>130000</v>
      </c>
      <c r="O212" s="289">
        <v>0</v>
      </c>
      <c r="P212" s="366">
        <f t="shared" si="93"/>
        <v>130000</v>
      </c>
      <c r="Q212" s="289">
        <f>$H$277</f>
        <v>737748.94000000006</v>
      </c>
      <c r="R212" s="345"/>
      <c r="S212" s="289">
        <v>3000000</v>
      </c>
      <c r="T212" s="345"/>
      <c r="U212" s="289" t="s">
        <v>1056</v>
      </c>
      <c r="V212" s="372"/>
      <c r="W212" s="289" t="s">
        <v>1056</v>
      </c>
      <c r="X212" s="372"/>
      <c r="Y212" s="285">
        <f t="shared" si="94"/>
        <v>3737748.94</v>
      </c>
      <c r="Z212" s="289">
        <f>$I$277</f>
        <v>34797.203000000001</v>
      </c>
      <c r="AA212" s="289">
        <v>132000</v>
      </c>
      <c r="AB212" s="289" t="s">
        <v>1056</v>
      </c>
      <c r="AC212" s="289" t="s">
        <v>1056</v>
      </c>
      <c r="AD212" s="345"/>
      <c r="AE212" s="285">
        <f t="shared" si="95"/>
        <v>166797.20300000001</v>
      </c>
      <c r="AF212" s="287">
        <v>0</v>
      </c>
    </row>
    <row r="213" spans="1:32" ht="14.25" hidden="1" customHeight="1">
      <c r="A213" s="300" t="s">
        <v>1075</v>
      </c>
      <c r="B213" s="301" t="s">
        <v>1074</v>
      </c>
      <c r="C213" s="1" t="s">
        <v>1082</v>
      </c>
      <c r="D213" s="1" t="s">
        <v>1056</v>
      </c>
      <c r="E213" s="1" t="s">
        <v>1083</v>
      </c>
      <c r="F213" s="283" t="s">
        <v>3</v>
      </c>
      <c r="G213" s="1" t="s">
        <v>51</v>
      </c>
      <c r="H213" s="285">
        <v>0</v>
      </c>
      <c r="I213" s="285">
        <f t="shared" si="92"/>
        <v>6647382.3920639995</v>
      </c>
      <c r="J213" s="280">
        <f t="shared" si="86"/>
        <v>214217.06924776343</v>
      </c>
      <c r="K213" s="288">
        <v>0.99</v>
      </c>
      <c r="L213" s="285">
        <f>$J$277</f>
        <v>7000000</v>
      </c>
      <c r="M213" s="341"/>
      <c r="N213" s="289">
        <f t="shared" si="96"/>
        <v>130000</v>
      </c>
      <c r="O213" s="289">
        <v>0</v>
      </c>
      <c r="P213" s="366">
        <f t="shared" si="93"/>
        <v>130000</v>
      </c>
      <c r="Q213" s="289">
        <f>$H$277</f>
        <v>737748.94000000006</v>
      </c>
      <c r="R213" s="345"/>
      <c r="S213" s="289">
        <v>3000000</v>
      </c>
      <c r="T213" s="345"/>
      <c r="U213" s="289">
        <v>200000</v>
      </c>
      <c r="V213" s="372"/>
      <c r="W213" s="289" t="s">
        <v>1056</v>
      </c>
      <c r="X213" s="372"/>
      <c r="Y213" s="285">
        <f t="shared" si="94"/>
        <v>3937748.94</v>
      </c>
      <c r="Z213" s="289">
        <f>$I$277</f>
        <v>34797.203000000001</v>
      </c>
      <c r="AA213" s="289">
        <v>132000</v>
      </c>
      <c r="AB213" s="289">
        <v>16400</v>
      </c>
      <c r="AC213" s="289" t="s">
        <v>1056</v>
      </c>
      <c r="AD213" s="345"/>
      <c r="AE213" s="285">
        <f t="shared" si="95"/>
        <v>183197.20300000001</v>
      </c>
      <c r="AF213" s="287">
        <v>0</v>
      </c>
    </row>
    <row r="214" spans="1:32" ht="14.25" hidden="1" customHeight="1">
      <c r="A214" s="300" t="s">
        <v>1075</v>
      </c>
      <c r="B214" s="301" t="s">
        <v>1074</v>
      </c>
      <c r="C214" s="1" t="s">
        <v>1082</v>
      </c>
      <c r="D214" s="1" t="s">
        <v>1056</v>
      </c>
      <c r="E214" s="1" t="s">
        <v>1083</v>
      </c>
      <c r="F214" s="283" t="s">
        <v>3</v>
      </c>
      <c r="G214" s="1" t="s">
        <v>1062</v>
      </c>
      <c r="H214" s="285">
        <v>0</v>
      </c>
      <c r="I214" s="285">
        <f t="shared" si="92"/>
        <v>6647382.3920639995</v>
      </c>
      <c r="J214" s="280">
        <f t="shared" si="86"/>
        <v>214217.06924776343</v>
      </c>
      <c r="K214" s="288">
        <v>0.99</v>
      </c>
      <c r="L214" s="285">
        <f>$J$277</f>
        <v>7000000</v>
      </c>
      <c r="M214" s="341"/>
      <c r="N214" s="289">
        <f t="shared" si="96"/>
        <v>130000</v>
      </c>
      <c r="O214" s="289">
        <v>0</v>
      </c>
      <c r="P214" s="366">
        <f t="shared" si="93"/>
        <v>130000</v>
      </c>
      <c r="Q214" s="289">
        <f>$H$277</f>
        <v>737748.94000000006</v>
      </c>
      <c r="R214" s="345"/>
      <c r="S214" s="289">
        <v>3000000</v>
      </c>
      <c r="T214" s="345"/>
      <c r="U214" s="289">
        <v>200000</v>
      </c>
      <c r="V214" s="372"/>
      <c r="W214" s="289" t="s">
        <v>1056</v>
      </c>
      <c r="X214" s="372"/>
      <c r="Y214" s="285">
        <f t="shared" si="94"/>
        <v>3937748.94</v>
      </c>
      <c r="Z214" s="289">
        <f>$I$277</f>
        <v>34797.203000000001</v>
      </c>
      <c r="AA214" s="289">
        <v>132000</v>
      </c>
      <c r="AB214" s="289">
        <v>16400</v>
      </c>
      <c r="AC214" s="289">
        <f>I214*$C$284*$E$289</f>
        <v>257060.48309731612</v>
      </c>
      <c r="AD214" s="363">
        <f>J214*1.2*5</f>
        <v>1285302.4154865807</v>
      </c>
      <c r="AE214" s="285">
        <f t="shared" si="95"/>
        <v>1725560.1015838967</v>
      </c>
      <c r="AF214" s="287">
        <v>0</v>
      </c>
    </row>
    <row r="215" spans="1:32" ht="14.25" hidden="1" customHeight="1">
      <c r="A215" s="300" t="s">
        <v>1075</v>
      </c>
      <c r="B215" s="301" t="s">
        <v>1074</v>
      </c>
      <c r="C215" s="1" t="s">
        <v>1082</v>
      </c>
      <c r="D215" s="1" t="s">
        <v>1056</v>
      </c>
      <c r="E215" s="1" t="s">
        <v>1083</v>
      </c>
      <c r="F215" s="283" t="s">
        <v>3</v>
      </c>
      <c r="G215" s="1" t="s">
        <v>1063</v>
      </c>
      <c r="H215" s="285">
        <v>0</v>
      </c>
      <c r="I215" s="285">
        <f t="shared" si="92"/>
        <v>6647382.3920639995</v>
      </c>
      <c r="J215" s="280">
        <f t="shared" si="86"/>
        <v>214217.06924776343</v>
      </c>
      <c r="K215" s="288">
        <v>0</v>
      </c>
      <c r="L215" s="285">
        <f>$J$277</f>
        <v>7000000</v>
      </c>
      <c r="M215" s="341"/>
      <c r="N215" s="289">
        <f t="shared" si="96"/>
        <v>130000</v>
      </c>
      <c r="O215" s="289">
        <v>0</v>
      </c>
      <c r="P215" s="366">
        <f t="shared" si="93"/>
        <v>130000</v>
      </c>
      <c r="Q215" s="289">
        <f>$H$277</f>
        <v>737748.94000000006</v>
      </c>
      <c r="R215" s="345"/>
      <c r="S215" s="289">
        <v>3000000</v>
      </c>
      <c r="T215" s="345"/>
      <c r="U215" s="289" t="s">
        <v>1056</v>
      </c>
      <c r="V215" s="372"/>
      <c r="W215" s="286">
        <f>W216</f>
        <v>54000000</v>
      </c>
      <c r="X215" s="371"/>
      <c r="Y215" s="285">
        <f t="shared" si="94"/>
        <v>57737748.939999998</v>
      </c>
      <c r="Z215" s="289">
        <f>$I$277</f>
        <v>34797.203000000001</v>
      </c>
      <c r="AA215" s="289">
        <v>132000</v>
      </c>
      <c r="AB215" s="289" t="s">
        <v>1056</v>
      </c>
      <c r="AC215" s="289" t="s">
        <v>1056</v>
      </c>
      <c r="AD215" s="345"/>
      <c r="AE215" s="285">
        <f t="shared" si="95"/>
        <v>166797.20300000001</v>
      </c>
      <c r="AF215" s="287">
        <v>0</v>
      </c>
    </row>
    <row r="216" spans="1:32" ht="14.25" hidden="1" customHeight="1">
      <c r="A216" s="300" t="s">
        <v>1075</v>
      </c>
      <c r="B216" s="301" t="s">
        <v>1074</v>
      </c>
      <c r="C216" s="1" t="s">
        <v>1082</v>
      </c>
      <c r="D216" s="1" t="s">
        <v>1056</v>
      </c>
      <c r="E216" s="1" t="s">
        <v>1083</v>
      </c>
      <c r="F216" s="283" t="s">
        <v>3</v>
      </c>
      <c r="G216" s="1" t="s">
        <v>1064</v>
      </c>
      <c r="H216" s="285">
        <v>0</v>
      </c>
      <c r="I216" s="285">
        <f t="shared" si="92"/>
        <v>6647382.3920639995</v>
      </c>
      <c r="J216" s="280">
        <f t="shared" si="86"/>
        <v>214217.06924776343</v>
      </c>
      <c r="K216" s="288">
        <v>0</v>
      </c>
      <c r="L216" s="285">
        <f>$J$277</f>
        <v>7000000</v>
      </c>
      <c r="M216" s="341"/>
      <c r="N216" s="289">
        <f t="shared" si="96"/>
        <v>130000</v>
      </c>
      <c r="O216" s="289">
        <v>0</v>
      </c>
      <c r="P216" s="366">
        <f t="shared" si="93"/>
        <v>130000</v>
      </c>
      <c r="Q216" s="289">
        <f>$H$277</f>
        <v>737748.94000000006</v>
      </c>
      <c r="R216" s="345"/>
      <c r="S216" s="289">
        <v>3000000</v>
      </c>
      <c r="T216" s="345"/>
      <c r="U216" s="289" t="s">
        <v>1056</v>
      </c>
      <c r="V216" s="372"/>
      <c r="W216" s="289">
        <v>54000000</v>
      </c>
      <c r="X216" s="372"/>
      <c r="Y216" s="285">
        <f t="shared" si="94"/>
        <v>57737748.939999998</v>
      </c>
      <c r="Z216" s="289">
        <f>$I$277</f>
        <v>34797.203000000001</v>
      </c>
      <c r="AA216" s="289">
        <v>132000</v>
      </c>
      <c r="AB216" s="289" t="s">
        <v>1056</v>
      </c>
      <c r="AC216" s="289" t="s">
        <v>1056</v>
      </c>
      <c r="AD216" s="345"/>
      <c r="AE216" s="285">
        <f t="shared" si="95"/>
        <v>166797.20300000001</v>
      </c>
      <c r="AF216" s="287">
        <v>0</v>
      </c>
    </row>
    <row r="217" spans="1:32" hidden="1">
      <c r="A217" s="300" t="s">
        <v>1075</v>
      </c>
      <c r="B217" s="301" t="s">
        <v>1073</v>
      </c>
      <c r="C217" s="1" t="s">
        <v>1084</v>
      </c>
      <c r="D217" s="1" t="s">
        <v>1056</v>
      </c>
      <c r="E217" s="1" t="s">
        <v>1085</v>
      </c>
      <c r="F217" s="307" t="s">
        <v>3</v>
      </c>
      <c r="G217" s="1" t="s">
        <v>1092</v>
      </c>
      <c r="H217" s="285">
        <v>82</v>
      </c>
      <c r="I217" s="285">
        <f t="shared" ref="I217:I227" si="97">$F$278</f>
        <v>3435067.9664639998</v>
      </c>
      <c r="J217" s="280">
        <f t="shared" si="86"/>
        <v>110697.73770218031</v>
      </c>
      <c r="K217" s="288">
        <v>0</v>
      </c>
      <c r="L217" s="285" t="s">
        <v>1056</v>
      </c>
      <c r="M217" s="340"/>
      <c r="N217" s="289" t="s">
        <v>1056</v>
      </c>
      <c r="O217" s="289">
        <v>0</v>
      </c>
      <c r="P217" s="366">
        <f>SUM(N217:O217)</f>
        <v>0</v>
      </c>
      <c r="Q217" s="289" t="s">
        <v>1056</v>
      </c>
      <c r="R217" s="345"/>
      <c r="S217" s="286" t="s">
        <v>1056</v>
      </c>
      <c r="T217" s="344"/>
      <c r="U217" s="289" t="s">
        <v>1056</v>
      </c>
      <c r="V217" s="372"/>
      <c r="W217" s="286" t="s">
        <v>1056</v>
      </c>
      <c r="X217" s="371"/>
      <c r="Y217" s="285" t="s">
        <v>1056</v>
      </c>
      <c r="Z217" s="289" t="s">
        <v>1056</v>
      </c>
      <c r="AA217" s="289" t="s">
        <v>1056</v>
      </c>
      <c r="AB217" s="289" t="s">
        <v>1056</v>
      </c>
      <c r="AC217" s="286" t="s">
        <v>1056</v>
      </c>
      <c r="AD217" s="344"/>
      <c r="AE217" s="285" t="s">
        <v>1056</v>
      </c>
      <c r="AF217" s="287" t="s">
        <v>1056</v>
      </c>
    </row>
    <row r="218" spans="1:32" hidden="1">
      <c r="A218" s="300" t="s">
        <v>1075</v>
      </c>
      <c r="B218" s="301" t="s">
        <v>1073</v>
      </c>
      <c r="C218" s="1" t="s">
        <v>1084</v>
      </c>
      <c r="D218" s="1" t="s">
        <v>1056</v>
      </c>
      <c r="E218" s="1" t="s">
        <v>1085</v>
      </c>
      <c r="F218" s="283" t="s">
        <v>3</v>
      </c>
      <c r="G218" s="1" t="s">
        <v>1061</v>
      </c>
      <c r="H218" s="285">
        <v>0</v>
      </c>
      <c r="I218" s="285">
        <f t="shared" si="97"/>
        <v>3435067.9664639998</v>
      </c>
      <c r="J218" s="280">
        <f t="shared" si="86"/>
        <v>110697.73770218031</v>
      </c>
      <c r="K218" s="288">
        <v>0.35</v>
      </c>
      <c r="L218" s="285" t="s">
        <v>1056</v>
      </c>
      <c r="M218" s="340"/>
      <c r="N218" s="289" t="s">
        <v>1056</v>
      </c>
      <c r="O218" s="289">
        <v>0</v>
      </c>
      <c r="P218" s="366">
        <f t="shared" ref="P218:P227" si="98">SUM(N218:O218)</f>
        <v>0</v>
      </c>
      <c r="Q218" s="289" t="s">
        <v>1056</v>
      </c>
      <c r="R218" s="345"/>
      <c r="S218" s="289">
        <v>2270000</v>
      </c>
      <c r="T218" s="345"/>
      <c r="U218" s="289" t="s">
        <v>1056</v>
      </c>
      <c r="V218" s="372"/>
      <c r="W218" s="289" t="s">
        <v>1056</v>
      </c>
      <c r="X218" s="372"/>
      <c r="Y218" s="285">
        <f t="shared" ref="Y218:Y227" si="99">SUM(Q218:W218)</f>
        <v>2270000</v>
      </c>
      <c r="Z218" s="289" t="s">
        <v>1056</v>
      </c>
      <c r="AA218" s="289">
        <v>86600</v>
      </c>
      <c r="AB218" s="289" t="s">
        <v>1056</v>
      </c>
      <c r="AC218" s="289" t="s">
        <v>1056</v>
      </c>
      <c r="AD218" s="345"/>
      <c r="AE218" s="285">
        <f t="shared" ref="AE218:AE227" si="100">SUM(Z218:AD218)</f>
        <v>86600</v>
      </c>
      <c r="AF218" s="287">
        <v>0</v>
      </c>
    </row>
    <row r="219" spans="1:32" hidden="1">
      <c r="A219" s="300" t="s">
        <v>1075</v>
      </c>
      <c r="B219" s="301" t="s">
        <v>1073</v>
      </c>
      <c r="C219" s="1" t="s">
        <v>1084</v>
      </c>
      <c r="D219" s="1" t="s">
        <v>1056</v>
      </c>
      <c r="E219" s="1" t="s">
        <v>1085</v>
      </c>
      <c r="F219" s="283" t="s">
        <v>3</v>
      </c>
      <c r="G219" s="1" t="s">
        <v>51</v>
      </c>
      <c r="H219" s="285">
        <v>0</v>
      </c>
      <c r="I219" s="285">
        <f t="shared" si="97"/>
        <v>3435067.9664639998</v>
      </c>
      <c r="J219" s="280">
        <f t="shared" si="86"/>
        <v>110697.73770218031</v>
      </c>
      <c r="K219" s="288">
        <v>0.99</v>
      </c>
      <c r="L219" s="285" t="s">
        <v>1056</v>
      </c>
      <c r="M219" s="340"/>
      <c r="N219" s="289" t="s">
        <v>1056</v>
      </c>
      <c r="O219" s="289">
        <v>0</v>
      </c>
      <c r="P219" s="366">
        <f t="shared" si="98"/>
        <v>0</v>
      </c>
      <c r="Q219" s="289" t="s">
        <v>1056</v>
      </c>
      <c r="R219" s="345"/>
      <c r="S219" s="289">
        <v>2270000</v>
      </c>
      <c r="T219" s="345"/>
      <c r="U219" s="289">
        <v>200000</v>
      </c>
      <c r="V219" s="372"/>
      <c r="W219" s="289" t="s">
        <v>1056</v>
      </c>
      <c r="X219" s="372"/>
      <c r="Y219" s="285">
        <f t="shared" si="99"/>
        <v>2470000</v>
      </c>
      <c r="Z219" s="289" t="s">
        <v>1056</v>
      </c>
      <c r="AA219" s="289">
        <v>86600</v>
      </c>
      <c r="AB219" s="289">
        <v>16400</v>
      </c>
      <c r="AC219" s="289" t="s">
        <v>1056</v>
      </c>
      <c r="AD219" s="345"/>
      <c r="AE219" s="285">
        <f t="shared" si="100"/>
        <v>103000</v>
      </c>
      <c r="AF219" s="287">
        <v>0</v>
      </c>
    </row>
    <row r="220" spans="1:32" hidden="1">
      <c r="A220" s="300" t="s">
        <v>1075</v>
      </c>
      <c r="B220" s="301" t="s">
        <v>1073</v>
      </c>
      <c r="C220" s="1" t="s">
        <v>1084</v>
      </c>
      <c r="D220" s="1" t="s">
        <v>1056</v>
      </c>
      <c r="E220" s="1" t="s">
        <v>1085</v>
      </c>
      <c r="F220" s="283" t="s">
        <v>3</v>
      </c>
      <c r="G220" s="1" t="s">
        <v>1062</v>
      </c>
      <c r="H220" s="285">
        <v>0</v>
      </c>
      <c r="I220" s="285">
        <f t="shared" si="97"/>
        <v>3435067.9664639998</v>
      </c>
      <c r="J220" s="280">
        <f t="shared" si="86"/>
        <v>110697.73770218031</v>
      </c>
      <c r="K220" s="288">
        <v>0.99</v>
      </c>
      <c r="L220" s="285" t="s">
        <v>1056</v>
      </c>
      <c r="M220" s="340"/>
      <c r="N220" s="289" t="s">
        <v>1056</v>
      </c>
      <c r="O220" s="289">
        <v>0</v>
      </c>
      <c r="P220" s="366">
        <f t="shared" si="98"/>
        <v>0</v>
      </c>
      <c r="Q220" s="289" t="s">
        <v>1056</v>
      </c>
      <c r="R220" s="345"/>
      <c r="S220" s="289">
        <v>2270000</v>
      </c>
      <c r="T220" s="345"/>
      <c r="U220" s="289">
        <v>200000</v>
      </c>
      <c r="V220" s="372"/>
      <c r="W220" s="289" t="s">
        <v>1056</v>
      </c>
      <c r="X220" s="372"/>
      <c r="Y220" s="285">
        <f t="shared" si="99"/>
        <v>2470000</v>
      </c>
      <c r="Z220" s="289" t="s">
        <v>1056</v>
      </c>
      <c r="AA220" s="289">
        <v>86600</v>
      </c>
      <c r="AB220" s="289">
        <v>16400</v>
      </c>
      <c r="AC220" s="289">
        <f>I220*$C$284*$E$289</f>
        <v>132837.28524261637</v>
      </c>
      <c r="AD220" s="345"/>
      <c r="AE220" s="285">
        <f t="shared" si="100"/>
        <v>235837.28524261637</v>
      </c>
      <c r="AF220" s="287">
        <v>0</v>
      </c>
    </row>
    <row r="221" spans="1:32" hidden="1">
      <c r="A221" s="300" t="s">
        <v>1075</v>
      </c>
      <c r="B221" s="301" t="s">
        <v>1073</v>
      </c>
      <c r="C221" s="1" t="s">
        <v>1084</v>
      </c>
      <c r="D221" s="1" t="s">
        <v>1056</v>
      </c>
      <c r="E221" s="1" t="s">
        <v>1085</v>
      </c>
      <c r="F221" s="283" t="s">
        <v>3</v>
      </c>
      <c r="G221" s="1" t="s">
        <v>1063</v>
      </c>
      <c r="H221" s="285">
        <v>0</v>
      </c>
      <c r="I221" s="285">
        <f t="shared" si="97"/>
        <v>3435067.9664639998</v>
      </c>
      <c r="J221" s="280">
        <f t="shared" si="86"/>
        <v>110697.73770218031</v>
      </c>
      <c r="K221" s="288">
        <v>0</v>
      </c>
      <c r="L221" s="285" t="s">
        <v>1056</v>
      </c>
      <c r="M221" s="340"/>
      <c r="N221" s="289">
        <f t="shared" ref="N221:N227" si="101">$K$278</f>
        <v>100000</v>
      </c>
      <c r="O221" s="289">
        <v>0</v>
      </c>
      <c r="P221" s="366">
        <f t="shared" si="98"/>
        <v>100000</v>
      </c>
      <c r="Q221" s="289" t="s">
        <v>1056</v>
      </c>
      <c r="R221" s="345"/>
      <c r="S221" s="289">
        <v>2270000</v>
      </c>
      <c r="T221" s="345"/>
      <c r="U221" s="289" t="s">
        <v>1056</v>
      </c>
      <c r="V221" s="372"/>
      <c r="W221" s="286">
        <f>W222</f>
        <v>54000000</v>
      </c>
      <c r="X221" s="371"/>
      <c r="Y221" s="285">
        <f t="shared" si="99"/>
        <v>56270000</v>
      </c>
      <c r="Z221" s="289" t="s">
        <v>1056</v>
      </c>
      <c r="AA221" s="289">
        <v>86600</v>
      </c>
      <c r="AB221" s="289" t="s">
        <v>1056</v>
      </c>
      <c r="AC221" s="289" t="s">
        <v>1056</v>
      </c>
      <c r="AD221" s="345"/>
      <c r="AE221" s="285">
        <f t="shared" si="100"/>
        <v>86600</v>
      </c>
      <c r="AF221" s="287">
        <v>0</v>
      </c>
    </row>
    <row r="222" spans="1:32" hidden="1">
      <c r="A222" s="300" t="s">
        <v>1075</v>
      </c>
      <c r="B222" s="301" t="s">
        <v>1073</v>
      </c>
      <c r="C222" s="1" t="s">
        <v>1084</v>
      </c>
      <c r="D222" s="1" t="s">
        <v>1056</v>
      </c>
      <c r="E222" s="1" t="s">
        <v>1085</v>
      </c>
      <c r="F222" s="283" t="s">
        <v>3</v>
      </c>
      <c r="G222" s="1" t="s">
        <v>1064</v>
      </c>
      <c r="H222" s="285">
        <v>0</v>
      </c>
      <c r="I222" s="285">
        <f t="shared" si="97"/>
        <v>3435067.9664639998</v>
      </c>
      <c r="J222" s="280">
        <f t="shared" si="86"/>
        <v>110697.73770218031</v>
      </c>
      <c r="K222" s="288">
        <v>0</v>
      </c>
      <c r="L222" s="285" t="s">
        <v>1056</v>
      </c>
      <c r="M222" s="340"/>
      <c r="N222" s="289">
        <f t="shared" si="101"/>
        <v>100000</v>
      </c>
      <c r="O222" s="289">
        <v>0</v>
      </c>
      <c r="P222" s="366">
        <f t="shared" si="98"/>
        <v>100000</v>
      </c>
      <c r="Q222" s="289" t="s">
        <v>1056</v>
      </c>
      <c r="R222" s="345"/>
      <c r="S222" s="289">
        <v>2270000</v>
      </c>
      <c r="T222" s="345"/>
      <c r="U222" s="289" t="s">
        <v>1056</v>
      </c>
      <c r="V222" s="372"/>
      <c r="W222" s="289">
        <v>54000000</v>
      </c>
      <c r="X222" s="372"/>
      <c r="Y222" s="285">
        <f t="shared" si="99"/>
        <v>56270000</v>
      </c>
      <c r="Z222" s="289" t="s">
        <v>1056</v>
      </c>
      <c r="AA222" s="289">
        <v>86600</v>
      </c>
      <c r="AB222" s="289" t="s">
        <v>1056</v>
      </c>
      <c r="AC222" s="289" t="s">
        <v>1056</v>
      </c>
      <c r="AD222" s="345"/>
      <c r="AE222" s="285">
        <f t="shared" si="100"/>
        <v>86600</v>
      </c>
      <c r="AF222" s="287">
        <v>0</v>
      </c>
    </row>
    <row r="223" spans="1:32" hidden="1">
      <c r="A223" s="300" t="s">
        <v>1075</v>
      </c>
      <c r="B223" s="301" t="s">
        <v>1074</v>
      </c>
      <c r="C223" s="1" t="s">
        <v>1084</v>
      </c>
      <c r="D223" s="1" t="s">
        <v>1056</v>
      </c>
      <c r="E223" s="1" t="s">
        <v>1085</v>
      </c>
      <c r="F223" s="283" t="s">
        <v>3</v>
      </c>
      <c r="G223" s="1" t="s">
        <v>1061</v>
      </c>
      <c r="H223" s="285">
        <v>6</v>
      </c>
      <c r="I223" s="285">
        <f t="shared" si="97"/>
        <v>3435067.9664639998</v>
      </c>
      <c r="J223" s="280">
        <f t="shared" si="86"/>
        <v>110697.73770218031</v>
      </c>
      <c r="K223" s="288">
        <v>0.35</v>
      </c>
      <c r="L223" s="285">
        <f>$J$278</f>
        <v>3800000</v>
      </c>
      <c r="M223" s="341"/>
      <c r="N223" s="289">
        <f t="shared" si="101"/>
        <v>100000</v>
      </c>
      <c r="O223" s="289">
        <v>0</v>
      </c>
      <c r="P223" s="366">
        <f t="shared" si="98"/>
        <v>100000</v>
      </c>
      <c r="Q223" s="289">
        <f>$H$278</f>
        <v>381235.44</v>
      </c>
      <c r="R223" s="345"/>
      <c r="S223" s="289">
        <v>2270000</v>
      </c>
      <c r="T223" s="345"/>
      <c r="U223" s="289" t="s">
        <v>1056</v>
      </c>
      <c r="V223" s="372"/>
      <c r="W223" s="289" t="s">
        <v>1056</v>
      </c>
      <c r="X223" s="372"/>
      <c r="Y223" s="285">
        <f t="shared" si="99"/>
        <v>2651235.44</v>
      </c>
      <c r="Z223" s="289">
        <f>$I$278</f>
        <v>17981.628000000001</v>
      </c>
      <c r="AA223" s="289">
        <v>86600</v>
      </c>
      <c r="AB223" s="289" t="s">
        <v>1056</v>
      </c>
      <c r="AC223" s="289" t="s">
        <v>1056</v>
      </c>
      <c r="AD223" s="345"/>
      <c r="AE223" s="285">
        <f t="shared" si="100"/>
        <v>104581.628</v>
      </c>
      <c r="AF223" s="287">
        <v>0</v>
      </c>
    </row>
    <row r="224" spans="1:32" hidden="1">
      <c r="A224" s="300" t="s">
        <v>1075</v>
      </c>
      <c r="B224" s="301" t="s">
        <v>1074</v>
      </c>
      <c r="C224" s="1" t="s">
        <v>1084</v>
      </c>
      <c r="D224" s="1" t="s">
        <v>1056</v>
      </c>
      <c r="E224" s="1" t="s">
        <v>1085</v>
      </c>
      <c r="F224" s="283" t="s">
        <v>3</v>
      </c>
      <c r="G224" s="1" t="s">
        <v>51</v>
      </c>
      <c r="H224" s="285">
        <v>0</v>
      </c>
      <c r="I224" s="285">
        <f t="shared" si="97"/>
        <v>3435067.9664639998</v>
      </c>
      <c r="J224" s="280">
        <f t="shared" si="86"/>
        <v>110697.73770218031</v>
      </c>
      <c r="K224" s="288">
        <v>0.99</v>
      </c>
      <c r="L224" s="285">
        <f>$J$278</f>
        <v>3800000</v>
      </c>
      <c r="M224" s="341"/>
      <c r="N224" s="289">
        <f t="shared" si="101"/>
        <v>100000</v>
      </c>
      <c r="O224" s="289">
        <v>0</v>
      </c>
      <c r="P224" s="366">
        <f t="shared" si="98"/>
        <v>100000</v>
      </c>
      <c r="Q224" s="289">
        <f>$H$278</f>
        <v>381235.44</v>
      </c>
      <c r="R224" s="345"/>
      <c r="S224" s="289">
        <v>2270000</v>
      </c>
      <c r="T224" s="345"/>
      <c r="U224" s="289">
        <v>200000</v>
      </c>
      <c r="V224" s="372"/>
      <c r="W224" s="289" t="s">
        <v>1056</v>
      </c>
      <c r="X224" s="372"/>
      <c r="Y224" s="285">
        <f t="shared" si="99"/>
        <v>2851235.44</v>
      </c>
      <c r="Z224" s="289">
        <f>$I$278</f>
        <v>17981.628000000001</v>
      </c>
      <c r="AA224" s="289">
        <v>86600</v>
      </c>
      <c r="AB224" s="289">
        <v>16400</v>
      </c>
      <c r="AC224" s="289" t="s">
        <v>1056</v>
      </c>
      <c r="AD224" s="345"/>
      <c r="AE224" s="285">
        <f t="shared" si="100"/>
        <v>120981.628</v>
      </c>
      <c r="AF224" s="287">
        <v>0</v>
      </c>
    </row>
    <row r="225" spans="1:32" hidden="1">
      <c r="A225" s="300" t="s">
        <v>1075</v>
      </c>
      <c r="B225" s="301" t="s">
        <v>1074</v>
      </c>
      <c r="C225" s="1" t="s">
        <v>1084</v>
      </c>
      <c r="D225" s="1" t="s">
        <v>1056</v>
      </c>
      <c r="E225" s="1" t="s">
        <v>1085</v>
      </c>
      <c r="F225" s="283" t="s">
        <v>3</v>
      </c>
      <c r="G225" s="1" t="s">
        <v>1062</v>
      </c>
      <c r="H225" s="285">
        <v>0</v>
      </c>
      <c r="I225" s="285">
        <f t="shared" si="97"/>
        <v>3435067.9664639998</v>
      </c>
      <c r="J225" s="280">
        <f t="shared" si="86"/>
        <v>110697.73770218031</v>
      </c>
      <c r="K225" s="288">
        <v>0.99</v>
      </c>
      <c r="L225" s="285">
        <f>$J$278</f>
        <v>3800000</v>
      </c>
      <c r="M225" s="341"/>
      <c r="N225" s="289">
        <f t="shared" si="101"/>
        <v>100000</v>
      </c>
      <c r="O225" s="289">
        <v>0</v>
      </c>
      <c r="P225" s="366">
        <f t="shared" si="98"/>
        <v>100000</v>
      </c>
      <c r="Q225" s="289">
        <f>$H$278</f>
        <v>381235.44</v>
      </c>
      <c r="R225" s="345"/>
      <c r="S225" s="289">
        <v>2270000</v>
      </c>
      <c r="T225" s="345"/>
      <c r="U225" s="289">
        <v>200000</v>
      </c>
      <c r="V225" s="372"/>
      <c r="W225" s="289" t="s">
        <v>1056</v>
      </c>
      <c r="X225" s="372"/>
      <c r="Y225" s="285">
        <f t="shared" si="99"/>
        <v>2851235.44</v>
      </c>
      <c r="Z225" s="289">
        <f>$I$278</f>
        <v>17981.628000000001</v>
      </c>
      <c r="AA225" s="289">
        <v>86600</v>
      </c>
      <c r="AB225" s="289">
        <v>16400</v>
      </c>
      <c r="AC225" s="289">
        <f>I225*$C$284*$E$289</f>
        <v>132837.28524261637</v>
      </c>
      <c r="AD225" s="345"/>
      <c r="AE225" s="285">
        <f t="shared" si="100"/>
        <v>253818.91324261637</v>
      </c>
      <c r="AF225" s="287">
        <v>0</v>
      </c>
    </row>
    <row r="226" spans="1:32" hidden="1">
      <c r="A226" s="300" t="s">
        <v>1075</v>
      </c>
      <c r="B226" s="301" t="s">
        <v>1074</v>
      </c>
      <c r="C226" s="1" t="s">
        <v>1084</v>
      </c>
      <c r="D226" s="1" t="s">
        <v>1056</v>
      </c>
      <c r="E226" s="1" t="s">
        <v>1085</v>
      </c>
      <c r="F226" s="283" t="s">
        <v>3</v>
      </c>
      <c r="G226" s="1" t="s">
        <v>1063</v>
      </c>
      <c r="H226" s="285">
        <v>0</v>
      </c>
      <c r="I226" s="285">
        <f t="shared" si="97"/>
        <v>3435067.9664639998</v>
      </c>
      <c r="J226" s="280">
        <f t="shared" si="86"/>
        <v>110697.73770218031</v>
      </c>
      <c r="K226" s="288">
        <v>0</v>
      </c>
      <c r="L226" s="285">
        <f>$J$278</f>
        <v>3800000</v>
      </c>
      <c r="M226" s="341"/>
      <c r="N226" s="289">
        <f t="shared" si="101"/>
        <v>100000</v>
      </c>
      <c r="O226" s="289">
        <v>0</v>
      </c>
      <c r="P226" s="366">
        <f t="shared" si="98"/>
        <v>100000</v>
      </c>
      <c r="Q226" s="289">
        <f>$H$278</f>
        <v>381235.44</v>
      </c>
      <c r="R226" s="345"/>
      <c r="S226" s="289">
        <v>2270000</v>
      </c>
      <c r="T226" s="345"/>
      <c r="U226" s="289" t="s">
        <v>1056</v>
      </c>
      <c r="V226" s="372"/>
      <c r="W226" s="286">
        <f>W227</f>
        <v>54000000</v>
      </c>
      <c r="X226" s="371"/>
      <c r="Y226" s="285">
        <f t="shared" si="99"/>
        <v>56651235.439999998</v>
      </c>
      <c r="Z226" s="289">
        <f>$I$278</f>
        <v>17981.628000000001</v>
      </c>
      <c r="AA226" s="289">
        <v>86600</v>
      </c>
      <c r="AB226" s="289" t="s">
        <v>1056</v>
      </c>
      <c r="AC226" s="289" t="s">
        <v>1056</v>
      </c>
      <c r="AD226" s="345"/>
      <c r="AE226" s="285">
        <f t="shared" si="100"/>
        <v>104581.628</v>
      </c>
      <c r="AF226" s="287">
        <v>0</v>
      </c>
    </row>
    <row r="227" spans="1:32" hidden="1">
      <c r="A227" s="300" t="s">
        <v>1075</v>
      </c>
      <c r="B227" s="301" t="s">
        <v>1074</v>
      </c>
      <c r="C227" s="1" t="s">
        <v>1084</v>
      </c>
      <c r="D227" s="1" t="s">
        <v>1056</v>
      </c>
      <c r="E227" s="1" t="s">
        <v>1085</v>
      </c>
      <c r="F227" s="283" t="s">
        <v>3</v>
      </c>
      <c r="G227" s="1" t="s">
        <v>1064</v>
      </c>
      <c r="H227" s="285">
        <v>0</v>
      </c>
      <c r="I227" s="285">
        <f t="shared" si="97"/>
        <v>3435067.9664639998</v>
      </c>
      <c r="J227" s="280">
        <f t="shared" si="86"/>
        <v>110697.73770218031</v>
      </c>
      <c r="K227" s="288">
        <v>0</v>
      </c>
      <c r="L227" s="285">
        <f>$J$278</f>
        <v>3800000</v>
      </c>
      <c r="M227" s="341"/>
      <c r="N227" s="289">
        <f t="shared" si="101"/>
        <v>100000</v>
      </c>
      <c r="O227" s="289">
        <v>0</v>
      </c>
      <c r="P227" s="366">
        <f t="shared" si="98"/>
        <v>100000</v>
      </c>
      <c r="Q227" s="289">
        <f>$H$278</f>
        <v>381235.44</v>
      </c>
      <c r="R227" s="345"/>
      <c r="S227" s="289">
        <v>2270000</v>
      </c>
      <c r="T227" s="345"/>
      <c r="U227" s="289" t="s">
        <v>1056</v>
      </c>
      <c r="V227" s="372"/>
      <c r="W227" s="289">
        <v>54000000</v>
      </c>
      <c r="X227" s="372"/>
      <c r="Y227" s="285">
        <f t="shared" si="99"/>
        <v>56651235.439999998</v>
      </c>
      <c r="Z227" s="289">
        <f>$I$278</f>
        <v>17981.628000000001</v>
      </c>
      <c r="AA227" s="289">
        <v>86600</v>
      </c>
      <c r="AB227" s="289" t="s">
        <v>1056</v>
      </c>
      <c r="AC227" s="289" t="s">
        <v>1056</v>
      </c>
      <c r="AD227" s="345"/>
      <c r="AE227" s="285">
        <f t="shared" si="100"/>
        <v>104581.628</v>
      </c>
      <c r="AF227" s="287">
        <v>0</v>
      </c>
    </row>
    <row r="228" spans="1:32" hidden="1">
      <c r="A228" s="300" t="s">
        <v>1075</v>
      </c>
      <c r="B228" s="301" t="s">
        <v>1073</v>
      </c>
      <c r="C228" s="301" t="s">
        <v>1086</v>
      </c>
      <c r="D228" s="301" t="s">
        <v>1056</v>
      </c>
      <c r="E228" s="301" t="s">
        <v>1087</v>
      </c>
      <c r="F228" s="307" t="s">
        <v>3</v>
      </c>
      <c r="G228" s="1" t="s">
        <v>1092</v>
      </c>
      <c r="H228" s="285">
        <v>140</v>
      </c>
      <c r="I228" s="285">
        <f>$F$279</f>
        <v>1612854.702336</v>
      </c>
      <c r="J228" s="280">
        <f t="shared" si="86"/>
        <v>51975.497583736025</v>
      </c>
      <c r="K228" s="288">
        <v>0</v>
      </c>
      <c r="L228" s="285" t="s">
        <v>1056</v>
      </c>
      <c r="M228" s="340"/>
      <c r="N228" s="289" t="s">
        <v>1056</v>
      </c>
      <c r="O228" s="289">
        <v>0</v>
      </c>
      <c r="P228" s="366">
        <f>SUM(N228:O228)</f>
        <v>0</v>
      </c>
      <c r="Q228" s="289" t="s">
        <v>1056</v>
      </c>
      <c r="R228" s="345"/>
      <c r="S228" s="286" t="s">
        <v>1056</v>
      </c>
      <c r="T228" s="344"/>
      <c r="U228" s="289" t="s">
        <v>1056</v>
      </c>
      <c r="V228" s="372"/>
      <c r="W228" s="286" t="s">
        <v>1056</v>
      </c>
      <c r="X228" s="371"/>
      <c r="Y228" s="285" t="s">
        <v>1056</v>
      </c>
      <c r="Z228" s="289" t="s">
        <v>1056</v>
      </c>
      <c r="AA228" s="289" t="s">
        <v>1056</v>
      </c>
      <c r="AB228" s="289" t="s">
        <v>1056</v>
      </c>
      <c r="AC228" s="286" t="s">
        <v>1056</v>
      </c>
      <c r="AD228" s="344"/>
      <c r="AE228" s="285" t="s">
        <v>1056</v>
      </c>
      <c r="AF228" s="287" t="s">
        <v>1056</v>
      </c>
    </row>
    <row r="229" spans="1:32" hidden="1">
      <c r="A229" s="300" t="s">
        <v>1075</v>
      </c>
      <c r="B229" s="301" t="s">
        <v>1073</v>
      </c>
      <c r="C229" s="301" t="s">
        <v>1086</v>
      </c>
      <c r="D229" s="301" t="s">
        <v>1056</v>
      </c>
      <c r="E229" s="301" t="s">
        <v>1087</v>
      </c>
      <c r="F229" s="283" t="s">
        <v>3</v>
      </c>
      <c r="G229" s="1" t="s">
        <v>1061</v>
      </c>
      <c r="H229" s="285">
        <v>0</v>
      </c>
      <c r="I229" s="285">
        <f t="shared" ref="I229:I238" si="102">$F$279</f>
        <v>1612854.702336</v>
      </c>
      <c r="J229" s="280">
        <f t="shared" si="86"/>
        <v>51975.497583736025</v>
      </c>
      <c r="K229" s="288">
        <v>0.35</v>
      </c>
      <c r="L229" s="285" t="s">
        <v>1056</v>
      </c>
      <c r="M229" s="340"/>
      <c r="N229" s="289" t="s">
        <v>1056</v>
      </c>
      <c r="O229" s="289">
        <v>0</v>
      </c>
      <c r="P229" s="366">
        <f t="shared" ref="P229:P238" si="103">SUM(N229:O229)</f>
        <v>0</v>
      </c>
      <c r="Q229" s="289" t="s">
        <v>1056</v>
      </c>
      <c r="R229" s="345"/>
      <c r="S229" s="289">
        <v>2270000</v>
      </c>
      <c r="T229" s="345"/>
      <c r="U229" s="289" t="s">
        <v>1056</v>
      </c>
      <c r="V229" s="372"/>
      <c r="W229" s="289" t="s">
        <v>1056</v>
      </c>
      <c r="X229" s="372"/>
      <c r="Y229" s="285">
        <f t="shared" ref="Y229:Y238" si="104">SUM(Q229:W229)</f>
        <v>2270000</v>
      </c>
      <c r="Z229" s="289" t="s">
        <v>1056</v>
      </c>
      <c r="AA229" s="289">
        <v>86600</v>
      </c>
      <c r="AB229" s="289" t="s">
        <v>1056</v>
      </c>
      <c r="AC229" s="289" t="s">
        <v>1056</v>
      </c>
      <c r="AD229" s="345"/>
      <c r="AE229" s="285">
        <f t="shared" ref="AE229:AE238" si="105">SUM(Z229:AD229)</f>
        <v>86600</v>
      </c>
      <c r="AF229" s="287">
        <v>0</v>
      </c>
    </row>
    <row r="230" spans="1:32" hidden="1">
      <c r="A230" s="300" t="s">
        <v>1075</v>
      </c>
      <c r="B230" s="301" t="s">
        <v>1073</v>
      </c>
      <c r="C230" s="301" t="s">
        <v>1086</v>
      </c>
      <c r="D230" s="301" t="s">
        <v>1056</v>
      </c>
      <c r="E230" s="301" t="s">
        <v>1087</v>
      </c>
      <c r="F230" s="283" t="s">
        <v>3</v>
      </c>
      <c r="G230" s="1" t="s">
        <v>51</v>
      </c>
      <c r="H230" s="285">
        <v>0</v>
      </c>
      <c r="I230" s="285">
        <f t="shared" si="102"/>
        <v>1612854.702336</v>
      </c>
      <c r="J230" s="280">
        <f t="shared" si="86"/>
        <v>51975.497583736025</v>
      </c>
      <c r="K230" s="288">
        <v>0.99</v>
      </c>
      <c r="L230" s="285" t="s">
        <v>1056</v>
      </c>
      <c r="M230" s="340"/>
      <c r="N230" s="289" t="s">
        <v>1056</v>
      </c>
      <c r="O230" s="289">
        <v>0</v>
      </c>
      <c r="P230" s="366">
        <f t="shared" si="103"/>
        <v>0</v>
      </c>
      <c r="Q230" s="289" t="s">
        <v>1056</v>
      </c>
      <c r="R230" s="345"/>
      <c r="S230" s="289">
        <v>2270000</v>
      </c>
      <c r="T230" s="345"/>
      <c r="U230" s="289">
        <v>132500</v>
      </c>
      <c r="V230" s="372"/>
      <c r="W230" s="289" t="s">
        <v>1056</v>
      </c>
      <c r="X230" s="372"/>
      <c r="Y230" s="285">
        <f t="shared" si="104"/>
        <v>2402500</v>
      </c>
      <c r="Z230" s="289" t="s">
        <v>1056</v>
      </c>
      <c r="AA230" s="289">
        <v>86600</v>
      </c>
      <c r="AB230" s="289">
        <v>9465</v>
      </c>
      <c r="AC230" s="289" t="s">
        <v>1056</v>
      </c>
      <c r="AD230" s="345"/>
      <c r="AE230" s="285">
        <f t="shared" si="105"/>
        <v>96065</v>
      </c>
      <c r="AF230" s="287">
        <v>0</v>
      </c>
    </row>
    <row r="231" spans="1:32" hidden="1">
      <c r="A231" s="300" t="s">
        <v>1075</v>
      </c>
      <c r="B231" s="301" t="s">
        <v>1073</v>
      </c>
      <c r="C231" s="301" t="s">
        <v>1086</v>
      </c>
      <c r="D231" s="301" t="s">
        <v>1056</v>
      </c>
      <c r="E231" s="301" t="s">
        <v>1087</v>
      </c>
      <c r="F231" s="283" t="s">
        <v>3</v>
      </c>
      <c r="G231" s="1" t="s">
        <v>1062</v>
      </c>
      <c r="H231" s="285">
        <v>0</v>
      </c>
      <c r="I231" s="285">
        <f t="shared" si="102"/>
        <v>1612854.702336</v>
      </c>
      <c r="J231" s="280">
        <f t="shared" si="86"/>
        <v>51975.497583736025</v>
      </c>
      <c r="K231" s="288">
        <v>0.99</v>
      </c>
      <c r="L231" s="285" t="s">
        <v>1056</v>
      </c>
      <c r="M231" s="340"/>
      <c r="N231" s="289" t="s">
        <v>1056</v>
      </c>
      <c r="O231" s="289">
        <v>0</v>
      </c>
      <c r="P231" s="366">
        <f t="shared" si="103"/>
        <v>0</v>
      </c>
      <c r="Q231" s="289" t="s">
        <v>1056</v>
      </c>
      <c r="R231" s="345"/>
      <c r="S231" s="289">
        <v>2270000</v>
      </c>
      <c r="T231" s="345"/>
      <c r="U231" s="289">
        <v>132500</v>
      </c>
      <c r="V231" s="372"/>
      <c r="W231" s="289" t="s">
        <v>1056</v>
      </c>
      <c r="X231" s="372"/>
      <c r="Y231" s="285">
        <f t="shared" si="104"/>
        <v>2402500</v>
      </c>
      <c r="Z231" s="289" t="s">
        <v>1056</v>
      </c>
      <c r="AA231" s="289">
        <v>86600</v>
      </c>
      <c r="AB231" s="289">
        <v>9465</v>
      </c>
      <c r="AC231" s="289">
        <f>I231*$C$284*$E$289</f>
        <v>62370.597100483232</v>
      </c>
      <c r="AD231" s="345"/>
      <c r="AE231" s="285">
        <f t="shared" si="105"/>
        <v>158435.59710048322</v>
      </c>
      <c r="AF231" s="287">
        <v>0</v>
      </c>
    </row>
    <row r="232" spans="1:32" hidden="1">
      <c r="A232" s="300" t="s">
        <v>1075</v>
      </c>
      <c r="B232" s="301" t="s">
        <v>1073</v>
      </c>
      <c r="C232" s="301" t="s">
        <v>1086</v>
      </c>
      <c r="D232" s="301" t="s">
        <v>1056</v>
      </c>
      <c r="E232" s="301" t="s">
        <v>1087</v>
      </c>
      <c r="F232" s="283" t="s">
        <v>3</v>
      </c>
      <c r="G232" s="1" t="s">
        <v>1063</v>
      </c>
      <c r="H232" s="285">
        <v>0</v>
      </c>
      <c r="I232" s="285">
        <f t="shared" si="102"/>
        <v>1612854.702336</v>
      </c>
      <c r="J232" s="280">
        <f t="shared" si="86"/>
        <v>51975.497583736025</v>
      </c>
      <c r="K232" s="288">
        <v>0</v>
      </c>
      <c r="L232" s="285" t="s">
        <v>1056</v>
      </c>
      <c r="M232" s="340"/>
      <c r="N232" s="289">
        <f t="shared" ref="N232:N238" si="106">$K$279</f>
        <v>65000</v>
      </c>
      <c r="O232" s="289">
        <v>0</v>
      </c>
      <c r="P232" s="366">
        <f t="shared" si="103"/>
        <v>65000</v>
      </c>
      <c r="Q232" s="289" t="s">
        <v>1056</v>
      </c>
      <c r="R232" s="345"/>
      <c r="S232" s="289">
        <v>2270000</v>
      </c>
      <c r="T232" s="345"/>
      <c r="U232" s="289" t="s">
        <v>1056</v>
      </c>
      <c r="V232" s="372"/>
      <c r="W232" s="286">
        <f>W233</f>
        <v>54000000</v>
      </c>
      <c r="X232" s="371"/>
      <c r="Y232" s="285">
        <f t="shared" si="104"/>
        <v>56270000</v>
      </c>
      <c r="Z232" s="289" t="s">
        <v>1056</v>
      </c>
      <c r="AA232" s="289">
        <v>86600</v>
      </c>
      <c r="AB232" s="289" t="s">
        <v>1056</v>
      </c>
      <c r="AC232" s="289" t="s">
        <v>1056</v>
      </c>
      <c r="AD232" s="345"/>
      <c r="AE232" s="285">
        <f t="shared" si="105"/>
        <v>86600</v>
      </c>
      <c r="AF232" s="287">
        <v>0</v>
      </c>
    </row>
    <row r="233" spans="1:32" hidden="1">
      <c r="A233" s="300" t="s">
        <v>1075</v>
      </c>
      <c r="B233" s="301" t="s">
        <v>1073</v>
      </c>
      <c r="C233" s="301" t="s">
        <v>1086</v>
      </c>
      <c r="D233" s="301" t="s">
        <v>1056</v>
      </c>
      <c r="E233" s="301" t="s">
        <v>1087</v>
      </c>
      <c r="F233" s="283" t="s">
        <v>3</v>
      </c>
      <c r="G233" s="1" t="s">
        <v>1064</v>
      </c>
      <c r="H233" s="285">
        <v>0</v>
      </c>
      <c r="I233" s="285">
        <f t="shared" si="102"/>
        <v>1612854.702336</v>
      </c>
      <c r="J233" s="280">
        <f t="shared" si="86"/>
        <v>51975.497583736025</v>
      </c>
      <c r="K233" s="288">
        <v>0</v>
      </c>
      <c r="L233" s="285" t="s">
        <v>1056</v>
      </c>
      <c r="M233" s="340"/>
      <c r="N233" s="289">
        <f t="shared" si="106"/>
        <v>65000</v>
      </c>
      <c r="O233" s="289">
        <v>0</v>
      </c>
      <c r="P233" s="366">
        <f t="shared" si="103"/>
        <v>65000</v>
      </c>
      <c r="Q233" s="289" t="s">
        <v>1056</v>
      </c>
      <c r="R233" s="345"/>
      <c r="S233" s="289">
        <v>2270000</v>
      </c>
      <c r="T233" s="345"/>
      <c r="U233" s="289" t="s">
        <v>1056</v>
      </c>
      <c r="V233" s="372"/>
      <c r="W233" s="289">
        <v>54000000</v>
      </c>
      <c r="X233" s="372"/>
      <c r="Y233" s="285">
        <f t="shared" si="104"/>
        <v>56270000</v>
      </c>
      <c r="Z233" s="289" t="s">
        <v>1056</v>
      </c>
      <c r="AA233" s="289">
        <v>86600</v>
      </c>
      <c r="AB233" s="289" t="s">
        <v>1056</v>
      </c>
      <c r="AC233" s="289" t="s">
        <v>1056</v>
      </c>
      <c r="AD233" s="345"/>
      <c r="AE233" s="285">
        <f t="shared" si="105"/>
        <v>86600</v>
      </c>
      <c r="AF233" s="287">
        <v>0</v>
      </c>
    </row>
    <row r="234" spans="1:32" hidden="1">
      <c r="A234" s="300" t="s">
        <v>1075</v>
      </c>
      <c r="B234" s="301" t="s">
        <v>1074</v>
      </c>
      <c r="C234" s="301" t="s">
        <v>1086</v>
      </c>
      <c r="D234" s="301" t="s">
        <v>1056</v>
      </c>
      <c r="E234" s="301" t="s">
        <v>1087</v>
      </c>
      <c r="F234" s="283" t="s">
        <v>3</v>
      </c>
      <c r="G234" s="1" t="s">
        <v>1061</v>
      </c>
      <c r="H234" s="285">
        <v>11</v>
      </c>
      <c r="I234" s="285">
        <f t="shared" si="102"/>
        <v>1612854.702336</v>
      </c>
      <c r="J234" s="280">
        <f t="shared" si="86"/>
        <v>51975.497583736025</v>
      </c>
      <c r="K234" s="288">
        <v>0.35</v>
      </c>
      <c r="L234" s="285">
        <f>$J$279</f>
        <v>1900000</v>
      </c>
      <c r="M234" s="341"/>
      <c r="N234" s="289">
        <f t="shared" si="106"/>
        <v>65000</v>
      </c>
      <c r="O234" s="289">
        <v>0</v>
      </c>
      <c r="P234" s="366">
        <f t="shared" si="103"/>
        <v>65000</v>
      </c>
      <c r="Q234" s="289">
        <f>$H$279</f>
        <v>179000.06</v>
      </c>
      <c r="R234" s="345"/>
      <c r="S234" s="289">
        <v>2270000</v>
      </c>
      <c r="T234" s="345"/>
      <c r="U234" s="289" t="s">
        <v>1056</v>
      </c>
      <c r="V234" s="372"/>
      <c r="W234" s="289" t="s">
        <v>1056</v>
      </c>
      <c r="X234" s="372"/>
      <c r="Y234" s="285">
        <f t="shared" si="104"/>
        <v>2449000.06</v>
      </c>
      <c r="Z234" s="289">
        <f>$I$279</f>
        <v>8442.8469999999998</v>
      </c>
      <c r="AA234" s="289">
        <v>86600</v>
      </c>
      <c r="AB234" s="289" t="s">
        <v>1056</v>
      </c>
      <c r="AC234" s="289" t="s">
        <v>1056</v>
      </c>
      <c r="AD234" s="345"/>
      <c r="AE234" s="285">
        <f t="shared" si="105"/>
        <v>95042.846999999994</v>
      </c>
      <c r="AF234" s="287">
        <v>0</v>
      </c>
    </row>
    <row r="235" spans="1:32" hidden="1">
      <c r="A235" s="300" t="s">
        <v>1075</v>
      </c>
      <c r="B235" s="301" t="s">
        <v>1074</v>
      </c>
      <c r="C235" s="301" t="s">
        <v>1086</v>
      </c>
      <c r="D235" s="301" t="s">
        <v>1056</v>
      </c>
      <c r="E235" s="301" t="s">
        <v>1087</v>
      </c>
      <c r="F235" s="283" t="s">
        <v>3</v>
      </c>
      <c r="G235" s="1" t="s">
        <v>51</v>
      </c>
      <c r="H235" s="285">
        <v>0</v>
      </c>
      <c r="I235" s="285">
        <f t="shared" si="102"/>
        <v>1612854.702336</v>
      </c>
      <c r="J235" s="280">
        <f t="shared" si="86"/>
        <v>51975.497583736025</v>
      </c>
      <c r="K235" s="288">
        <v>0.99</v>
      </c>
      <c r="L235" s="285">
        <f>$J$279</f>
        <v>1900000</v>
      </c>
      <c r="M235" s="341"/>
      <c r="N235" s="289">
        <f t="shared" si="106"/>
        <v>65000</v>
      </c>
      <c r="O235" s="289">
        <v>0</v>
      </c>
      <c r="P235" s="366">
        <f t="shared" si="103"/>
        <v>65000</v>
      </c>
      <c r="Q235" s="289">
        <f>$H$279</f>
        <v>179000.06</v>
      </c>
      <c r="R235" s="345"/>
      <c r="S235" s="289">
        <v>2270000</v>
      </c>
      <c r="T235" s="345"/>
      <c r="U235" s="289">
        <v>132500</v>
      </c>
      <c r="V235" s="372"/>
      <c r="W235" s="289" t="s">
        <v>1056</v>
      </c>
      <c r="X235" s="372"/>
      <c r="Y235" s="285">
        <f t="shared" si="104"/>
        <v>2581500.06</v>
      </c>
      <c r="Z235" s="289">
        <f>$I$279</f>
        <v>8442.8469999999998</v>
      </c>
      <c r="AA235" s="289">
        <v>86600</v>
      </c>
      <c r="AB235" s="289">
        <v>9465</v>
      </c>
      <c r="AC235" s="289" t="s">
        <v>1056</v>
      </c>
      <c r="AD235" s="345"/>
      <c r="AE235" s="285">
        <f t="shared" si="105"/>
        <v>104507.84699999999</v>
      </c>
      <c r="AF235" s="287">
        <v>0</v>
      </c>
    </row>
    <row r="236" spans="1:32" hidden="1">
      <c r="A236" s="300" t="s">
        <v>1075</v>
      </c>
      <c r="B236" s="301" t="s">
        <v>1074</v>
      </c>
      <c r="C236" s="301" t="s">
        <v>1086</v>
      </c>
      <c r="D236" s="301" t="s">
        <v>1056</v>
      </c>
      <c r="E236" s="301" t="s">
        <v>1087</v>
      </c>
      <c r="F236" s="283" t="s">
        <v>3</v>
      </c>
      <c r="G236" s="1" t="s">
        <v>1062</v>
      </c>
      <c r="H236" s="285">
        <v>0</v>
      </c>
      <c r="I236" s="285">
        <f t="shared" si="102"/>
        <v>1612854.702336</v>
      </c>
      <c r="J236" s="280">
        <f t="shared" si="86"/>
        <v>51975.497583736025</v>
      </c>
      <c r="K236" s="288">
        <v>0.99</v>
      </c>
      <c r="L236" s="285">
        <f>$J$279</f>
        <v>1900000</v>
      </c>
      <c r="M236" s="341"/>
      <c r="N236" s="289">
        <f t="shared" si="106"/>
        <v>65000</v>
      </c>
      <c r="O236" s="289">
        <v>0</v>
      </c>
      <c r="P236" s="366">
        <f t="shared" si="103"/>
        <v>65000</v>
      </c>
      <c r="Q236" s="289">
        <f>$H$279</f>
        <v>179000.06</v>
      </c>
      <c r="R236" s="345"/>
      <c r="S236" s="289">
        <v>2270000</v>
      </c>
      <c r="T236" s="345"/>
      <c r="U236" s="289">
        <v>132500</v>
      </c>
      <c r="V236" s="372"/>
      <c r="W236" s="289" t="s">
        <v>1056</v>
      </c>
      <c r="X236" s="372"/>
      <c r="Y236" s="285">
        <f t="shared" si="104"/>
        <v>2581500.06</v>
      </c>
      <c r="Z236" s="289">
        <f>$I$279</f>
        <v>8442.8469999999998</v>
      </c>
      <c r="AA236" s="289">
        <v>86600</v>
      </c>
      <c r="AB236" s="289">
        <v>9465</v>
      </c>
      <c r="AC236" s="289">
        <f>I236*$C$284*$E$289</f>
        <v>62370.597100483232</v>
      </c>
      <c r="AD236" s="345"/>
      <c r="AE236" s="285">
        <f t="shared" si="105"/>
        <v>166878.44410048323</v>
      </c>
      <c r="AF236" s="287">
        <v>0</v>
      </c>
    </row>
    <row r="237" spans="1:32" hidden="1">
      <c r="A237" s="300" t="s">
        <v>1075</v>
      </c>
      <c r="B237" s="301" t="s">
        <v>1074</v>
      </c>
      <c r="C237" s="301" t="s">
        <v>1086</v>
      </c>
      <c r="D237" s="301" t="s">
        <v>1056</v>
      </c>
      <c r="E237" s="301" t="s">
        <v>1087</v>
      </c>
      <c r="F237" s="283" t="s">
        <v>3</v>
      </c>
      <c r="G237" s="1" t="s">
        <v>1063</v>
      </c>
      <c r="H237" s="285">
        <v>0</v>
      </c>
      <c r="I237" s="285">
        <f t="shared" si="102"/>
        <v>1612854.702336</v>
      </c>
      <c r="J237" s="280">
        <f t="shared" si="86"/>
        <v>51975.497583736025</v>
      </c>
      <c r="K237" s="288">
        <v>0</v>
      </c>
      <c r="L237" s="285">
        <f>$J$279</f>
        <v>1900000</v>
      </c>
      <c r="M237" s="341"/>
      <c r="N237" s="289">
        <f t="shared" si="106"/>
        <v>65000</v>
      </c>
      <c r="O237" s="289">
        <v>0</v>
      </c>
      <c r="P237" s="366">
        <f t="shared" si="103"/>
        <v>65000</v>
      </c>
      <c r="Q237" s="289">
        <f>$H$279</f>
        <v>179000.06</v>
      </c>
      <c r="R237" s="345"/>
      <c r="S237" s="289">
        <v>2270000</v>
      </c>
      <c r="T237" s="345"/>
      <c r="U237" s="289" t="s">
        <v>1056</v>
      </c>
      <c r="V237" s="372"/>
      <c r="W237" s="286">
        <f>W238</f>
        <v>54000000</v>
      </c>
      <c r="X237" s="371"/>
      <c r="Y237" s="285">
        <f t="shared" si="104"/>
        <v>56449000.060000002</v>
      </c>
      <c r="Z237" s="289">
        <f>$I$279</f>
        <v>8442.8469999999998</v>
      </c>
      <c r="AA237" s="289">
        <v>86600</v>
      </c>
      <c r="AB237" s="289" t="s">
        <v>1056</v>
      </c>
      <c r="AC237" s="289" t="s">
        <v>1056</v>
      </c>
      <c r="AD237" s="345"/>
      <c r="AE237" s="285">
        <f t="shared" si="105"/>
        <v>95042.846999999994</v>
      </c>
      <c r="AF237" s="287">
        <v>0</v>
      </c>
    </row>
    <row r="238" spans="1:32" hidden="1">
      <c r="A238" s="300" t="s">
        <v>1075</v>
      </c>
      <c r="B238" s="301" t="s">
        <v>1074</v>
      </c>
      <c r="C238" s="301" t="s">
        <v>1086</v>
      </c>
      <c r="D238" s="301" t="s">
        <v>1056</v>
      </c>
      <c r="E238" s="301" t="s">
        <v>1087</v>
      </c>
      <c r="F238" s="283" t="s">
        <v>3</v>
      </c>
      <c r="G238" s="1" t="s">
        <v>1064</v>
      </c>
      <c r="H238" s="285">
        <v>0</v>
      </c>
      <c r="I238" s="285">
        <f t="shared" si="102"/>
        <v>1612854.702336</v>
      </c>
      <c r="J238" s="280">
        <f t="shared" si="86"/>
        <v>51975.497583736025</v>
      </c>
      <c r="K238" s="288">
        <v>0</v>
      </c>
      <c r="L238" s="285">
        <f>$J$279</f>
        <v>1900000</v>
      </c>
      <c r="M238" s="341"/>
      <c r="N238" s="289">
        <f t="shared" si="106"/>
        <v>65000</v>
      </c>
      <c r="O238" s="289">
        <v>0</v>
      </c>
      <c r="P238" s="366">
        <f t="shared" si="103"/>
        <v>65000</v>
      </c>
      <c r="Q238" s="289">
        <f>$H$279</f>
        <v>179000.06</v>
      </c>
      <c r="R238" s="345"/>
      <c r="S238" s="289">
        <v>2270000</v>
      </c>
      <c r="T238" s="345"/>
      <c r="U238" s="289" t="s">
        <v>1056</v>
      </c>
      <c r="V238" s="372"/>
      <c r="W238" s="289">
        <v>54000000</v>
      </c>
      <c r="X238" s="372"/>
      <c r="Y238" s="285">
        <f t="shared" si="104"/>
        <v>56449000.060000002</v>
      </c>
      <c r="Z238" s="289">
        <f>$I$279</f>
        <v>8442.8469999999998</v>
      </c>
      <c r="AA238" s="289">
        <v>86600</v>
      </c>
      <c r="AB238" s="289" t="s">
        <v>1056</v>
      </c>
      <c r="AC238" s="289" t="s">
        <v>1056</v>
      </c>
      <c r="AD238" s="345"/>
      <c r="AE238" s="285">
        <f t="shared" si="105"/>
        <v>95042.846999999994</v>
      </c>
      <c r="AF238" s="287">
        <v>0</v>
      </c>
    </row>
    <row r="239" spans="1:32" hidden="1">
      <c r="A239" s="300" t="s">
        <v>1075</v>
      </c>
      <c r="B239" s="301" t="s">
        <v>1073</v>
      </c>
      <c r="C239" s="301" t="s">
        <v>1088</v>
      </c>
      <c r="D239" s="301" t="s">
        <v>1056</v>
      </c>
      <c r="E239" s="301" t="s">
        <v>1089</v>
      </c>
      <c r="F239" s="307" t="s">
        <v>3</v>
      </c>
      <c r="G239" s="1" t="s">
        <v>1092</v>
      </c>
      <c r="H239" s="285">
        <v>230</v>
      </c>
      <c r="I239" s="285">
        <f>$F$280</f>
        <v>840907.01951999997</v>
      </c>
      <c r="J239" s="280">
        <f t="shared" si="86"/>
        <v>27098.882929693187</v>
      </c>
      <c r="K239" s="288">
        <v>0</v>
      </c>
      <c r="L239" s="285" t="s">
        <v>1056</v>
      </c>
      <c r="M239" s="340"/>
      <c r="N239" s="289" t="s">
        <v>1056</v>
      </c>
      <c r="O239" s="289">
        <v>0</v>
      </c>
      <c r="P239" s="366">
        <f>SUM(N239:O239)</f>
        <v>0</v>
      </c>
      <c r="Q239" s="289" t="s">
        <v>1056</v>
      </c>
      <c r="R239" s="345"/>
      <c r="S239" s="286" t="s">
        <v>1056</v>
      </c>
      <c r="T239" s="344"/>
      <c r="U239" s="289" t="s">
        <v>1056</v>
      </c>
      <c r="V239" s="372"/>
      <c r="W239" s="286" t="s">
        <v>1056</v>
      </c>
      <c r="X239" s="371"/>
      <c r="Y239" s="285" t="s">
        <v>1056</v>
      </c>
      <c r="Z239" s="289" t="s">
        <v>1056</v>
      </c>
      <c r="AA239" s="289" t="s">
        <v>1056</v>
      </c>
      <c r="AB239" s="289" t="s">
        <v>1056</v>
      </c>
      <c r="AC239" s="286" t="s">
        <v>1056</v>
      </c>
      <c r="AD239" s="344"/>
      <c r="AE239" s="285" t="s">
        <v>1056</v>
      </c>
      <c r="AF239" s="287" t="s">
        <v>1056</v>
      </c>
    </row>
    <row r="240" spans="1:32" hidden="1">
      <c r="A240" s="300" t="s">
        <v>1075</v>
      </c>
      <c r="B240" s="301" t="s">
        <v>1073</v>
      </c>
      <c r="C240" s="301" t="s">
        <v>1088</v>
      </c>
      <c r="D240" s="301" t="s">
        <v>1056</v>
      </c>
      <c r="E240" s="301" t="s">
        <v>1089</v>
      </c>
      <c r="F240" s="283" t="s">
        <v>3</v>
      </c>
      <c r="G240" s="1" t="s">
        <v>1061</v>
      </c>
      <c r="H240" s="285">
        <v>0</v>
      </c>
      <c r="I240" s="285">
        <f t="shared" ref="I240:I249" si="107">$F$280</f>
        <v>840907.01951999997</v>
      </c>
      <c r="J240" s="280">
        <f t="shared" si="86"/>
        <v>27098.882929693187</v>
      </c>
      <c r="K240" s="288">
        <v>0.35</v>
      </c>
      <c r="L240" s="285" t="s">
        <v>1056</v>
      </c>
      <c r="M240" s="340"/>
      <c r="N240" s="289" t="s">
        <v>1056</v>
      </c>
      <c r="O240" s="289">
        <v>0</v>
      </c>
      <c r="P240" s="366">
        <f t="shared" ref="P240:P249" si="108">SUM(N240:O240)</f>
        <v>0</v>
      </c>
      <c r="Q240" s="289" t="s">
        <v>1056</v>
      </c>
      <c r="R240" s="345"/>
      <c r="S240" s="289">
        <v>845000</v>
      </c>
      <c r="T240" s="345"/>
      <c r="U240" s="289" t="s">
        <v>1056</v>
      </c>
      <c r="V240" s="372"/>
      <c r="W240" s="289" t="s">
        <v>1056</v>
      </c>
      <c r="X240" s="372"/>
      <c r="Y240" s="285">
        <f t="shared" ref="Y240:Y249" si="109">SUM(Q240:W240)</f>
        <v>845000</v>
      </c>
      <c r="Z240" s="289" t="s">
        <v>1056</v>
      </c>
      <c r="AA240" s="289">
        <v>36535</v>
      </c>
      <c r="AB240" s="289" t="s">
        <v>1056</v>
      </c>
      <c r="AC240" s="289" t="s">
        <v>1056</v>
      </c>
      <c r="AD240" s="345"/>
      <c r="AE240" s="285">
        <f t="shared" ref="AE240:AE249" si="110">SUM(Z240:AD240)</f>
        <v>36535</v>
      </c>
      <c r="AF240" s="287">
        <v>0</v>
      </c>
    </row>
    <row r="241" spans="1:32" hidden="1">
      <c r="A241" s="300" t="s">
        <v>1075</v>
      </c>
      <c r="B241" s="301" t="s">
        <v>1073</v>
      </c>
      <c r="C241" s="301" t="s">
        <v>1088</v>
      </c>
      <c r="D241" s="301" t="s">
        <v>1056</v>
      </c>
      <c r="E241" s="301" t="s">
        <v>1089</v>
      </c>
      <c r="F241" s="283" t="s">
        <v>3</v>
      </c>
      <c r="G241" s="1" t="s">
        <v>51</v>
      </c>
      <c r="H241" s="285">
        <v>0</v>
      </c>
      <c r="I241" s="285">
        <f t="shared" si="107"/>
        <v>840907.01951999997</v>
      </c>
      <c r="J241" s="280">
        <f t="shared" si="86"/>
        <v>27098.882929693187</v>
      </c>
      <c r="K241" s="288">
        <v>0.99</v>
      </c>
      <c r="L241" s="285" t="s">
        <v>1056</v>
      </c>
      <c r="M241" s="340"/>
      <c r="N241" s="289" t="s">
        <v>1056</v>
      </c>
      <c r="O241" s="289">
        <v>0</v>
      </c>
      <c r="P241" s="366">
        <f t="shared" si="108"/>
        <v>0</v>
      </c>
      <c r="Q241" s="289" t="s">
        <v>1056</v>
      </c>
      <c r="R241" s="345"/>
      <c r="S241" s="289">
        <v>845000</v>
      </c>
      <c r="T241" s="345"/>
      <c r="U241" s="289">
        <v>132500</v>
      </c>
      <c r="V241" s="372"/>
      <c r="W241" s="289" t="s">
        <v>1056</v>
      </c>
      <c r="X241" s="372"/>
      <c r="Y241" s="285">
        <f t="shared" si="109"/>
        <v>977500</v>
      </c>
      <c r="Z241" s="289" t="s">
        <v>1056</v>
      </c>
      <c r="AA241" s="289">
        <v>36535</v>
      </c>
      <c r="AB241" s="289">
        <v>9465</v>
      </c>
      <c r="AC241" s="289" t="s">
        <v>1056</v>
      </c>
      <c r="AD241" s="345"/>
      <c r="AE241" s="285">
        <f t="shared" si="110"/>
        <v>46000</v>
      </c>
      <c r="AF241" s="287">
        <v>0</v>
      </c>
    </row>
    <row r="242" spans="1:32" hidden="1">
      <c r="A242" s="300" t="s">
        <v>1075</v>
      </c>
      <c r="B242" s="301" t="s">
        <v>1073</v>
      </c>
      <c r="C242" s="301" t="s">
        <v>1088</v>
      </c>
      <c r="D242" s="301" t="s">
        <v>1056</v>
      </c>
      <c r="E242" s="301" t="s">
        <v>1089</v>
      </c>
      <c r="F242" s="283" t="s">
        <v>3</v>
      </c>
      <c r="G242" s="1" t="s">
        <v>1062</v>
      </c>
      <c r="H242" s="285">
        <v>0</v>
      </c>
      <c r="I242" s="285">
        <f t="shared" si="107"/>
        <v>840907.01951999997</v>
      </c>
      <c r="J242" s="280">
        <f t="shared" si="86"/>
        <v>27098.882929693187</v>
      </c>
      <c r="K242" s="288">
        <v>0.99</v>
      </c>
      <c r="L242" s="285" t="s">
        <v>1056</v>
      </c>
      <c r="M242" s="340"/>
      <c r="N242" s="289" t="s">
        <v>1056</v>
      </c>
      <c r="O242" s="289">
        <v>0</v>
      </c>
      <c r="P242" s="366">
        <f t="shared" si="108"/>
        <v>0</v>
      </c>
      <c r="Q242" s="289" t="s">
        <v>1056</v>
      </c>
      <c r="R242" s="345"/>
      <c r="S242" s="289">
        <v>845000</v>
      </c>
      <c r="T242" s="345"/>
      <c r="U242" s="289">
        <v>132500</v>
      </c>
      <c r="V242" s="372"/>
      <c r="W242" s="289" t="s">
        <v>1056</v>
      </c>
      <c r="X242" s="372"/>
      <c r="Y242" s="285">
        <f t="shared" si="109"/>
        <v>977500</v>
      </c>
      <c r="Z242" s="289" t="s">
        <v>1056</v>
      </c>
      <c r="AA242" s="289">
        <v>36535</v>
      </c>
      <c r="AB242" s="289">
        <v>9465</v>
      </c>
      <c r="AC242" s="289">
        <f>I242*$C$284*$E$289</f>
        <v>32518.659515631825</v>
      </c>
      <c r="AD242" s="345"/>
      <c r="AE242" s="285">
        <f t="shared" si="110"/>
        <v>78518.659515631822</v>
      </c>
      <c r="AF242" s="287">
        <v>0</v>
      </c>
    </row>
    <row r="243" spans="1:32" hidden="1">
      <c r="A243" s="300" t="s">
        <v>1075</v>
      </c>
      <c r="B243" s="301" t="s">
        <v>1073</v>
      </c>
      <c r="C243" s="301" t="s">
        <v>1088</v>
      </c>
      <c r="D243" s="301" t="s">
        <v>1056</v>
      </c>
      <c r="E243" s="301" t="s">
        <v>1089</v>
      </c>
      <c r="F243" s="283" t="s">
        <v>3</v>
      </c>
      <c r="G243" s="1" t="s">
        <v>1063</v>
      </c>
      <c r="H243" s="285">
        <v>0</v>
      </c>
      <c r="I243" s="285">
        <f t="shared" si="107"/>
        <v>840907.01951999997</v>
      </c>
      <c r="J243" s="280">
        <f t="shared" si="86"/>
        <v>27098.882929693187</v>
      </c>
      <c r="K243" s="288">
        <v>0</v>
      </c>
      <c r="L243" s="285" t="s">
        <v>1056</v>
      </c>
      <c r="M243" s="340"/>
      <c r="N243" s="289">
        <f t="shared" ref="N243:N249" si="111">$K$280</f>
        <v>50000</v>
      </c>
      <c r="O243" s="289">
        <v>0</v>
      </c>
      <c r="P243" s="366">
        <f t="shared" si="108"/>
        <v>50000</v>
      </c>
      <c r="Q243" s="289" t="s">
        <v>1056</v>
      </c>
      <c r="R243" s="345"/>
      <c r="S243" s="289">
        <v>845000</v>
      </c>
      <c r="T243" s="345"/>
      <c r="U243" s="289" t="s">
        <v>1056</v>
      </c>
      <c r="V243" s="372"/>
      <c r="W243" s="286">
        <f>W244</f>
        <v>54000000</v>
      </c>
      <c r="X243" s="371"/>
      <c r="Y243" s="285">
        <f t="shared" si="109"/>
        <v>54845000</v>
      </c>
      <c r="Z243" s="289" t="s">
        <v>1056</v>
      </c>
      <c r="AA243" s="289">
        <v>36535</v>
      </c>
      <c r="AB243" s="289" t="s">
        <v>1056</v>
      </c>
      <c r="AC243" s="289" t="s">
        <v>1056</v>
      </c>
      <c r="AD243" s="345"/>
      <c r="AE243" s="285">
        <f t="shared" si="110"/>
        <v>36535</v>
      </c>
      <c r="AF243" s="287">
        <v>0</v>
      </c>
    </row>
    <row r="244" spans="1:32" hidden="1">
      <c r="A244" s="300" t="s">
        <v>1075</v>
      </c>
      <c r="B244" s="301" t="s">
        <v>1073</v>
      </c>
      <c r="C244" s="301" t="s">
        <v>1088</v>
      </c>
      <c r="D244" s="301" t="s">
        <v>1056</v>
      </c>
      <c r="E244" s="301" t="s">
        <v>1089</v>
      </c>
      <c r="F244" s="283" t="s">
        <v>3</v>
      </c>
      <c r="G244" s="1" t="s">
        <v>1064</v>
      </c>
      <c r="H244" s="285">
        <v>0</v>
      </c>
      <c r="I244" s="285">
        <f t="shared" si="107"/>
        <v>840907.01951999997</v>
      </c>
      <c r="J244" s="280">
        <f t="shared" si="86"/>
        <v>27098.882929693187</v>
      </c>
      <c r="K244" s="288">
        <v>0</v>
      </c>
      <c r="L244" s="285" t="s">
        <v>1056</v>
      </c>
      <c r="M244" s="340"/>
      <c r="N244" s="289">
        <f t="shared" si="111"/>
        <v>50000</v>
      </c>
      <c r="O244" s="289">
        <v>0</v>
      </c>
      <c r="P244" s="366">
        <f t="shared" si="108"/>
        <v>50000</v>
      </c>
      <c r="Q244" s="289" t="s">
        <v>1056</v>
      </c>
      <c r="R244" s="345"/>
      <c r="S244" s="289">
        <v>845000</v>
      </c>
      <c r="T244" s="345"/>
      <c r="U244" s="289" t="s">
        <v>1056</v>
      </c>
      <c r="V244" s="372"/>
      <c r="W244" s="289">
        <v>54000000</v>
      </c>
      <c r="X244" s="372"/>
      <c r="Y244" s="285">
        <f t="shared" si="109"/>
        <v>54845000</v>
      </c>
      <c r="Z244" s="289" t="s">
        <v>1056</v>
      </c>
      <c r="AA244" s="289">
        <v>36535</v>
      </c>
      <c r="AB244" s="289" t="s">
        <v>1056</v>
      </c>
      <c r="AC244" s="289" t="s">
        <v>1056</v>
      </c>
      <c r="AD244" s="345"/>
      <c r="AE244" s="285">
        <f t="shared" si="110"/>
        <v>36535</v>
      </c>
      <c r="AF244" s="287">
        <v>0</v>
      </c>
    </row>
    <row r="245" spans="1:32" hidden="1">
      <c r="A245" s="300" t="s">
        <v>1075</v>
      </c>
      <c r="B245" s="301" t="s">
        <v>1074</v>
      </c>
      <c r="C245" s="301" t="s">
        <v>1088</v>
      </c>
      <c r="D245" s="301" t="s">
        <v>1056</v>
      </c>
      <c r="E245" s="301" t="s">
        <v>1089</v>
      </c>
      <c r="F245" s="283" t="s">
        <v>3</v>
      </c>
      <c r="G245" s="1" t="s">
        <v>1061</v>
      </c>
      <c r="H245" s="285">
        <v>18</v>
      </c>
      <c r="I245" s="285">
        <f t="shared" si="107"/>
        <v>840907.01951999997</v>
      </c>
      <c r="J245" s="280">
        <f t="shared" si="86"/>
        <v>27098.882929693187</v>
      </c>
      <c r="K245" s="288">
        <v>0.35</v>
      </c>
      <c r="L245" s="285">
        <f>$J$280</f>
        <v>1200000</v>
      </c>
      <c r="M245" s="341"/>
      <c r="N245" s="289">
        <f t="shared" si="111"/>
        <v>50000</v>
      </c>
      <c r="O245" s="289">
        <v>0</v>
      </c>
      <c r="P245" s="366">
        <f t="shared" si="108"/>
        <v>50000</v>
      </c>
      <c r="Q245" s="289">
        <f>$H$280</f>
        <v>93326.7</v>
      </c>
      <c r="R245" s="345"/>
      <c r="S245" s="289">
        <v>845000</v>
      </c>
      <c r="T245" s="345"/>
      <c r="U245" s="289" t="s">
        <v>1056</v>
      </c>
      <c r="V245" s="372"/>
      <c r="W245" s="289" t="s">
        <v>1056</v>
      </c>
      <c r="X245" s="372"/>
      <c r="Y245" s="285">
        <f t="shared" si="109"/>
        <v>938326.7</v>
      </c>
      <c r="Z245" s="289">
        <f>$I$280</f>
        <v>4401.915</v>
      </c>
      <c r="AA245" s="289">
        <v>36535</v>
      </c>
      <c r="AB245" s="289" t="s">
        <v>1056</v>
      </c>
      <c r="AC245" s="289" t="s">
        <v>1056</v>
      </c>
      <c r="AD245" s="345"/>
      <c r="AE245" s="285">
        <f t="shared" si="110"/>
        <v>40936.915000000001</v>
      </c>
      <c r="AF245" s="287">
        <v>0</v>
      </c>
    </row>
    <row r="246" spans="1:32" hidden="1">
      <c r="A246" s="300" t="s">
        <v>1075</v>
      </c>
      <c r="B246" s="301" t="s">
        <v>1074</v>
      </c>
      <c r="C246" s="301" t="s">
        <v>1088</v>
      </c>
      <c r="D246" s="301" t="s">
        <v>1056</v>
      </c>
      <c r="E246" s="301" t="s">
        <v>1089</v>
      </c>
      <c r="F246" s="283" t="s">
        <v>3</v>
      </c>
      <c r="G246" s="1" t="s">
        <v>51</v>
      </c>
      <c r="H246" s="285">
        <v>0</v>
      </c>
      <c r="I246" s="285">
        <f t="shared" si="107"/>
        <v>840907.01951999997</v>
      </c>
      <c r="J246" s="280">
        <f t="shared" si="86"/>
        <v>27098.882929693187</v>
      </c>
      <c r="K246" s="288">
        <v>0.99</v>
      </c>
      <c r="L246" s="285">
        <f>$J$280</f>
        <v>1200000</v>
      </c>
      <c r="M246" s="341"/>
      <c r="N246" s="289">
        <f t="shared" si="111"/>
        <v>50000</v>
      </c>
      <c r="O246" s="289">
        <v>0</v>
      </c>
      <c r="P246" s="366">
        <f t="shared" si="108"/>
        <v>50000</v>
      </c>
      <c r="Q246" s="289">
        <f>$H$280</f>
        <v>93326.7</v>
      </c>
      <c r="R246" s="345"/>
      <c r="S246" s="289">
        <v>845000</v>
      </c>
      <c r="T246" s="345"/>
      <c r="U246" s="289">
        <v>132500</v>
      </c>
      <c r="V246" s="372"/>
      <c r="W246" s="289" t="s">
        <v>1056</v>
      </c>
      <c r="X246" s="372"/>
      <c r="Y246" s="285">
        <f t="shared" si="109"/>
        <v>1070826.7</v>
      </c>
      <c r="Z246" s="289">
        <f>$I$280</f>
        <v>4401.915</v>
      </c>
      <c r="AA246" s="289">
        <v>36535</v>
      </c>
      <c r="AB246" s="289">
        <v>9465</v>
      </c>
      <c r="AC246" s="289" t="s">
        <v>1056</v>
      </c>
      <c r="AD246" s="345"/>
      <c r="AE246" s="285">
        <f t="shared" si="110"/>
        <v>50401.915000000001</v>
      </c>
      <c r="AF246" s="287">
        <v>0</v>
      </c>
    </row>
    <row r="247" spans="1:32" hidden="1">
      <c r="A247" s="300" t="s">
        <v>1075</v>
      </c>
      <c r="B247" s="301" t="s">
        <v>1074</v>
      </c>
      <c r="C247" s="301" t="s">
        <v>1088</v>
      </c>
      <c r="D247" s="301" t="s">
        <v>1056</v>
      </c>
      <c r="E247" s="301" t="s">
        <v>1089</v>
      </c>
      <c r="F247" s="283" t="s">
        <v>3</v>
      </c>
      <c r="G247" s="1" t="s">
        <v>1062</v>
      </c>
      <c r="H247" s="285">
        <v>0</v>
      </c>
      <c r="I247" s="285">
        <f t="shared" si="107"/>
        <v>840907.01951999997</v>
      </c>
      <c r="J247" s="280">
        <f t="shared" si="86"/>
        <v>27098.882929693187</v>
      </c>
      <c r="K247" s="288">
        <v>0.99</v>
      </c>
      <c r="L247" s="285">
        <f>$J$280</f>
        <v>1200000</v>
      </c>
      <c r="M247" s="341"/>
      <c r="N247" s="289">
        <f t="shared" si="111"/>
        <v>50000</v>
      </c>
      <c r="O247" s="289">
        <v>0</v>
      </c>
      <c r="P247" s="366">
        <f t="shared" si="108"/>
        <v>50000</v>
      </c>
      <c r="Q247" s="289">
        <f>$H$280</f>
        <v>93326.7</v>
      </c>
      <c r="R247" s="345"/>
      <c r="S247" s="289">
        <v>845000</v>
      </c>
      <c r="T247" s="345"/>
      <c r="U247" s="289">
        <v>132500</v>
      </c>
      <c r="V247" s="372"/>
      <c r="W247" s="289" t="s">
        <v>1056</v>
      </c>
      <c r="X247" s="372"/>
      <c r="Y247" s="285">
        <f t="shared" si="109"/>
        <v>1070826.7</v>
      </c>
      <c r="Z247" s="289">
        <f>$I$280</f>
        <v>4401.915</v>
      </c>
      <c r="AA247" s="289">
        <v>36535</v>
      </c>
      <c r="AB247" s="289">
        <v>9465</v>
      </c>
      <c r="AC247" s="289">
        <f>I247*$C$284*$E$289</f>
        <v>32518.659515631825</v>
      </c>
      <c r="AD247" s="345"/>
      <c r="AE247" s="285">
        <f t="shared" si="110"/>
        <v>82920.57451563183</v>
      </c>
      <c r="AF247" s="287">
        <v>0</v>
      </c>
    </row>
    <row r="248" spans="1:32" hidden="1">
      <c r="A248" s="300" t="s">
        <v>1075</v>
      </c>
      <c r="B248" s="301" t="s">
        <v>1074</v>
      </c>
      <c r="C248" s="301" t="s">
        <v>1088</v>
      </c>
      <c r="D248" s="301" t="s">
        <v>1056</v>
      </c>
      <c r="E248" s="301" t="s">
        <v>1089</v>
      </c>
      <c r="F248" s="283" t="s">
        <v>3</v>
      </c>
      <c r="G248" s="1" t="s">
        <v>1063</v>
      </c>
      <c r="H248" s="285">
        <v>0</v>
      </c>
      <c r="I248" s="285">
        <f t="shared" si="107"/>
        <v>840907.01951999997</v>
      </c>
      <c r="J248" s="280">
        <f t="shared" si="86"/>
        <v>27098.882929693187</v>
      </c>
      <c r="K248" s="288">
        <v>0</v>
      </c>
      <c r="L248" s="285">
        <f>$J$280</f>
        <v>1200000</v>
      </c>
      <c r="M248" s="341"/>
      <c r="N248" s="289">
        <f t="shared" si="111"/>
        <v>50000</v>
      </c>
      <c r="O248" s="289">
        <v>0</v>
      </c>
      <c r="P248" s="366">
        <f t="shared" si="108"/>
        <v>50000</v>
      </c>
      <c r="Q248" s="289">
        <f>$H$280</f>
        <v>93326.7</v>
      </c>
      <c r="R248" s="345"/>
      <c r="S248" s="289">
        <v>845000</v>
      </c>
      <c r="T248" s="345"/>
      <c r="U248" s="289" t="s">
        <v>1056</v>
      </c>
      <c r="V248" s="372"/>
      <c r="W248" s="286">
        <f>W249</f>
        <v>54000000</v>
      </c>
      <c r="X248" s="371"/>
      <c r="Y248" s="285">
        <f t="shared" si="109"/>
        <v>54938326.700000003</v>
      </c>
      <c r="Z248" s="289">
        <f>$I$280</f>
        <v>4401.915</v>
      </c>
      <c r="AA248" s="289">
        <v>36535</v>
      </c>
      <c r="AB248" s="289" t="s">
        <v>1056</v>
      </c>
      <c r="AC248" s="289" t="s">
        <v>1056</v>
      </c>
      <c r="AD248" s="345"/>
      <c r="AE248" s="285">
        <f t="shared" si="110"/>
        <v>40936.915000000001</v>
      </c>
      <c r="AF248" s="287">
        <v>0</v>
      </c>
    </row>
    <row r="249" spans="1:32" hidden="1">
      <c r="A249" s="300" t="s">
        <v>1075</v>
      </c>
      <c r="B249" s="301" t="s">
        <v>1074</v>
      </c>
      <c r="C249" s="301" t="s">
        <v>1088</v>
      </c>
      <c r="D249" s="301" t="s">
        <v>1056</v>
      </c>
      <c r="E249" s="301" t="s">
        <v>1089</v>
      </c>
      <c r="F249" s="283" t="s">
        <v>3</v>
      </c>
      <c r="G249" s="1" t="s">
        <v>1064</v>
      </c>
      <c r="H249" s="285">
        <v>0</v>
      </c>
      <c r="I249" s="285">
        <f t="shared" si="107"/>
        <v>840907.01951999997</v>
      </c>
      <c r="J249" s="280">
        <f t="shared" si="86"/>
        <v>27098.882929693187</v>
      </c>
      <c r="K249" s="288">
        <v>0</v>
      </c>
      <c r="L249" s="285">
        <f>$J$280</f>
        <v>1200000</v>
      </c>
      <c r="M249" s="341"/>
      <c r="N249" s="289">
        <f t="shared" si="111"/>
        <v>50000</v>
      </c>
      <c r="O249" s="289">
        <v>0</v>
      </c>
      <c r="P249" s="366">
        <f t="shared" si="108"/>
        <v>50000</v>
      </c>
      <c r="Q249" s="289">
        <f>$H$280</f>
        <v>93326.7</v>
      </c>
      <c r="R249" s="345"/>
      <c r="S249" s="289">
        <v>845000</v>
      </c>
      <c r="T249" s="345"/>
      <c r="U249" s="289" t="s">
        <v>1056</v>
      </c>
      <c r="V249" s="372"/>
      <c r="W249" s="289">
        <v>54000000</v>
      </c>
      <c r="X249" s="372"/>
      <c r="Y249" s="285">
        <f t="shared" si="109"/>
        <v>54938326.700000003</v>
      </c>
      <c r="Z249" s="289">
        <f>$I$280</f>
        <v>4401.915</v>
      </c>
      <c r="AA249" s="289">
        <v>36535</v>
      </c>
      <c r="AB249" s="289" t="s">
        <v>1056</v>
      </c>
      <c r="AC249" s="289" t="s">
        <v>1056</v>
      </c>
      <c r="AD249" s="345"/>
      <c r="AE249" s="285">
        <f t="shared" si="110"/>
        <v>40936.915000000001</v>
      </c>
      <c r="AF249" s="287">
        <v>0</v>
      </c>
    </row>
    <row r="250" spans="1:32" hidden="1">
      <c r="A250" s="300" t="s">
        <v>1075</v>
      </c>
      <c r="B250" s="301" t="s">
        <v>1073</v>
      </c>
      <c r="C250" s="301" t="s">
        <v>1090</v>
      </c>
      <c r="D250" s="301" t="s">
        <v>1056</v>
      </c>
      <c r="E250" s="301" t="s">
        <v>1091</v>
      </c>
      <c r="F250" s="307" t="s">
        <v>3</v>
      </c>
      <c r="G250" s="1" t="s">
        <v>1092</v>
      </c>
      <c r="H250" s="285">
        <v>845</v>
      </c>
      <c r="I250" s="285">
        <f>$F$281</f>
        <v>312797.56684799999</v>
      </c>
      <c r="J250" s="280">
        <f t="shared" si="86"/>
        <v>10080.144948183808</v>
      </c>
      <c r="K250" s="288">
        <v>0</v>
      </c>
      <c r="L250" s="285" t="s">
        <v>1056</v>
      </c>
      <c r="M250" s="340"/>
      <c r="N250" s="289" t="s">
        <v>1056</v>
      </c>
      <c r="O250" s="286">
        <v>0</v>
      </c>
      <c r="P250" s="366">
        <f>SUM(N250:O250)</f>
        <v>0</v>
      </c>
      <c r="Q250" s="289" t="s">
        <v>1056</v>
      </c>
      <c r="R250" s="345"/>
      <c r="S250" s="286" t="s">
        <v>1056</v>
      </c>
      <c r="T250" s="344"/>
      <c r="U250" s="289" t="s">
        <v>1056</v>
      </c>
      <c r="V250" s="372"/>
      <c r="W250" s="286" t="s">
        <v>1056</v>
      </c>
      <c r="X250" s="371"/>
      <c r="Y250" s="285" t="s">
        <v>1056</v>
      </c>
      <c r="Z250" s="289" t="s">
        <v>1056</v>
      </c>
      <c r="AA250" s="289" t="s">
        <v>1056</v>
      </c>
      <c r="AB250" s="289" t="s">
        <v>1056</v>
      </c>
      <c r="AC250" s="286" t="s">
        <v>1056</v>
      </c>
      <c r="AD250" s="344"/>
      <c r="AE250" s="285" t="s">
        <v>1056</v>
      </c>
      <c r="AF250" s="287" t="s">
        <v>1056</v>
      </c>
    </row>
    <row r="251" spans="1:32" hidden="1">
      <c r="A251" s="300" t="s">
        <v>1075</v>
      </c>
      <c r="B251" s="301" t="s">
        <v>1073</v>
      </c>
      <c r="C251" s="301" t="s">
        <v>1090</v>
      </c>
      <c r="D251" s="301" t="s">
        <v>1056</v>
      </c>
      <c r="E251" s="301" t="s">
        <v>1091</v>
      </c>
      <c r="F251" s="283" t="s">
        <v>3</v>
      </c>
      <c r="G251" s="1" t="s">
        <v>1061</v>
      </c>
      <c r="H251" s="285">
        <v>0</v>
      </c>
      <c r="I251" s="285">
        <f t="shared" ref="I251:I260" si="112">$F$281</f>
        <v>312797.56684799999</v>
      </c>
      <c r="J251" s="280">
        <f t="shared" si="86"/>
        <v>10080.144948183808</v>
      </c>
      <c r="K251" s="288">
        <v>0.35</v>
      </c>
      <c r="L251" s="285" t="s">
        <v>1056</v>
      </c>
      <c r="M251" s="340"/>
      <c r="N251" s="289" t="s">
        <v>1056</v>
      </c>
      <c r="O251" s="289">
        <v>0</v>
      </c>
      <c r="P251" s="366">
        <f t="shared" ref="P251:P260" si="113">SUM(N251:O251)</f>
        <v>0</v>
      </c>
      <c r="Q251" s="289" t="s">
        <v>1056</v>
      </c>
      <c r="R251" s="345"/>
      <c r="S251" s="289">
        <v>845000</v>
      </c>
      <c r="T251" s="345"/>
      <c r="U251" s="289" t="s">
        <v>1056</v>
      </c>
      <c r="V251" s="372"/>
      <c r="W251" s="289" t="s">
        <v>1056</v>
      </c>
      <c r="X251" s="372"/>
      <c r="Y251" s="285">
        <f t="shared" ref="Y251:Y260" si="114">SUM(Q251:W251)</f>
        <v>845000</v>
      </c>
      <c r="Z251" s="289" t="s">
        <v>1056</v>
      </c>
      <c r="AA251" s="289">
        <v>36535</v>
      </c>
      <c r="AB251" s="289" t="s">
        <v>1056</v>
      </c>
      <c r="AC251" s="289" t="s">
        <v>1056</v>
      </c>
      <c r="AD251" s="345"/>
      <c r="AE251" s="285">
        <f t="shared" ref="AE251:AE260" si="115">SUM(Z251:AD251)</f>
        <v>36535</v>
      </c>
      <c r="AF251" s="287">
        <v>0</v>
      </c>
    </row>
    <row r="252" spans="1:32" hidden="1">
      <c r="A252" s="300" t="s">
        <v>1075</v>
      </c>
      <c r="B252" s="301" t="s">
        <v>1073</v>
      </c>
      <c r="C252" s="301" t="s">
        <v>1090</v>
      </c>
      <c r="D252" s="301" t="s">
        <v>1056</v>
      </c>
      <c r="E252" s="301" t="s">
        <v>1091</v>
      </c>
      <c r="F252" s="283" t="s">
        <v>3</v>
      </c>
      <c r="G252" s="1" t="s">
        <v>51</v>
      </c>
      <c r="H252" s="285">
        <v>0</v>
      </c>
      <c r="I252" s="285">
        <f t="shared" si="112"/>
        <v>312797.56684799999</v>
      </c>
      <c r="J252" s="280">
        <f t="shared" si="86"/>
        <v>10080.144948183808</v>
      </c>
      <c r="K252" s="288">
        <v>0.99</v>
      </c>
      <c r="L252" s="285" t="s">
        <v>1056</v>
      </c>
      <c r="M252" s="340"/>
      <c r="N252" s="289" t="s">
        <v>1056</v>
      </c>
      <c r="O252" s="289">
        <v>0</v>
      </c>
      <c r="P252" s="366">
        <f t="shared" si="113"/>
        <v>0</v>
      </c>
      <c r="Q252" s="289" t="s">
        <v>1056</v>
      </c>
      <c r="R252" s="345"/>
      <c r="S252" s="289">
        <v>845000</v>
      </c>
      <c r="T252" s="345"/>
      <c r="U252" s="289">
        <v>132500</v>
      </c>
      <c r="V252" s="372"/>
      <c r="W252" s="289" t="s">
        <v>1056</v>
      </c>
      <c r="X252" s="372"/>
      <c r="Y252" s="285">
        <f t="shared" si="114"/>
        <v>977500</v>
      </c>
      <c r="Z252" s="289" t="s">
        <v>1056</v>
      </c>
      <c r="AA252" s="289">
        <v>36535</v>
      </c>
      <c r="AB252" s="289">
        <v>9465</v>
      </c>
      <c r="AC252" s="289" t="s">
        <v>1056</v>
      </c>
      <c r="AD252" s="345"/>
      <c r="AE252" s="285">
        <f t="shared" si="115"/>
        <v>46000</v>
      </c>
      <c r="AF252" s="287">
        <v>0</v>
      </c>
    </row>
    <row r="253" spans="1:32" hidden="1">
      <c r="A253" s="300" t="s">
        <v>1075</v>
      </c>
      <c r="B253" s="301" t="s">
        <v>1073</v>
      </c>
      <c r="C253" s="301" t="s">
        <v>1090</v>
      </c>
      <c r="D253" s="301" t="s">
        <v>1056</v>
      </c>
      <c r="E253" s="301" t="s">
        <v>1091</v>
      </c>
      <c r="F253" s="283" t="s">
        <v>3</v>
      </c>
      <c r="G253" s="1" t="s">
        <v>1062</v>
      </c>
      <c r="H253" s="285">
        <v>0</v>
      </c>
      <c r="I253" s="285">
        <f t="shared" si="112"/>
        <v>312797.56684799999</v>
      </c>
      <c r="J253" s="280">
        <f t="shared" si="86"/>
        <v>10080.144948183808</v>
      </c>
      <c r="K253" s="288">
        <v>0.99</v>
      </c>
      <c r="L253" s="285" t="s">
        <v>1056</v>
      </c>
      <c r="M253" s="340"/>
      <c r="N253" s="289" t="s">
        <v>1056</v>
      </c>
      <c r="O253" s="289">
        <v>0</v>
      </c>
      <c r="P253" s="366">
        <f t="shared" si="113"/>
        <v>0</v>
      </c>
      <c r="Q253" s="289" t="s">
        <v>1056</v>
      </c>
      <c r="R253" s="345"/>
      <c r="S253" s="289">
        <v>845000</v>
      </c>
      <c r="T253" s="345"/>
      <c r="U253" s="289">
        <v>132500</v>
      </c>
      <c r="V253" s="372"/>
      <c r="W253" s="289" t="s">
        <v>1056</v>
      </c>
      <c r="X253" s="372"/>
      <c r="Y253" s="285">
        <f t="shared" si="114"/>
        <v>977500</v>
      </c>
      <c r="Z253" s="289" t="s">
        <v>1056</v>
      </c>
      <c r="AA253" s="289">
        <v>36535</v>
      </c>
      <c r="AB253" s="289">
        <v>9465</v>
      </c>
      <c r="AC253" s="289">
        <f>I253*$C$284*$E$289</f>
        <v>12096.173937820569</v>
      </c>
      <c r="AD253" s="345"/>
      <c r="AE253" s="285">
        <f t="shared" si="115"/>
        <v>58096.173937820568</v>
      </c>
      <c r="AF253" s="287">
        <v>0</v>
      </c>
    </row>
    <row r="254" spans="1:32" hidden="1">
      <c r="A254" s="300" t="s">
        <v>1075</v>
      </c>
      <c r="B254" s="301" t="s">
        <v>1073</v>
      </c>
      <c r="C254" s="301" t="s">
        <v>1090</v>
      </c>
      <c r="D254" s="301" t="s">
        <v>1056</v>
      </c>
      <c r="E254" s="301" t="s">
        <v>1091</v>
      </c>
      <c r="F254" s="283" t="s">
        <v>3</v>
      </c>
      <c r="G254" s="1" t="s">
        <v>1063</v>
      </c>
      <c r="H254" s="285">
        <v>0</v>
      </c>
      <c r="I254" s="285">
        <f t="shared" si="112"/>
        <v>312797.56684799999</v>
      </c>
      <c r="J254" s="280">
        <f t="shared" si="86"/>
        <v>10080.144948183808</v>
      </c>
      <c r="K254" s="288">
        <v>0</v>
      </c>
      <c r="L254" s="285" t="s">
        <v>1056</v>
      </c>
      <c r="M254" s="340"/>
      <c r="N254" s="289">
        <f t="shared" ref="N254:N260" si="116">$K$281</f>
        <v>25000</v>
      </c>
      <c r="O254" s="289">
        <v>0</v>
      </c>
      <c r="P254" s="366">
        <f t="shared" si="113"/>
        <v>25000</v>
      </c>
      <c r="Q254" s="289" t="s">
        <v>1056</v>
      </c>
      <c r="R254" s="345"/>
      <c r="S254" s="289">
        <v>845000</v>
      </c>
      <c r="T254" s="345"/>
      <c r="U254" s="289" t="s">
        <v>1056</v>
      </c>
      <c r="V254" s="372"/>
      <c r="W254" s="286">
        <f>W255</f>
        <v>54000000</v>
      </c>
      <c r="X254" s="371"/>
      <c r="Y254" s="285">
        <f t="shared" si="114"/>
        <v>54845000</v>
      </c>
      <c r="Z254" s="289" t="s">
        <v>1056</v>
      </c>
      <c r="AA254" s="289">
        <v>36535</v>
      </c>
      <c r="AB254" s="289" t="s">
        <v>1056</v>
      </c>
      <c r="AC254" s="289" t="s">
        <v>1056</v>
      </c>
      <c r="AD254" s="345"/>
      <c r="AE254" s="285">
        <f t="shared" si="115"/>
        <v>36535</v>
      </c>
      <c r="AF254" s="287">
        <v>0</v>
      </c>
    </row>
    <row r="255" spans="1:32" hidden="1">
      <c r="A255" s="300" t="s">
        <v>1075</v>
      </c>
      <c r="B255" s="301" t="s">
        <v>1073</v>
      </c>
      <c r="C255" s="301" t="s">
        <v>1090</v>
      </c>
      <c r="D255" s="301" t="s">
        <v>1056</v>
      </c>
      <c r="E255" s="301" t="s">
        <v>1091</v>
      </c>
      <c r="F255" s="283" t="s">
        <v>3</v>
      </c>
      <c r="G255" s="1" t="s">
        <v>1064</v>
      </c>
      <c r="H255" s="285">
        <v>0</v>
      </c>
      <c r="I255" s="285">
        <f t="shared" si="112"/>
        <v>312797.56684799999</v>
      </c>
      <c r="J255" s="280">
        <f t="shared" si="86"/>
        <v>10080.144948183808</v>
      </c>
      <c r="K255" s="288">
        <v>0</v>
      </c>
      <c r="L255" s="285" t="s">
        <v>1056</v>
      </c>
      <c r="M255" s="340"/>
      <c r="N255" s="289">
        <f t="shared" si="116"/>
        <v>25000</v>
      </c>
      <c r="O255" s="289">
        <v>0</v>
      </c>
      <c r="P255" s="366">
        <f t="shared" si="113"/>
        <v>25000</v>
      </c>
      <c r="Q255" s="289" t="s">
        <v>1056</v>
      </c>
      <c r="R255" s="345"/>
      <c r="S255" s="289">
        <v>845000</v>
      </c>
      <c r="T255" s="345"/>
      <c r="U255" s="289" t="s">
        <v>1056</v>
      </c>
      <c r="V255" s="372"/>
      <c r="W255" s="289">
        <v>54000000</v>
      </c>
      <c r="X255" s="372"/>
      <c r="Y255" s="285">
        <f t="shared" si="114"/>
        <v>54845000</v>
      </c>
      <c r="Z255" s="289" t="s">
        <v>1056</v>
      </c>
      <c r="AA255" s="289">
        <v>36535</v>
      </c>
      <c r="AB255" s="289" t="s">
        <v>1056</v>
      </c>
      <c r="AC255" s="289" t="s">
        <v>1056</v>
      </c>
      <c r="AD255" s="345"/>
      <c r="AE255" s="285">
        <f t="shared" si="115"/>
        <v>36535</v>
      </c>
      <c r="AF255" s="287">
        <v>0</v>
      </c>
    </row>
    <row r="256" spans="1:32" hidden="1">
      <c r="A256" s="300" t="s">
        <v>1075</v>
      </c>
      <c r="B256" s="301" t="s">
        <v>1074</v>
      </c>
      <c r="C256" s="301" t="s">
        <v>1090</v>
      </c>
      <c r="D256" s="301" t="s">
        <v>1056</v>
      </c>
      <c r="E256" s="301" t="s">
        <v>1091</v>
      </c>
      <c r="F256" s="283" t="s">
        <v>3</v>
      </c>
      <c r="G256" s="1" t="s">
        <v>1061</v>
      </c>
      <c r="H256" s="285">
        <v>65</v>
      </c>
      <c r="I256" s="285">
        <f t="shared" si="112"/>
        <v>312797.56684799999</v>
      </c>
      <c r="J256" s="280">
        <f t="shared" si="86"/>
        <v>10080.144948183808</v>
      </c>
      <c r="K256" s="288">
        <v>0.35</v>
      </c>
      <c r="L256" s="285">
        <f>$J$281</f>
        <v>560000</v>
      </c>
      <c r="M256" s="341"/>
      <c r="N256" s="289">
        <f t="shared" si="116"/>
        <v>25000</v>
      </c>
      <c r="O256" s="289">
        <v>0</v>
      </c>
      <c r="P256" s="366">
        <f t="shared" si="113"/>
        <v>25000</v>
      </c>
      <c r="Q256" s="289">
        <f>$H$281</f>
        <v>34715.33</v>
      </c>
      <c r="R256" s="345"/>
      <c r="S256" s="289">
        <v>845000</v>
      </c>
      <c r="T256" s="345"/>
      <c r="U256" s="289" t="s">
        <v>1056</v>
      </c>
      <c r="V256" s="372"/>
      <c r="W256" s="289" t="s">
        <v>1056</v>
      </c>
      <c r="X256" s="372"/>
      <c r="Y256" s="285">
        <f t="shared" si="114"/>
        <v>879715.33</v>
      </c>
      <c r="Z256" s="289">
        <f>$I$281</f>
        <v>1637.4085</v>
      </c>
      <c r="AA256" s="289">
        <v>36535</v>
      </c>
      <c r="AB256" s="289" t="s">
        <v>1056</v>
      </c>
      <c r="AC256" s="289" t="s">
        <v>1056</v>
      </c>
      <c r="AD256" s="345"/>
      <c r="AE256" s="285">
        <f t="shared" si="115"/>
        <v>38172.408499999998</v>
      </c>
      <c r="AF256" s="287">
        <v>0</v>
      </c>
    </row>
    <row r="257" spans="1:32" hidden="1">
      <c r="A257" s="300" t="s">
        <v>1075</v>
      </c>
      <c r="B257" s="301" t="s">
        <v>1074</v>
      </c>
      <c r="C257" s="301" t="s">
        <v>1090</v>
      </c>
      <c r="D257" s="301" t="s">
        <v>1056</v>
      </c>
      <c r="E257" s="301" t="s">
        <v>1091</v>
      </c>
      <c r="F257" s="283" t="s">
        <v>3</v>
      </c>
      <c r="G257" s="1" t="s">
        <v>51</v>
      </c>
      <c r="H257" s="285">
        <v>0</v>
      </c>
      <c r="I257" s="285">
        <f t="shared" si="112"/>
        <v>312797.56684799999</v>
      </c>
      <c r="J257" s="280">
        <f t="shared" si="86"/>
        <v>10080.144948183808</v>
      </c>
      <c r="K257" s="288">
        <v>0.99</v>
      </c>
      <c r="L257" s="285">
        <f>$J$281</f>
        <v>560000</v>
      </c>
      <c r="M257" s="341"/>
      <c r="N257" s="289">
        <f t="shared" si="116"/>
        <v>25000</v>
      </c>
      <c r="O257" s="289">
        <v>0</v>
      </c>
      <c r="P257" s="366">
        <f t="shared" si="113"/>
        <v>25000</v>
      </c>
      <c r="Q257" s="289">
        <f>$H$281</f>
        <v>34715.33</v>
      </c>
      <c r="R257" s="345"/>
      <c r="S257" s="289">
        <v>845000</v>
      </c>
      <c r="T257" s="345"/>
      <c r="U257" s="289">
        <v>132500</v>
      </c>
      <c r="V257" s="372"/>
      <c r="W257" s="289" t="s">
        <v>1056</v>
      </c>
      <c r="X257" s="372"/>
      <c r="Y257" s="285">
        <f t="shared" si="114"/>
        <v>1012215.33</v>
      </c>
      <c r="Z257" s="289">
        <f>$I$281</f>
        <v>1637.4085</v>
      </c>
      <c r="AA257" s="289">
        <v>36535</v>
      </c>
      <c r="AB257" s="289">
        <v>9465</v>
      </c>
      <c r="AC257" s="289" t="s">
        <v>1056</v>
      </c>
      <c r="AD257" s="345"/>
      <c r="AE257" s="285">
        <f t="shared" si="115"/>
        <v>47637.408499999998</v>
      </c>
      <c r="AF257" s="287">
        <v>0</v>
      </c>
    </row>
    <row r="258" spans="1:32" hidden="1">
      <c r="A258" s="300" t="s">
        <v>1075</v>
      </c>
      <c r="B258" s="301" t="s">
        <v>1074</v>
      </c>
      <c r="C258" s="301" t="s">
        <v>1090</v>
      </c>
      <c r="D258" s="301" t="s">
        <v>1056</v>
      </c>
      <c r="E258" s="301" t="s">
        <v>1091</v>
      </c>
      <c r="F258" s="283" t="s">
        <v>3</v>
      </c>
      <c r="G258" s="1" t="s">
        <v>1062</v>
      </c>
      <c r="H258" s="285">
        <v>0</v>
      </c>
      <c r="I258" s="285">
        <f t="shared" si="112"/>
        <v>312797.56684799999</v>
      </c>
      <c r="J258" s="280">
        <f t="shared" si="86"/>
        <v>10080.144948183808</v>
      </c>
      <c r="K258" s="288">
        <v>0.99</v>
      </c>
      <c r="L258" s="285">
        <f>$J$281</f>
        <v>560000</v>
      </c>
      <c r="M258" s="341"/>
      <c r="N258" s="289">
        <f t="shared" si="116"/>
        <v>25000</v>
      </c>
      <c r="O258" s="289">
        <v>0</v>
      </c>
      <c r="P258" s="366">
        <f t="shared" si="113"/>
        <v>25000</v>
      </c>
      <c r="Q258" s="289">
        <f>$H$281</f>
        <v>34715.33</v>
      </c>
      <c r="R258" s="345"/>
      <c r="S258" s="289">
        <v>845000</v>
      </c>
      <c r="T258" s="345"/>
      <c r="U258" s="289">
        <v>132500</v>
      </c>
      <c r="V258" s="372"/>
      <c r="W258" s="289" t="s">
        <v>1056</v>
      </c>
      <c r="X258" s="372"/>
      <c r="Y258" s="285">
        <f t="shared" si="114"/>
        <v>1012215.33</v>
      </c>
      <c r="Z258" s="289">
        <f>$I$281</f>
        <v>1637.4085</v>
      </c>
      <c r="AA258" s="289">
        <v>36535</v>
      </c>
      <c r="AB258" s="289">
        <v>9465</v>
      </c>
      <c r="AC258" s="289">
        <f>I258*$C$284*$E$289</f>
        <v>12096.173937820569</v>
      </c>
      <c r="AD258" s="345"/>
      <c r="AE258" s="285">
        <f t="shared" si="115"/>
        <v>59733.582437820565</v>
      </c>
      <c r="AF258" s="287">
        <v>0</v>
      </c>
    </row>
    <row r="259" spans="1:32" hidden="1">
      <c r="A259" s="300" t="s">
        <v>1075</v>
      </c>
      <c r="B259" s="301" t="s">
        <v>1074</v>
      </c>
      <c r="C259" s="301" t="s">
        <v>1090</v>
      </c>
      <c r="D259" s="301" t="s">
        <v>1056</v>
      </c>
      <c r="E259" s="301" t="s">
        <v>1091</v>
      </c>
      <c r="F259" s="283" t="s">
        <v>3</v>
      </c>
      <c r="G259" s="1" t="s">
        <v>1063</v>
      </c>
      <c r="H259" s="285">
        <v>0</v>
      </c>
      <c r="I259" s="285">
        <f t="shared" si="112"/>
        <v>312797.56684799999</v>
      </c>
      <c r="J259" s="280">
        <f t="shared" si="86"/>
        <v>10080.144948183808</v>
      </c>
      <c r="K259" s="288">
        <v>0</v>
      </c>
      <c r="L259" s="285">
        <f>$J$281</f>
        <v>560000</v>
      </c>
      <c r="M259" s="341"/>
      <c r="N259" s="289">
        <f t="shared" si="116"/>
        <v>25000</v>
      </c>
      <c r="O259" s="289">
        <v>0</v>
      </c>
      <c r="P259" s="366">
        <f t="shared" si="113"/>
        <v>25000</v>
      </c>
      <c r="Q259" s="289">
        <f>$H$281</f>
        <v>34715.33</v>
      </c>
      <c r="R259" s="345"/>
      <c r="S259" s="289">
        <v>845000</v>
      </c>
      <c r="T259" s="345"/>
      <c r="U259" s="289" t="s">
        <v>1056</v>
      </c>
      <c r="V259" s="372"/>
      <c r="W259" s="286">
        <f>W260</f>
        <v>54000000</v>
      </c>
      <c r="X259" s="371"/>
      <c r="Y259" s="285">
        <f t="shared" si="114"/>
        <v>54879715.329999998</v>
      </c>
      <c r="Z259" s="289">
        <f>$I$281</f>
        <v>1637.4085</v>
      </c>
      <c r="AA259" s="289">
        <v>36535</v>
      </c>
      <c r="AB259" s="289" t="s">
        <v>1056</v>
      </c>
      <c r="AC259" s="289" t="s">
        <v>1056</v>
      </c>
      <c r="AD259" s="345"/>
      <c r="AE259" s="285">
        <f t="shared" si="115"/>
        <v>38172.408499999998</v>
      </c>
      <c r="AF259" s="287">
        <v>0</v>
      </c>
    </row>
    <row r="260" spans="1:32" hidden="1">
      <c r="A260" s="308" t="s">
        <v>1075</v>
      </c>
      <c r="B260" s="309" t="s">
        <v>1074</v>
      </c>
      <c r="C260" s="309" t="s">
        <v>1090</v>
      </c>
      <c r="D260" s="309" t="s">
        <v>1056</v>
      </c>
      <c r="E260" s="309" t="s">
        <v>1091</v>
      </c>
      <c r="F260" s="293" t="s">
        <v>3</v>
      </c>
      <c r="G260" s="294" t="s">
        <v>1064</v>
      </c>
      <c r="H260" s="295">
        <v>0</v>
      </c>
      <c r="I260" s="295">
        <f t="shared" si="112"/>
        <v>312797.56684799999</v>
      </c>
      <c r="J260" s="296">
        <f t="shared" ref="J260" si="117">I260*$E$289</f>
        <v>10080.144948183808</v>
      </c>
      <c r="K260" s="297">
        <v>0</v>
      </c>
      <c r="L260" s="295">
        <f>$J$281</f>
        <v>560000</v>
      </c>
      <c r="M260" s="342"/>
      <c r="N260" s="310">
        <f t="shared" si="116"/>
        <v>25000</v>
      </c>
      <c r="O260" s="310">
        <v>0</v>
      </c>
      <c r="P260" s="367">
        <f t="shared" si="113"/>
        <v>25000</v>
      </c>
      <c r="Q260" s="310">
        <f>$H$281</f>
        <v>34715.33</v>
      </c>
      <c r="R260" s="346"/>
      <c r="S260" s="310">
        <v>845000</v>
      </c>
      <c r="T260" s="346"/>
      <c r="U260" s="310" t="s">
        <v>1056</v>
      </c>
      <c r="V260" s="374"/>
      <c r="W260" s="311">
        <v>54000000</v>
      </c>
      <c r="X260" s="378"/>
      <c r="Y260" s="295">
        <f t="shared" si="114"/>
        <v>54879715.329999998</v>
      </c>
      <c r="Z260" s="310">
        <f>$I$281</f>
        <v>1637.4085</v>
      </c>
      <c r="AA260" s="310">
        <v>36535</v>
      </c>
      <c r="AB260" s="310" t="s">
        <v>1056</v>
      </c>
      <c r="AC260" s="310" t="s">
        <v>1056</v>
      </c>
      <c r="AD260" s="346"/>
      <c r="AE260" s="295">
        <f t="shared" si="115"/>
        <v>38172.408499999998</v>
      </c>
      <c r="AF260" s="299">
        <v>0</v>
      </c>
    </row>
    <row r="261" spans="1:32" hidden="1">
      <c r="Y261" s="5"/>
      <c r="AE261" s="5">
        <f>AE256-AE251</f>
        <v>1637.4084999999977</v>
      </c>
    </row>
    <row r="262" spans="1:32">
      <c r="H262" s="312"/>
      <c r="Y262" s="5"/>
    </row>
    <row r="264" spans="1:32" s="45" customFormat="1" ht="42" customHeight="1">
      <c r="C264" s="313" t="s">
        <v>1093</v>
      </c>
      <c r="D264" s="314" t="s">
        <v>1094</v>
      </c>
      <c r="E264" s="314" t="s">
        <v>1095</v>
      </c>
      <c r="F264" s="315" t="s">
        <v>1096</v>
      </c>
      <c r="G264" s="315" t="s">
        <v>1097</v>
      </c>
      <c r="H264" s="314" t="s">
        <v>1098</v>
      </c>
      <c r="I264" s="314" t="s">
        <v>1099</v>
      </c>
      <c r="J264" s="314" t="s">
        <v>1100</v>
      </c>
      <c r="K264" s="314" t="s">
        <v>1101</v>
      </c>
      <c r="L264" s="315" t="s">
        <v>1102</v>
      </c>
      <c r="M264" s="315"/>
      <c r="Q264" s="315" t="s">
        <v>1103</v>
      </c>
      <c r="R264" s="315"/>
      <c r="S264" s="315" t="s">
        <v>1104</v>
      </c>
      <c r="T264" s="315"/>
      <c r="U264" s="316" t="s">
        <v>1037</v>
      </c>
      <c r="V264" s="377"/>
      <c r="W264" s="316" t="s">
        <v>1039</v>
      </c>
      <c r="X264" s="377"/>
      <c r="Y264" s="316" t="s">
        <v>1040</v>
      </c>
      <c r="AD264" s="316"/>
    </row>
    <row r="265" spans="1:32">
      <c r="C265" s="2" t="s">
        <v>1105</v>
      </c>
      <c r="D265" s="2">
        <v>417</v>
      </c>
      <c r="E265" s="317">
        <v>15677.67374236196</v>
      </c>
      <c r="F265" s="318">
        <f>G265/$E$289</f>
        <v>177570605.61771742</v>
      </c>
      <c r="G265" s="318">
        <f>E265*365</f>
        <v>5722350.9159621149</v>
      </c>
      <c r="H265" s="14"/>
      <c r="I265" s="14"/>
      <c r="J265" s="14"/>
      <c r="K265" s="14"/>
      <c r="L265" s="2"/>
      <c r="M265" s="2"/>
      <c r="Q265" s="2"/>
      <c r="R265" s="2"/>
      <c r="S265" s="2"/>
      <c r="T265" s="2"/>
      <c r="U265" s="2"/>
      <c r="V265" s="321"/>
      <c r="W265" s="2"/>
      <c r="X265" s="321"/>
      <c r="Y265" s="2"/>
      <c r="AD265" s="2"/>
    </row>
    <row r="266" spans="1:32">
      <c r="C266" s="2" t="s">
        <v>1106</v>
      </c>
      <c r="D266" s="2">
        <v>320</v>
      </c>
      <c r="E266" s="317">
        <v>59642.008053676196</v>
      </c>
      <c r="F266" s="318">
        <f t="shared" ref="F266:F271" si="118">G266/$E$289</f>
        <v>675525442.38316941</v>
      </c>
      <c r="G266" s="318">
        <f t="shared" ref="G266:G271" si="119">E266*365</f>
        <v>21769332.93959181</v>
      </c>
      <c r="H266" s="14"/>
      <c r="I266" s="14"/>
      <c r="J266" s="14"/>
      <c r="K266" s="14"/>
      <c r="L266" s="2"/>
      <c r="M266" s="2"/>
      <c r="Q266" s="2"/>
      <c r="R266" s="2"/>
      <c r="S266" s="2"/>
      <c r="T266" s="2"/>
      <c r="U266" s="2"/>
      <c r="V266" s="321"/>
      <c r="W266" s="2"/>
      <c r="X266" s="321"/>
      <c r="Y266" s="2"/>
      <c r="AD266" s="2"/>
    </row>
    <row r="267" spans="1:32">
      <c r="C267" s="2" t="s">
        <v>1107</v>
      </c>
      <c r="D267" s="2">
        <v>130</v>
      </c>
      <c r="E267" s="317">
        <v>71851.694482933337</v>
      </c>
      <c r="F267" s="318">
        <f t="shared" si="118"/>
        <v>813816457.31782389</v>
      </c>
      <c r="G267" s="318">
        <f t="shared" si="119"/>
        <v>26225868.48627067</v>
      </c>
      <c r="H267" s="14"/>
      <c r="I267" s="14"/>
      <c r="J267" s="14"/>
      <c r="K267" s="14"/>
      <c r="L267" s="2"/>
      <c r="M267" s="2"/>
      <c r="Q267" s="2"/>
      <c r="R267" s="2"/>
      <c r="S267" s="2"/>
      <c r="T267" s="2"/>
      <c r="U267" s="2"/>
      <c r="V267" s="321"/>
      <c r="W267" s="2"/>
      <c r="X267" s="321"/>
      <c r="Y267" s="2"/>
      <c r="AD267" s="2"/>
    </row>
    <row r="268" spans="1:32">
      <c r="C268" s="2" t="s">
        <v>1108</v>
      </c>
      <c r="D268" s="2">
        <v>171</v>
      </c>
      <c r="E268" s="317">
        <v>162252.45264992589</v>
      </c>
      <c r="F268" s="318">
        <f t="shared" si="118"/>
        <v>1837725848.4565661</v>
      </c>
      <c r="G268" s="318">
        <f t="shared" si="119"/>
        <v>59222145.217222951</v>
      </c>
      <c r="H268" s="14"/>
      <c r="I268" s="14"/>
      <c r="J268" s="14"/>
      <c r="K268" s="14"/>
      <c r="L268" s="2"/>
      <c r="M268" s="2"/>
      <c r="Q268" s="2"/>
      <c r="R268" s="2"/>
      <c r="S268" s="2"/>
      <c r="T268" s="2"/>
      <c r="U268" s="2"/>
      <c r="V268" s="321"/>
      <c r="W268" s="2"/>
      <c r="X268" s="321"/>
      <c r="Y268" s="2"/>
      <c r="AD268" s="2"/>
    </row>
    <row r="269" spans="1:32">
      <c r="C269" s="2" t="s">
        <v>1109</v>
      </c>
      <c r="D269" s="2">
        <v>150</v>
      </c>
      <c r="E269" s="317">
        <v>233972.89905061084</v>
      </c>
      <c r="F269" s="318">
        <f t="shared" si="118"/>
        <v>2650055745.8526821</v>
      </c>
      <c r="G269" s="318">
        <f t="shared" si="119"/>
        <v>85400108.15347296</v>
      </c>
      <c r="H269" s="14"/>
      <c r="I269" s="14"/>
      <c r="J269" s="14"/>
      <c r="K269" s="14"/>
      <c r="L269" s="2"/>
      <c r="M269" s="2"/>
      <c r="Q269" s="2"/>
      <c r="R269" s="2"/>
      <c r="S269" s="2"/>
      <c r="T269" s="2"/>
      <c r="U269" s="2"/>
      <c r="V269" s="321"/>
      <c r="W269" s="2"/>
      <c r="X269" s="321"/>
      <c r="Y269" s="2"/>
      <c r="AD269" s="2"/>
    </row>
    <row r="270" spans="1:32">
      <c r="C270" s="2" t="s">
        <v>1110</v>
      </c>
      <c r="D270" s="2">
        <v>188</v>
      </c>
      <c r="E270" s="317">
        <v>586382.14636649704</v>
      </c>
      <c r="F270" s="318">
        <f t="shared" si="118"/>
        <v>6641561405.3994722</v>
      </c>
      <c r="G270" s="318">
        <f t="shared" si="119"/>
        <v>214029483.42377141</v>
      </c>
      <c r="H270" s="14"/>
      <c r="I270" s="14"/>
      <c r="J270" s="14"/>
      <c r="K270" s="14"/>
      <c r="L270" s="2"/>
      <c r="M270" s="2"/>
      <c r="Q270" s="2"/>
      <c r="R270" s="2"/>
      <c r="S270" s="2"/>
      <c r="T270" s="2"/>
      <c r="U270" s="2"/>
      <c r="V270" s="321"/>
      <c r="W270" s="2"/>
      <c r="X270" s="321"/>
      <c r="Y270" s="2"/>
      <c r="AD270" s="2"/>
    </row>
    <row r="271" spans="1:32">
      <c r="C271" s="2" t="s">
        <v>1111</v>
      </c>
      <c r="D271" s="2">
        <v>98</v>
      </c>
      <c r="E271" s="317">
        <v>1016047.8274748635</v>
      </c>
      <c r="F271" s="318">
        <f t="shared" si="118"/>
        <v>11508099417.439205</v>
      </c>
      <c r="G271" s="318">
        <f t="shared" si="119"/>
        <v>370857457.0283252</v>
      </c>
      <c r="H271" s="14"/>
      <c r="I271" s="14"/>
      <c r="J271" s="14"/>
      <c r="K271" s="14"/>
      <c r="L271" s="2"/>
      <c r="M271" s="2"/>
      <c r="Q271" s="2"/>
      <c r="R271" s="2"/>
      <c r="S271" s="2"/>
      <c r="T271" s="2"/>
      <c r="U271" s="2"/>
      <c r="V271" s="321"/>
      <c r="W271" s="2"/>
      <c r="X271" s="321"/>
      <c r="Y271" s="2"/>
      <c r="AD271" s="2"/>
    </row>
    <row r="272" spans="1:32">
      <c r="G272" s="319"/>
    </row>
    <row r="273" spans="3:30" ht="56">
      <c r="C273" s="313" t="s">
        <v>1112</v>
      </c>
      <c r="D273" s="314"/>
      <c r="E273" s="314" t="s">
        <v>1113</v>
      </c>
      <c r="F273" s="314" t="s">
        <v>1096</v>
      </c>
      <c r="G273" s="315" t="s">
        <v>1097</v>
      </c>
      <c r="H273" s="314" t="s">
        <v>1098</v>
      </c>
      <c r="I273" s="314" t="s">
        <v>1099</v>
      </c>
      <c r="J273" s="314" t="s">
        <v>1100</v>
      </c>
      <c r="K273" s="314" t="s">
        <v>1101</v>
      </c>
      <c r="L273" s="315" t="s">
        <v>1102</v>
      </c>
      <c r="M273" s="315"/>
      <c r="Q273" s="315" t="s">
        <v>1103</v>
      </c>
      <c r="R273" s="315"/>
      <c r="S273" s="315" t="s">
        <v>1104</v>
      </c>
      <c r="T273" s="315"/>
      <c r="U273" s="316" t="s">
        <v>1037</v>
      </c>
      <c r="V273" s="377"/>
      <c r="W273" s="316" t="s">
        <v>1039</v>
      </c>
      <c r="X273" s="377"/>
      <c r="Y273" s="316" t="s">
        <v>1040</v>
      </c>
      <c r="AD273" s="316"/>
    </row>
    <row r="274" spans="3:30">
      <c r="C274" s="2" t="s">
        <v>1076</v>
      </c>
      <c r="D274" s="2"/>
      <c r="E274" s="8">
        <v>173244</v>
      </c>
      <c r="F274" s="8">
        <f>E274*365*24*$E$286</f>
        <v>42974069.524991997</v>
      </c>
      <c r="G274" s="320">
        <f>F274*$E$289</f>
        <v>1384872.8242689576</v>
      </c>
      <c r="H274" s="321">
        <f>27.53*E274</f>
        <v>4769407.32</v>
      </c>
      <c r="I274" s="322">
        <f t="shared" ref="I274:I281" si="120">E274*1.2985</f>
        <v>224957.334</v>
      </c>
      <c r="J274" s="322">
        <v>43000000</v>
      </c>
      <c r="K274" s="323">
        <v>480000</v>
      </c>
      <c r="L274" s="324">
        <f>H274/G274/'[4]Finance Assumptions'!$D$6</f>
        <v>0.22959544185426847</v>
      </c>
      <c r="M274" s="324"/>
      <c r="Q274" s="324">
        <f>K274/G274/'[4]Finance Assumptions'!$D$6</f>
        <v>2.3106814892473657E-2</v>
      </c>
      <c r="R274" s="324"/>
      <c r="S274" s="324">
        <f t="shared" ref="S274:S281" si="121">SUM(L274:Q274)</f>
        <v>0.25270225674674213</v>
      </c>
      <c r="T274" s="324"/>
      <c r="U274" s="325">
        <f>Q179</f>
        <v>4769407.32</v>
      </c>
      <c r="V274" s="325"/>
      <c r="W274" s="325">
        <f>U180</f>
        <v>450000</v>
      </c>
      <c r="X274" s="325"/>
      <c r="Y274" s="325" t="e">
        <f>#REF!</f>
        <v>#REF!</v>
      </c>
      <c r="AD274" s="325"/>
    </row>
    <row r="275" spans="3:30">
      <c r="C275" s="2" t="s">
        <v>1078</v>
      </c>
      <c r="D275" s="2"/>
      <c r="E275" s="8">
        <v>67118</v>
      </c>
      <c r="F275" s="8">
        <f t="shared" ref="F275:F281" si="122">E275*365*24*$E$286</f>
        <v>16648966.765823999</v>
      </c>
      <c r="G275" s="320">
        <f t="shared" ref="G275:G281" si="123">F275*$E$289</f>
        <v>536525.90692482225</v>
      </c>
      <c r="H275" s="321">
        <f t="shared" ref="H275:H281" si="124">27.53*E275</f>
        <v>1847758.54</v>
      </c>
      <c r="I275" s="322">
        <f t="shared" si="120"/>
        <v>87152.722999999998</v>
      </c>
      <c r="J275" s="322">
        <v>16900000</v>
      </c>
      <c r="K275" s="323">
        <v>210000</v>
      </c>
      <c r="L275" s="324">
        <f>H275/G275/'[4]Finance Assumptions'!$D$6</f>
        <v>0.22959544185426844</v>
      </c>
      <c r="M275" s="324"/>
      <c r="Q275" s="324">
        <f>K275/G275/'[4]Finance Assumptions'!$D$6</f>
        <v>2.6093800540300235E-2</v>
      </c>
      <c r="R275" s="324"/>
      <c r="S275" s="324">
        <f t="shared" si="121"/>
        <v>0.25568924239456869</v>
      </c>
      <c r="T275" s="324"/>
      <c r="U275" s="325">
        <f>Q190</f>
        <v>1847758.54</v>
      </c>
      <c r="V275" s="325"/>
      <c r="W275" s="325">
        <f>U191</f>
        <v>225000</v>
      </c>
      <c r="X275" s="325"/>
      <c r="Y275" s="325" t="e">
        <f>#REF!</f>
        <v>#REF!</v>
      </c>
      <c r="AD275" s="325"/>
    </row>
    <row r="276" spans="3:30">
      <c r="C276" s="2" t="s">
        <v>1080</v>
      </c>
      <c r="D276" s="2"/>
      <c r="E276" s="8">
        <v>37134</v>
      </c>
      <c r="F276" s="8">
        <f t="shared" si="122"/>
        <v>9211280.6085119992</v>
      </c>
      <c r="G276" s="320">
        <f t="shared" si="123"/>
        <v>296840.68398561265</v>
      </c>
      <c r="H276" s="321">
        <f t="shared" si="124"/>
        <v>1022299.02</v>
      </c>
      <c r="I276" s="322">
        <f t="shared" si="120"/>
        <v>48218.498999999996</v>
      </c>
      <c r="J276" s="322">
        <v>9300000</v>
      </c>
      <c r="K276" s="323">
        <v>140000</v>
      </c>
      <c r="L276" s="324">
        <f>H276/G276/'[4]Finance Assumptions'!$D$6</f>
        <v>0.22959544185426844</v>
      </c>
      <c r="M276" s="324"/>
      <c r="Q276" s="324">
        <f>K276/G276/'[4]Finance Assumptions'!$D$6</f>
        <v>3.1442230923392239E-2</v>
      </c>
      <c r="R276" s="324"/>
      <c r="S276" s="324">
        <f t="shared" si="121"/>
        <v>0.26103767277766066</v>
      </c>
      <c r="T276" s="324"/>
      <c r="U276" s="325">
        <f>Q201</f>
        <v>1022299.02</v>
      </c>
      <c r="V276" s="325"/>
      <c r="W276" s="325">
        <f>U202</f>
        <v>200000</v>
      </c>
      <c r="X276" s="325"/>
      <c r="Y276" s="325" t="e">
        <f>#REF!</f>
        <v>#REF!</v>
      </c>
      <c r="AD276" s="325"/>
    </row>
    <row r="277" spans="3:30">
      <c r="C277" s="2" t="s">
        <v>1082</v>
      </c>
      <c r="D277" s="2"/>
      <c r="E277" s="8">
        <v>26798</v>
      </c>
      <c r="F277" s="8">
        <f t="shared" si="122"/>
        <v>6647382.3920639995</v>
      </c>
      <c r="G277" s="320">
        <f t="shared" si="123"/>
        <v>214217.06924776343</v>
      </c>
      <c r="H277" s="321">
        <f t="shared" si="124"/>
        <v>737748.94000000006</v>
      </c>
      <c r="I277" s="322">
        <f t="shared" si="120"/>
        <v>34797.203000000001</v>
      </c>
      <c r="J277" s="322">
        <v>7000000</v>
      </c>
      <c r="K277" s="323">
        <v>130000</v>
      </c>
      <c r="L277" s="324">
        <f>H277/G277/'[4]Finance Assumptions'!$D$6</f>
        <v>0.22959544185426847</v>
      </c>
      <c r="M277" s="324"/>
      <c r="Q277" s="324">
        <f>K277/G277/'[4]Finance Assumptions'!$D$6</f>
        <v>4.0457404711492909E-2</v>
      </c>
      <c r="R277" s="324"/>
      <c r="S277" s="324">
        <f t="shared" si="121"/>
        <v>0.2700528465657614</v>
      </c>
      <c r="T277" s="324"/>
      <c r="U277" s="325">
        <f>Q212</f>
        <v>737748.94000000006</v>
      </c>
      <c r="V277" s="325"/>
      <c r="W277" s="325">
        <f>U213</f>
        <v>200000</v>
      </c>
      <c r="X277" s="325"/>
      <c r="Y277" s="325" t="e">
        <f>#REF!</f>
        <v>#REF!</v>
      </c>
      <c r="AD277" s="325"/>
    </row>
    <row r="278" spans="3:30">
      <c r="C278" s="2" t="s">
        <v>1084</v>
      </c>
      <c r="D278" s="2"/>
      <c r="E278" s="8">
        <v>13848</v>
      </c>
      <c r="F278" s="8">
        <f t="shared" si="122"/>
        <v>3435067.9664639998</v>
      </c>
      <c r="G278" s="320">
        <f t="shared" si="123"/>
        <v>110697.73770218031</v>
      </c>
      <c r="H278" s="321">
        <f t="shared" si="124"/>
        <v>381235.44</v>
      </c>
      <c r="I278" s="322">
        <f t="shared" si="120"/>
        <v>17981.628000000001</v>
      </c>
      <c r="J278" s="322">
        <v>3800000</v>
      </c>
      <c r="K278" s="323">
        <v>100000</v>
      </c>
      <c r="L278" s="324">
        <f>H278/G278/'[4]Finance Assumptions'!$D$6</f>
        <v>0.22959544185426844</v>
      </c>
      <c r="M278" s="324"/>
      <c r="Q278" s="324">
        <f>K278/G278/'[4]Finance Assumptions'!$D$6</f>
        <v>6.0224055207005009E-2</v>
      </c>
      <c r="R278" s="324"/>
      <c r="S278" s="324">
        <f t="shared" si="121"/>
        <v>0.28981949706127347</v>
      </c>
      <c r="T278" s="324"/>
      <c r="U278" s="325">
        <f>Q223</f>
        <v>381235.44</v>
      </c>
      <c r="V278" s="325"/>
      <c r="W278" s="325">
        <f>U224</f>
        <v>200000</v>
      </c>
      <c r="X278" s="325"/>
      <c r="Y278" s="325" t="e">
        <f>#REF!</f>
        <v>#REF!</v>
      </c>
      <c r="AD278" s="325"/>
    </row>
    <row r="279" spans="3:30">
      <c r="C279" s="326" t="s">
        <v>1086</v>
      </c>
      <c r="D279" s="2"/>
      <c r="E279" s="8">
        <v>6502</v>
      </c>
      <c r="F279" s="8">
        <f t="shared" si="122"/>
        <v>1612854.702336</v>
      </c>
      <c r="G279" s="320">
        <f t="shared" si="123"/>
        <v>51975.497583736025</v>
      </c>
      <c r="H279" s="321">
        <f t="shared" si="124"/>
        <v>179000.06</v>
      </c>
      <c r="I279" s="322">
        <f t="shared" si="120"/>
        <v>8442.8469999999998</v>
      </c>
      <c r="J279" s="322">
        <v>1900000</v>
      </c>
      <c r="K279" s="323">
        <v>65000</v>
      </c>
      <c r="L279" s="324">
        <f>H279/G279/'[4]Finance Assumptions'!$D$6</f>
        <v>0.22959544185426842</v>
      </c>
      <c r="M279" s="324"/>
      <c r="Q279" s="324">
        <f>K279/G279/'[4]Finance Assumptions'!$D$6</f>
        <v>8.3372618537264451E-2</v>
      </c>
      <c r="R279" s="324"/>
      <c r="S279" s="324">
        <f t="shared" si="121"/>
        <v>0.31296806039153285</v>
      </c>
      <c r="T279" s="324"/>
      <c r="U279" s="325">
        <f>Q234</f>
        <v>179000.06</v>
      </c>
      <c r="V279" s="325"/>
      <c r="W279" s="325">
        <f>U235</f>
        <v>132500</v>
      </c>
      <c r="X279" s="325"/>
      <c r="Y279" s="325" t="e">
        <f>#REF!</f>
        <v>#REF!</v>
      </c>
      <c r="AD279" s="325"/>
    </row>
    <row r="280" spans="3:30">
      <c r="C280" s="326" t="s">
        <v>1088</v>
      </c>
      <c r="D280" s="2"/>
      <c r="E280" s="8">
        <v>3390</v>
      </c>
      <c r="F280" s="8">
        <f t="shared" si="122"/>
        <v>840907.01951999997</v>
      </c>
      <c r="G280" s="320">
        <f t="shared" si="123"/>
        <v>27098.882929693187</v>
      </c>
      <c r="H280" s="321">
        <f t="shared" si="124"/>
        <v>93326.7</v>
      </c>
      <c r="I280" s="322">
        <f t="shared" si="120"/>
        <v>4401.915</v>
      </c>
      <c r="J280" s="322">
        <v>1200000</v>
      </c>
      <c r="K280" s="323">
        <v>50000</v>
      </c>
      <c r="L280" s="324">
        <f>H280/G280/'[4]Finance Assumptions'!$D$6</f>
        <v>0.22959544185426844</v>
      </c>
      <c r="M280" s="324"/>
      <c r="Q280" s="324">
        <f>K280/G280/'[4]Finance Assumptions'!$D$6</f>
        <v>0.12300630036970579</v>
      </c>
      <c r="R280" s="324"/>
      <c r="S280" s="324">
        <f t="shared" si="121"/>
        <v>0.35260174222397422</v>
      </c>
      <c r="T280" s="324"/>
      <c r="U280" s="325">
        <f>Q245</f>
        <v>93326.7</v>
      </c>
      <c r="V280" s="325"/>
      <c r="W280" s="325">
        <f>U246</f>
        <v>132500</v>
      </c>
      <c r="X280" s="325"/>
      <c r="Y280" s="325" t="e">
        <f>#REF!</f>
        <v>#REF!</v>
      </c>
      <c r="AD280" s="325"/>
    </row>
    <row r="281" spans="3:30">
      <c r="C281" s="326" t="s">
        <v>1090</v>
      </c>
      <c r="D281" s="2"/>
      <c r="E281" s="8">
        <v>1261</v>
      </c>
      <c r="F281" s="8">
        <f t="shared" si="122"/>
        <v>312797.56684799999</v>
      </c>
      <c r="G281" s="320">
        <f t="shared" si="123"/>
        <v>10080.144948183808</v>
      </c>
      <c r="H281" s="321">
        <f t="shared" si="124"/>
        <v>34715.33</v>
      </c>
      <c r="I281" s="322">
        <f t="shared" si="120"/>
        <v>1637.4085</v>
      </c>
      <c r="J281" s="322">
        <v>560000</v>
      </c>
      <c r="K281" s="323">
        <v>25000</v>
      </c>
      <c r="L281" s="324">
        <f>H281/G281/'[4]Finance Assumptions'!$D$6</f>
        <v>0.22959544185426847</v>
      </c>
      <c r="M281" s="324"/>
      <c r="Q281" s="324">
        <f>K281/G281/'[4]Finance Assumptions'!$D$6</f>
        <v>0.16534153776895427</v>
      </c>
      <c r="R281" s="324"/>
      <c r="S281" s="324">
        <f t="shared" si="121"/>
        <v>0.39493697962322272</v>
      </c>
      <c r="T281" s="324"/>
      <c r="U281" s="325">
        <f>Q256</f>
        <v>34715.33</v>
      </c>
      <c r="V281" s="325"/>
      <c r="W281" s="325">
        <f>U257</f>
        <v>132500</v>
      </c>
      <c r="X281" s="325"/>
      <c r="Y281" s="325" t="e">
        <f>#REF!</f>
        <v>#REF!</v>
      </c>
      <c r="AD281" s="325"/>
    </row>
    <row r="282" spans="3:30">
      <c r="K282"/>
    </row>
    <row r="283" spans="3:30" ht="56">
      <c r="C283" s="7" t="s">
        <v>20</v>
      </c>
    </row>
    <row r="284" spans="3:30">
      <c r="C284">
        <v>1.2</v>
      </c>
    </row>
    <row r="285" spans="3:30">
      <c r="E285" s="327" t="s">
        <v>56</v>
      </c>
    </row>
    <row r="286" spans="3:30">
      <c r="E286" s="328">
        <v>2.83168E-2</v>
      </c>
      <c r="F286" t="s">
        <v>1114</v>
      </c>
    </row>
    <row r="287" spans="3:30">
      <c r="E287">
        <v>3.4000000000000002E-2</v>
      </c>
      <c r="F287" t="s">
        <v>53</v>
      </c>
    </row>
    <row r="288" spans="3:30">
      <c r="E288">
        <v>0.94781700000000002</v>
      </c>
      <c r="F288" t="s">
        <v>55</v>
      </c>
    </row>
    <row r="289" spans="5:6">
      <c r="E289">
        <f>E288*E287</f>
        <v>3.2225778000000004E-2</v>
      </c>
      <c r="F289" t="s">
        <v>54</v>
      </c>
    </row>
  </sheetData>
  <autoFilter ref="A1:AF261">
    <filterColumn colId="0">
      <filters>
        <filter val="CAFO"/>
      </filters>
    </filterColumn>
    <filterColumn colId="1">
      <filters>
        <filter val="Beef"/>
      </filters>
    </filterColumn>
    <filterColumn colId="8" showButton="0"/>
    <filterColumn colId="11" showButton="0"/>
    <filterColumn colId="16" showButton="0"/>
    <filterColumn colId="18" showButton="0"/>
    <filterColumn colId="20" showButton="0"/>
    <filterColumn colId="22" showButton="0"/>
  </autoFilter>
  <mergeCells count="6">
    <mergeCell ref="W1:X1"/>
    <mergeCell ref="I1:J1"/>
    <mergeCell ref="L1:M1"/>
    <mergeCell ref="Q1:R1"/>
    <mergeCell ref="S1:T1"/>
    <mergeCell ref="U1:V1"/>
  </mergeCells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TEACAFO</vt:lpstr>
      <vt:lpstr>TEA data</vt:lpstr>
      <vt:lpstr>TEA Op Matrix</vt:lpstr>
      <vt:lpstr># Oper</vt:lpstr>
      <vt:lpstr>Finance Assumptions</vt:lpstr>
      <vt:lpstr>BSM Input</vt:lpstr>
      <vt:lpstr>DCFROR</vt:lpstr>
      <vt:lpstr>CAPEX CALC</vt:lpstr>
      <vt:lpstr>TEA Op Matrix-OCT.FY17</vt:lpstr>
    </vt:vector>
  </TitlesOfParts>
  <Company>NREL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NREL</dc:creator>
  <cp:lastModifiedBy>Annika Eberle</cp:lastModifiedBy>
  <dcterms:created xsi:type="dcterms:W3CDTF">2015-12-10T23:39:15Z</dcterms:created>
  <dcterms:modified xsi:type="dcterms:W3CDTF">2017-06-12T21:41:17Z</dcterms:modified>
</cp:coreProperties>
</file>